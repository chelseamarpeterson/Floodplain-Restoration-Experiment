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llinoisedu-my.sharepoint.com/personal/cmptrsn2_illinois_edu/Documents/Ch1/"/>
    </mc:Choice>
  </mc:AlternateContent>
  <xr:revisionPtr revIDLastSave="687" documentId="8_{81C5A17B-0AA7-4E1F-9EEB-1F73114DAE67}" xr6:coauthVersionLast="47" xr6:coauthVersionMax="47" xr10:uidLastSave="{00B3CBB3-0C46-4F10-A41E-06B59E8E7ACD}"/>
  <bookViews>
    <workbookView minimized="1" xWindow="16155" yWindow="6825" windowWidth="12150" windowHeight="20955" activeTab="1" xr2:uid="{2C906CBC-631A-4B26-833B-3AA2F3C7757D}"/>
  </bookViews>
  <sheets>
    <sheet name="Joslin estimates" sheetId="1" r:id="rId1"/>
    <sheet name="Summer 2024 estima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2" l="1"/>
  <c r="B4" i="2"/>
  <c r="B3" i="2"/>
  <c r="D24" i="2" s="1"/>
  <c r="C24" i="2"/>
  <c r="E24" i="2"/>
  <c r="E22" i="2"/>
  <c r="D22" i="2"/>
  <c r="C22" i="2"/>
  <c r="E21" i="2"/>
  <c r="D21" i="2"/>
  <c r="C21" i="2"/>
  <c r="F13" i="2"/>
  <c r="E13" i="2"/>
  <c r="D13" i="2"/>
  <c r="D10" i="2"/>
  <c r="E29" i="2"/>
  <c r="E33" i="2" s="1"/>
  <c r="D29" i="2"/>
  <c r="D33" i="2" s="1"/>
  <c r="E28" i="2"/>
  <c r="D28" i="2"/>
  <c r="C28" i="2"/>
  <c r="E27" i="2"/>
  <c r="E31" i="2" s="1"/>
  <c r="D27" i="2"/>
  <c r="D26" i="2" s="1"/>
  <c r="C27" i="2"/>
  <c r="C33" i="2" s="1"/>
  <c r="E26" i="2"/>
  <c r="F7" i="2"/>
  <c r="E7" i="2"/>
  <c r="D7" i="2"/>
  <c r="F5" i="2"/>
  <c r="E5" i="2"/>
  <c r="F3" i="2"/>
  <c r="E3" i="2"/>
  <c r="F2" i="2"/>
  <c r="E2" i="2"/>
  <c r="C22" i="1"/>
  <c r="D13" i="1"/>
  <c r="C33" i="1"/>
  <c r="C31" i="1"/>
  <c r="D29" i="1"/>
  <c r="E29" i="1"/>
  <c r="C29" i="1"/>
  <c r="D28" i="1"/>
  <c r="E28" i="1"/>
  <c r="C28" i="1"/>
  <c r="D27" i="1"/>
  <c r="E13" i="1" s="1"/>
  <c r="D26" i="1" s="1"/>
  <c r="E27" i="1"/>
  <c r="E33" i="1" s="1"/>
  <c r="C27" i="1"/>
  <c r="F13" i="1"/>
  <c r="E26" i="1" s="1"/>
  <c r="C26" i="1"/>
  <c r="D24" i="1"/>
  <c r="E24" i="1"/>
  <c r="C24" i="1"/>
  <c r="C32" i="1" s="1"/>
  <c r="E7" i="1"/>
  <c r="F7" i="1"/>
  <c r="D7" i="1"/>
  <c r="C21" i="1"/>
  <c r="D22" i="1"/>
  <c r="D32" i="1" s="1"/>
  <c r="E22" i="1"/>
  <c r="E32" i="1" s="1"/>
  <c r="D10" i="1"/>
  <c r="F5" i="1"/>
  <c r="E5" i="1"/>
  <c r="F3" i="1"/>
  <c r="E3" i="1"/>
  <c r="F2" i="1"/>
  <c r="E21" i="1" s="1"/>
  <c r="E2" i="1"/>
  <c r="D21" i="1" s="1"/>
  <c r="B3" i="1"/>
  <c r="C26" i="2" l="1"/>
  <c r="D30" i="2"/>
  <c r="D32" i="2"/>
  <c r="E32" i="2"/>
  <c r="E30" i="2"/>
  <c r="D31" i="2"/>
  <c r="C31" i="2"/>
  <c r="C30" i="2"/>
  <c r="C30" i="1"/>
  <c r="D30" i="1"/>
  <c r="D31" i="1"/>
  <c r="D33" i="1"/>
  <c r="E30" i="1"/>
  <c r="E31" i="1"/>
  <c r="C32" i="2" l="1"/>
</calcChain>
</file>

<file path=xl/sharedStrings.xml><?xml version="1.0" encoding="utf-8"?>
<sst xmlns="http://schemas.openxmlformats.org/spreadsheetml/2006/main" count="123" uniqueCount="58">
  <si>
    <t>Natural wetlands</t>
  </si>
  <si>
    <t>Ecosystem pool</t>
  </si>
  <si>
    <t>Soil organic matter</t>
  </si>
  <si>
    <t>Ecosystem type or state</t>
  </si>
  <si>
    <t>Conversion factors</t>
  </si>
  <si>
    <t>Lower</t>
  </si>
  <si>
    <t>Upper</t>
  </si>
  <si>
    <t>Mean</t>
  </si>
  <si>
    <t>Full tillage</t>
  </si>
  <si>
    <t>Range</t>
  </si>
  <si>
    <t xml:space="preserve">Annual crops </t>
  </si>
  <si>
    <t>Mean C stock estimate</t>
  </si>
  <si>
    <t>Lower bound</t>
  </si>
  <si>
    <t>Upper bound</t>
  </si>
  <si>
    <t>Site establishment year</t>
  </si>
  <si>
    <t>Data collection year</t>
  </si>
  <si>
    <t>Site age at time of data collection</t>
  </si>
  <si>
    <t>Dead wood</t>
  </si>
  <si>
    <t>Mature wet, temperate forests</t>
  </si>
  <si>
    <t>Restored temperate forest</t>
  </si>
  <si>
    <t>Restored deciduous forest</t>
  </si>
  <si>
    <t>Mature deciduous forest</t>
  </si>
  <si>
    <t>Litter</t>
  </si>
  <si>
    <t>Mature temperate forest (&gt;20 y)</t>
  </si>
  <si>
    <t>Aboveground living biomass</t>
  </si>
  <si>
    <t>Live wood C concentration</t>
  </si>
  <si>
    <t>Table 4.9</t>
  </si>
  <si>
    <t>Table 4.7</t>
  </si>
  <si>
    <t>Table 4.3</t>
  </si>
  <si>
    <t>Table 5.5</t>
  </si>
  <si>
    <t>Reference</t>
  </si>
  <si>
    <t>Table 2.2</t>
  </si>
  <si>
    <t>Table 2.3</t>
  </si>
  <si>
    <t>Restored</t>
  </si>
  <si>
    <t>Mature</t>
  </si>
  <si>
    <t>Set aside (&lt;20 years)</t>
  </si>
  <si>
    <t>Revegetated cropland</t>
  </si>
  <si>
    <t>Parameters</t>
  </si>
  <si>
    <t>Deciduous forest dead material (t/ha)</t>
  </si>
  <si>
    <t>Aboveground biomass growth rate &lt;=20 y (t/ha/y)</t>
  </si>
  <si>
    <t>Aboveground biomass growth rate &gt;20 y (t/ha/y)</t>
  </si>
  <si>
    <t>Aboveground woody biomass &gt;20 y (t/ha)</t>
  </si>
  <si>
    <t>Long-term cultivation (temperate moist)</t>
  </si>
  <si>
    <t>Low C inputs (temperate moist)</t>
  </si>
  <si>
    <t>Table 3.2.1 (IPCC Good Practice Guidance for LULUCF)</t>
  </si>
  <si>
    <t>Annual litter C accumulation rate (t C/ha/y)</t>
  </si>
  <si>
    <t>Table 3.2.2 (IPCC Good Practice Guidance for LULUCF)</t>
  </si>
  <si>
    <t>Broadleaf deciduous forest transition period (y)</t>
  </si>
  <si>
    <t>Dead wood C concentration (%) [decay class 3]</t>
  </si>
  <si>
    <t>Harmon et al. (2013)</t>
  </si>
  <si>
    <t>Dead material CV</t>
  </si>
  <si>
    <t>Dead material standard deviation</t>
  </si>
  <si>
    <t>Dead wood accumulation rate (t C/ha/y)</t>
  </si>
  <si>
    <t>Total ecosystem (30 cm)</t>
  </si>
  <si>
    <t>Total ecosystem (12 cm)</t>
  </si>
  <si>
    <t>Aboveground woody biomass &lt;20 y (t/ha)</t>
  </si>
  <si>
    <t>Mean age of younger sites</t>
  </si>
  <si>
    <t>Mean age of older 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</si>
</sst>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A9F9-5B1E-4DE3-BE7E-98B24B386112}">
  <dimension ref="A1:H33"/>
  <sheetViews>
    <sheetView zoomScaleNormal="100" workbookViewId="0">
      <selection activeCell="D32" sqref="D32"/>
    </sheetView>
  </sheetViews>
  <sheetFormatPr defaultRowHeight="15" x14ac:dyDescent="0.25"/>
  <cols>
    <col min="1" max="1" width="29.85546875" customWidth="1"/>
    <col min="2" max="2" width="29" customWidth="1"/>
    <col min="3" max="3" width="41.5703125" customWidth="1"/>
    <col min="4" max="4" width="12.28515625" customWidth="1"/>
    <col min="5" max="5" width="12.5703125" customWidth="1"/>
    <col min="6" max="6" width="10" customWidth="1"/>
    <col min="7" max="7" width="8.28515625" customWidth="1"/>
    <col min="8" max="8" width="24.28515625" customWidth="1"/>
    <col min="12" max="12" width="10" customWidth="1"/>
  </cols>
  <sheetData>
    <row r="1" spans="1:8" x14ac:dyDescent="0.25">
      <c r="A1" s="1" t="s">
        <v>14</v>
      </c>
      <c r="B1">
        <v>1998</v>
      </c>
      <c r="C1" s="1" t="s">
        <v>4</v>
      </c>
      <c r="D1" s="1" t="s">
        <v>7</v>
      </c>
      <c r="E1" s="1" t="s">
        <v>5</v>
      </c>
      <c r="F1" s="1" t="s">
        <v>6</v>
      </c>
      <c r="G1" s="1" t="s">
        <v>9</v>
      </c>
      <c r="H1" s="1" t="s">
        <v>30</v>
      </c>
    </row>
    <row r="2" spans="1:8" x14ac:dyDescent="0.25">
      <c r="A2" s="1" t="s">
        <v>15</v>
      </c>
      <c r="B2">
        <v>2022</v>
      </c>
      <c r="C2" t="s">
        <v>42</v>
      </c>
      <c r="D2">
        <v>0.69</v>
      </c>
      <c r="E2">
        <f>D2-G2</f>
        <v>0.56999999999999995</v>
      </c>
      <c r="F2">
        <f>D2+G2</f>
        <v>0.80999999999999994</v>
      </c>
      <c r="G2">
        <v>0.12</v>
      </c>
      <c r="H2" t="s">
        <v>29</v>
      </c>
    </row>
    <row r="3" spans="1:8" x14ac:dyDescent="0.25">
      <c r="A3" s="1" t="s">
        <v>16</v>
      </c>
      <c r="B3">
        <f>B2-B1</f>
        <v>24</v>
      </c>
      <c r="C3" t="s">
        <v>43</v>
      </c>
      <c r="D3">
        <v>0.92</v>
      </c>
      <c r="E3">
        <f>D3-G3</f>
        <v>0.78</v>
      </c>
      <c r="F3">
        <f>D3+G3</f>
        <v>1.06</v>
      </c>
      <c r="G3">
        <v>0.14000000000000001</v>
      </c>
    </row>
    <row r="4" spans="1:8" x14ac:dyDescent="0.25">
      <c r="C4" t="s">
        <v>8</v>
      </c>
      <c r="D4">
        <v>1</v>
      </c>
      <c r="E4">
        <v>1</v>
      </c>
      <c r="F4">
        <v>1</v>
      </c>
    </row>
    <row r="5" spans="1:8" x14ac:dyDescent="0.25">
      <c r="C5" t="s">
        <v>35</v>
      </c>
      <c r="D5">
        <v>0.82</v>
      </c>
      <c r="E5">
        <f>D5-G5</f>
        <v>0.64999999999999991</v>
      </c>
      <c r="F5">
        <f>D5+G5</f>
        <v>0.99</v>
      </c>
      <c r="G5">
        <v>0.17</v>
      </c>
    </row>
    <row r="6" spans="1:8" x14ac:dyDescent="0.25">
      <c r="C6" s="1" t="s">
        <v>37</v>
      </c>
    </row>
    <row r="7" spans="1:8" x14ac:dyDescent="0.25">
      <c r="C7" t="s">
        <v>45</v>
      </c>
      <c r="D7">
        <f>C25/$D$12</f>
        <v>0.26</v>
      </c>
      <c r="E7">
        <f>D25/$D$12</f>
        <v>0.04</v>
      </c>
      <c r="F7">
        <f>E25/$D$12</f>
        <v>0.62</v>
      </c>
      <c r="H7" t="s">
        <v>44</v>
      </c>
    </row>
    <row r="8" spans="1:8" x14ac:dyDescent="0.25">
      <c r="C8" t="s">
        <v>38</v>
      </c>
      <c r="D8">
        <v>34.700000000000003</v>
      </c>
      <c r="H8" t="s">
        <v>46</v>
      </c>
    </row>
    <row r="9" spans="1:8" x14ac:dyDescent="0.25">
      <c r="C9" t="s">
        <v>50</v>
      </c>
      <c r="D9">
        <v>1</v>
      </c>
    </row>
    <row r="10" spans="1:8" x14ac:dyDescent="0.25">
      <c r="C10" t="s">
        <v>51</v>
      </c>
      <c r="D10">
        <f>D8*D9</f>
        <v>34.700000000000003</v>
      </c>
    </row>
    <row r="11" spans="1:8" x14ac:dyDescent="0.25">
      <c r="C11" t="s">
        <v>48</v>
      </c>
      <c r="D11">
        <v>0.48099999999999998</v>
      </c>
      <c r="E11">
        <v>0.45500000000000002</v>
      </c>
      <c r="F11">
        <v>0.51300000000000001</v>
      </c>
      <c r="H11" t="s">
        <v>49</v>
      </c>
    </row>
    <row r="12" spans="1:8" x14ac:dyDescent="0.25">
      <c r="C12" t="s">
        <v>47</v>
      </c>
      <c r="D12">
        <v>50</v>
      </c>
      <c r="H12" t="s">
        <v>44</v>
      </c>
    </row>
    <row r="13" spans="1:8" x14ac:dyDescent="0.25">
      <c r="C13" t="s">
        <v>52</v>
      </c>
      <c r="D13" s="3">
        <f>C27/$D$12</f>
        <v>0.333814</v>
      </c>
      <c r="E13" s="3">
        <f>D27/$D$12</f>
        <v>0.31577000000000005</v>
      </c>
      <c r="F13" s="3">
        <f>E27/$D$12</f>
        <v>0.35602200000000006</v>
      </c>
    </row>
    <row r="14" spans="1:8" x14ac:dyDescent="0.25">
      <c r="C14" t="s">
        <v>39</v>
      </c>
      <c r="D14">
        <v>4</v>
      </c>
      <c r="E14">
        <v>0.5</v>
      </c>
      <c r="F14">
        <v>8</v>
      </c>
      <c r="H14" t="s">
        <v>26</v>
      </c>
    </row>
    <row r="15" spans="1:8" x14ac:dyDescent="0.25">
      <c r="C15" t="s">
        <v>40</v>
      </c>
      <c r="D15">
        <v>4</v>
      </c>
      <c r="E15">
        <v>0.5</v>
      </c>
      <c r="F15">
        <v>7.5</v>
      </c>
      <c r="H15" t="s">
        <v>28</v>
      </c>
    </row>
    <row r="16" spans="1:8" x14ac:dyDescent="0.25">
      <c r="C16" t="s">
        <v>25</v>
      </c>
      <c r="D16">
        <v>0.48</v>
      </c>
      <c r="E16">
        <v>0.46</v>
      </c>
      <c r="F16">
        <v>0.5</v>
      </c>
    </row>
    <row r="17" spans="1:8" x14ac:dyDescent="0.25">
      <c r="C17" t="s">
        <v>41</v>
      </c>
      <c r="D17">
        <v>130</v>
      </c>
      <c r="E17">
        <v>50</v>
      </c>
      <c r="F17">
        <v>200</v>
      </c>
      <c r="H17" t="s">
        <v>27</v>
      </c>
    </row>
    <row r="18" spans="1:8" x14ac:dyDescent="0.25">
      <c r="C18" t="s">
        <v>55</v>
      </c>
      <c r="D18">
        <v>60</v>
      </c>
      <c r="E18">
        <v>10</v>
      </c>
      <c r="F18">
        <v>130</v>
      </c>
    </row>
    <row r="20" spans="1:8" x14ac:dyDescent="0.25">
      <c r="A20" s="1" t="s">
        <v>1</v>
      </c>
      <c r="B20" s="1" t="s">
        <v>3</v>
      </c>
      <c r="C20" s="1" t="s">
        <v>11</v>
      </c>
      <c r="D20" s="1" t="s">
        <v>12</v>
      </c>
      <c r="E20" s="1" t="s">
        <v>13</v>
      </c>
      <c r="F20" s="1" t="s">
        <v>30</v>
      </c>
    </row>
    <row r="21" spans="1:8" x14ac:dyDescent="0.25">
      <c r="A21" t="s">
        <v>2</v>
      </c>
      <c r="B21" t="s">
        <v>10</v>
      </c>
      <c r="C21" s="2">
        <f>C23*D2*D3*D4</f>
        <v>55.862400000000001</v>
      </c>
      <c r="D21" s="2">
        <f>D23*E2*E3*E4</f>
        <v>39.1248</v>
      </c>
      <c r="E21" s="2">
        <f>E23*F2*F3*F4</f>
        <v>75.55680000000001</v>
      </c>
    </row>
    <row r="22" spans="1:8" x14ac:dyDescent="0.25">
      <c r="B22" t="s">
        <v>36</v>
      </c>
      <c r="C22" s="2">
        <f>C23*D5</f>
        <v>72.16</v>
      </c>
      <c r="D22" s="2">
        <f>D23*E5</f>
        <v>57.199999999999989</v>
      </c>
      <c r="E22" s="2">
        <f>E23*F5</f>
        <v>87.12</v>
      </c>
    </row>
    <row r="23" spans="1:8" x14ac:dyDescent="0.25">
      <c r="B23" t="s">
        <v>0</v>
      </c>
      <c r="C23" s="2">
        <v>88</v>
      </c>
      <c r="D23" s="2">
        <v>88</v>
      </c>
      <c r="E23" s="2">
        <v>88</v>
      </c>
      <c r="F23" t="s">
        <v>32</v>
      </c>
    </row>
    <row r="24" spans="1:8" x14ac:dyDescent="0.25">
      <c r="A24" t="s">
        <v>22</v>
      </c>
      <c r="B24" t="s">
        <v>19</v>
      </c>
      <c r="C24" s="2">
        <f>D7*$B$3</f>
        <v>6.24</v>
      </c>
      <c r="D24" s="2">
        <f>E7*$B$3</f>
        <v>0.96</v>
      </c>
      <c r="E24" s="2">
        <f>F7*$B$3</f>
        <v>14.879999999999999</v>
      </c>
    </row>
    <row r="25" spans="1:8" x14ac:dyDescent="0.25">
      <c r="B25" t="s">
        <v>18</v>
      </c>
      <c r="C25" s="2">
        <v>13</v>
      </c>
      <c r="D25" s="2">
        <v>2</v>
      </c>
      <c r="E25" s="2">
        <v>31</v>
      </c>
      <c r="F25" t="s">
        <v>31</v>
      </c>
    </row>
    <row r="26" spans="1:8" x14ac:dyDescent="0.25">
      <c r="A26" t="s">
        <v>17</v>
      </c>
      <c r="B26" t="s">
        <v>20</v>
      </c>
      <c r="C26" s="2">
        <f>D13*$B$3</f>
        <v>8.0115359999999995</v>
      </c>
      <c r="D26" s="2">
        <f>E13*$B$3</f>
        <v>7.5784800000000008</v>
      </c>
      <c r="E26" s="2">
        <f>F13*$B$3</f>
        <v>8.5445280000000015</v>
      </c>
    </row>
    <row r="27" spans="1:8" x14ac:dyDescent="0.25">
      <c r="B27" t="s">
        <v>21</v>
      </c>
      <c r="C27" s="2">
        <f>$D$8*D11</f>
        <v>16.6907</v>
      </c>
      <c r="D27" s="2">
        <f>$D$8*E11</f>
        <v>15.788500000000003</v>
      </c>
      <c r="E27" s="2">
        <f>$D$8*F11</f>
        <v>17.801100000000002</v>
      </c>
    </row>
    <row r="28" spans="1:8" x14ac:dyDescent="0.25">
      <c r="A28" t="s">
        <v>24</v>
      </c>
      <c r="B28" t="s">
        <v>19</v>
      </c>
      <c r="C28" s="2">
        <f>D16*(D14*20+D15*4)</f>
        <v>46.08</v>
      </c>
      <c r="D28" s="2">
        <f>E16*(E14*20+E15*4)</f>
        <v>5.5200000000000005</v>
      </c>
      <c r="E28" s="2">
        <f>F16*(F14*20+F15*4)</f>
        <v>95</v>
      </c>
    </row>
    <row r="29" spans="1:8" x14ac:dyDescent="0.25">
      <c r="B29" t="s">
        <v>23</v>
      </c>
      <c r="C29" s="2">
        <f>D16*D17</f>
        <v>62.4</v>
      </c>
      <c r="D29" s="2">
        <f>E16*E17</f>
        <v>23</v>
      </c>
      <c r="E29" s="2">
        <f>F16*F17</f>
        <v>100</v>
      </c>
    </row>
    <row r="30" spans="1:8" x14ac:dyDescent="0.25">
      <c r="A30" t="s">
        <v>53</v>
      </c>
      <c r="B30" t="s">
        <v>33</v>
      </c>
      <c r="C30" s="2">
        <f>$C$22+$C$24+$C$26+$C$28</f>
        <v>132.491536</v>
      </c>
      <c r="D30" s="2">
        <f>$D$22+$D$24+$D$26+$D$28</f>
        <v>71.258479999999992</v>
      </c>
      <c r="E30" s="2">
        <f>$E$22+$E$24+$E$26+$E$28</f>
        <v>205.54452800000001</v>
      </c>
    </row>
    <row r="31" spans="1:8" x14ac:dyDescent="0.25">
      <c r="B31" t="s">
        <v>34</v>
      </c>
      <c r="C31" s="2">
        <f>$C$23+$C$25+$C$27+$C$29</f>
        <v>180.0907</v>
      </c>
      <c r="D31" s="2">
        <f>$D$23+$D$25+$D$27+$D$29</f>
        <v>128.7885</v>
      </c>
      <c r="E31" s="2">
        <f>$E$23+$E$25+$E$27+$E$29</f>
        <v>236.80109999999999</v>
      </c>
    </row>
    <row r="32" spans="1:8" x14ac:dyDescent="0.25">
      <c r="A32" t="s">
        <v>54</v>
      </c>
      <c r="B32" t="s">
        <v>33</v>
      </c>
      <c r="C32" s="2">
        <f>$C$22*(12/30)+$C$24+$C$26+$C$28</f>
        <v>89.195536000000004</v>
      </c>
      <c r="D32" s="2">
        <f>$D$22*(12/30)+$D$24+$D$26+$D$28</f>
        <v>36.938479999999998</v>
      </c>
      <c r="E32" s="2">
        <f>$E$22*(12/30)+$E$24+$E$26+$E$28</f>
        <v>153.27252800000002</v>
      </c>
    </row>
    <row r="33" spans="2:5" x14ac:dyDescent="0.25">
      <c r="B33" t="s">
        <v>34</v>
      </c>
      <c r="C33" s="2">
        <f>$C$23*(12/30)+$C$25+$C$27+$C$29</f>
        <v>127.29070000000002</v>
      </c>
      <c r="D33" s="2">
        <f>$D$23*(12/30)+$D$25+$D$27+$D$29</f>
        <v>75.988500000000002</v>
      </c>
      <c r="E33" s="2">
        <f>$E$23*(12/30)+$E$25+$E$27+$E$29</f>
        <v>184.00110000000001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88190-6FA7-43C6-8927-D04E5F92F0A3}">
  <dimension ref="A1:H33"/>
  <sheetViews>
    <sheetView tabSelected="1" workbookViewId="0">
      <selection activeCell="C30" sqref="C30"/>
    </sheetView>
  </sheetViews>
  <sheetFormatPr defaultRowHeight="15" x14ac:dyDescent="0.25"/>
  <cols>
    <col min="1" max="1" width="29.28515625" customWidth="1"/>
    <col min="2" max="2" width="28.5703125" bestFit="1" customWidth="1"/>
    <col min="3" max="3" width="44.85546875" bestFit="1" customWidth="1"/>
    <col min="4" max="5" width="12.5703125" bestFit="1" customWidth="1"/>
    <col min="6" max="6" width="10.42578125" bestFit="1" customWidth="1"/>
    <col min="8" max="8" width="48.85546875" bestFit="1" customWidth="1"/>
  </cols>
  <sheetData>
    <row r="1" spans="1:8" x14ac:dyDescent="0.25">
      <c r="A1" s="1" t="s">
        <v>14</v>
      </c>
      <c r="B1">
        <v>1998</v>
      </c>
      <c r="C1" s="1" t="s">
        <v>4</v>
      </c>
      <c r="D1" s="1" t="s">
        <v>7</v>
      </c>
      <c r="E1" s="1" t="s">
        <v>5</v>
      </c>
      <c r="F1" s="1" t="s">
        <v>6</v>
      </c>
      <c r="G1" s="1" t="s">
        <v>9</v>
      </c>
      <c r="H1" s="1" t="s">
        <v>30</v>
      </c>
    </row>
    <row r="2" spans="1:8" x14ac:dyDescent="0.25">
      <c r="A2" s="1" t="s">
        <v>15</v>
      </c>
      <c r="B2">
        <v>2022</v>
      </c>
      <c r="C2" t="s">
        <v>42</v>
      </c>
      <c r="D2">
        <v>0.69</v>
      </c>
      <c r="E2">
        <f>D2-G2</f>
        <v>0.56999999999999995</v>
      </c>
      <c r="F2">
        <f>D2+G2</f>
        <v>0.80999999999999994</v>
      </c>
      <c r="G2">
        <v>0.12</v>
      </c>
      <c r="H2" t="s">
        <v>29</v>
      </c>
    </row>
    <row r="3" spans="1:8" x14ac:dyDescent="0.25">
      <c r="A3" s="1" t="s">
        <v>56</v>
      </c>
      <c r="B3">
        <f>(14+19)/2</f>
        <v>16.5</v>
      </c>
      <c r="C3" t="s">
        <v>43</v>
      </c>
      <c r="D3">
        <v>0.92</v>
      </c>
      <c r="E3">
        <f>D3-G3</f>
        <v>0.78</v>
      </c>
      <c r="F3">
        <f>D3+G3</f>
        <v>1.06</v>
      </c>
      <c r="G3">
        <v>0.14000000000000001</v>
      </c>
    </row>
    <row r="4" spans="1:8" x14ac:dyDescent="0.25">
      <c r="A4" s="1" t="s">
        <v>57</v>
      </c>
      <c r="B4">
        <f>(24+29)/2</f>
        <v>26.5</v>
      </c>
      <c r="C4" t="s">
        <v>8</v>
      </c>
      <c r="D4">
        <v>1</v>
      </c>
      <c r="E4">
        <v>1</v>
      </c>
      <c r="F4">
        <v>1</v>
      </c>
    </row>
    <row r="5" spans="1:8" x14ac:dyDescent="0.25">
      <c r="C5" t="s">
        <v>35</v>
      </c>
      <c r="D5">
        <v>0.82</v>
      </c>
      <c r="E5">
        <f>D5-G5</f>
        <v>0.64999999999999991</v>
      </c>
      <c r="F5">
        <f>D5+G5</f>
        <v>0.99</v>
      </c>
      <c r="G5">
        <v>0.17</v>
      </c>
    </row>
    <row r="6" spans="1:8" x14ac:dyDescent="0.25">
      <c r="C6" s="1" t="s">
        <v>37</v>
      </c>
    </row>
    <row r="7" spans="1:8" x14ac:dyDescent="0.25">
      <c r="C7" t="s">
        <v>45</v>
      </c>
      <c r="D7">
        <f>C25/$D$12</f>
        <v>0.26</v>
      </c>
      <c r="E7">
        <f>D25/$D$12</f>
        <v>0.04</v>
      </c>
      <c r="F7">
        <f>E25/$D$12</f>
        <v>0.62</v>
      </c>
      <c r="H7" t="s">
        <v>44</v>
      </c>
    </row>
    <row r="8" spans="1:8" x14ac:dyDescent="0.25">
      <c r="C8" t="s">
        <v>38</v>
      </c>
      <c r="D8">
        <v>34.700000000000003</v>
      </c>
      <c r="H8" t="s">
        <v>46</v>
      </c>
    </row>
    <row r="9" spans="1:8" x14ac:dyDescent="0.25">
      <c r="C9" t="s">
        <v>50</v>
      </c>
      <c r="D9">
        <v>1</v>
      </c>
    </row>
    <row r="10" spans="1:8" x14ac:dyDescent="0.25">
      <c r="C10" t="s">
        <v>51</v>
      </c>
      <c r="D10">
        <f>D8*D9</f>
        <v>34.700000000000003</v>
      </c>
    </row>
    <row r="11" spans="1:8" x14ac:dyDescent="0.25">
      <c r="C11" t="s">
        <v>48</v>
      </c>
      <c r="D11">
        <v>0.48099999999999998</v>
      </c>
      <c r="E11">
        <v>0.45500000000000002</v>
      </c>
      <c r="F11">
        <v>0.51300000000000001</v>
      </c>
      <c r="H11" t="s">
        <v>49</v>
      </c>
    </row>
    <row r="12" spans="1:8" x14ac:dyDescent="0.25">
      <c r="C12" t="s">
        <v>47</v>
      </c>
      <c r="D12">
        <v>50</v>
      </c>
      <c r="H12" t="s">
        <v>44</v>
      </c>
    </row>
    <row r="13" spans="1:8" x14ac:dyDescent="0.25">
      <c r="C13" t="s">
        <v>52</v>
      </c>
      <c r="D13" s="3">
        <f>C27/$D$12</f>
        <v>0.333814</v>
      </c>
      <c r="E13" s="3">
        <f>D27/$D$12</f>
        <v>0.31577000000000005</v>
      </c>
      <c r="F13" s="3">
        <f>E27/$D$12</f>
        <v>0.35602200000000006</v>
      </c>
    </row>
    <row r="14" spans="1:8" x14ac:dyDescent="0.25">
      <c r="C14" t="s">
        <v>39</v>
      </c>
      <c r="D14">
        <v>4</v>
      </c>
      <c r="E14">
        <v>0.5</v>
      </c>
      <c r="F14">
        <v>8</v>
      </c>
      <c r="H14" t="s">
        <v>26</v>
      </c>
    </row>
    <row r="15" spans="1:8" x14ac:dyDescent="0.25">
      <c r="C15" t="s">
        <v>40</v>
      </c>
      <c r="D15">
        <v>4</v>
      </c>
      <c r="E15">
        <v>0.5</v>
      </c>
      <c r="F15">
        <v>7.5</v>
      </c>
      <c r="H15" t="s">
        <v>28</v>
      </c>
    </row>
    <row r="16" spans="1:8" x14ac:dyDescent="0.25">
      <c r="C16" t="s">
        <v>25</v>
      </c>
      <c r="D16">
        <v>0.48</v>
      </c>
      <c r="E16">
        <v>0.46</v>
      </c>
      <c r="F16">
        <v>0.5</v>
      </c>
    </row>
    <row r="17" spans="1:8" x14ac:dyDescent="0.25">
      <c r="C17" t="s">
        <v>41</v>
      </c>
      <c r="D17">
        <v>130</v>
      </c>
      <c r="E17">
        <v>50</v>
      </c>
      <c r="F17">
        <v>200</v>
      </c>
      <c r="H17" t="s">
        <v>27</v>
      </c>
    </row>
    <row r="18" spans="1:8" x14ac:dyDescent="0.25">
      <c r="C18" t="s">
        <v>55</v>
      </c>
      <c r="D18">
        <v>60</v>
      </c>
      <c r="E18">
        <v>10</v>
      </c>
      <c r="F18">
        <v>130</v>
      </c>
    </row>
    <row r="20" spans="1:8" x14ac:dyDescent="0.25">
      <c r="A20" s="1" t="s">
        <v>1</v>
      </c>
      <c r="B20" s="1" t="s">
        <v>3</v>
      </c>
      <c r="C20" s="1" t="s">
        <v>11</v>
      </c>
      <c r="D20" s="1" t="s">
        <v>12</v>
      </c>
      <c r="E20" s="1" t="s">
        <v>13</v>
      </c>
      <c r="F20" s="1" t="s">
        <v>30</v>
      </c>
    </row>
    <row r="21" spans="1:8" x14ac:dyDescent="0.25">
      <c r="A21" t="s">
        <v>2</v>
      </c>
      <c r="B21" t="s">
        <v>10</v>
      </c>
      <c r="C21" s="2">
        <f>C23*D2*D3*D4</f>
        <v>55.862400000000001</v>
      </c>
      <c r="D21" s="2">
        <f>D23*E2*E3*E4</f>
        <v>39.1248</v>
      </c>
      <c r="E21" s="2">
        <f>E23*F2*F3*F4</f>
        <v>75.55680000000001</v>
      </c>
    </row>
    <row r="22" spans="1:8" x14ac:dyDescent="0.25">
      <c r="B22" t="s">
        <v>36</v>
      </c>
      <c r="C22" s="2">
        <f>C23*D5</f>
        <v>72.16</v>
      </c>
      <c r="D22" s="2">
        <f>D23*E5</f>
        <v>57.199999999999989</v>
      </c>
      <c r="E22" s="2">
        <f>E23*F5</f>
        <v>87.12</v>
      </c>
    </row>
    <row r="23" spans="1:8" x14ac:dyDescent="0.25">
      <c r="B23" t="s">
        <v>0</v>
      </c>
      <c r="C23" s="2">
        <v>88</v>
      </c>
      <c r="D23" s="2">
        <v>88</v>
      </c>
      <c r="E23" s="2">
        <v>88</v>
      </c>
      <c r="F23" t="s">
        <v>32</v>
      </c>
    </row>
    <row r="24" spans="1:8" x14ac:dyDescent="0.25">
      <c r="A24" t="s">
        <v>22</v>
      </c>
      <c r="B24" t="s">
        <v>19</v>
      </c>
      <c r="C24" s="2">
        <f>D7*$B$3</f>
        <v>4.29</v>
      </c>
      <c r="D24" s="2">
        <f>E7*$B$3</f>
        <v>0.66</v>
      </c>
      <c r="E24" s="2">
        <f>F7*$B$3</f>
        <v>10.23</v>
      </c>
    </row>
    <row r="25" spans="1:8" x14ac:dyDescent="0.25">
      <c r="B25" t="s">
        <v>18</v>
      </c>
      <c r="C25" s="2">
        <v>13</v>
      </c>
      <c r="D25" s="2">
        <v>2</v>
      </c>
      <c r="E25" s="2">
        <v>31</v>
      </c>
      <c r="F25" t="s">
        <v>31</v>
      </c>
    </row>
    <row r="26" spans="1:8" x14ac:dyDescent="0.25">
      <c r="A26" t="s">
        <v>17</v>
      </c>
      <c r="B26" t="s">
        <v>20</v>
      </c>
      <c r="C26" s="2">
        <f>D13*$B$3</f>
        <v>5.5079310000000001</v>
      </c>
      <c r="D26" s="2">
        <f>E13*$B$3</f>
        <v>5.2102050000000011</v>
      </c>
      <c r="E26" s="2">
        <f>F13*$B$3</f>
        <v>5.8743630000000007</v>
      </c>
    </row>
    <row r="27" spans="1:8" x14ac:dyDescent="0.25">
      <c r="B27" t="s">
        <v>21</v>
      </c>
      <c r="C27" s="2">
        <f>$D$8*D11</f>
        <v>16.6907</v>
      </c>
      <c r="D27" s="2">
        <f>$D$8*E11</f>
        <v>15.788500000000003</v>
      </c>
      <c r="E27" s="2">
        <f>$D$8*F11</f>
        <v>17.801100000000002</v>
      </c>
    </row>
    <row r="28" spans="1:8" x14ac:dyDescent="0.25">
      <c r="A28" t="s">
        <v>24</v>
      </c>
      <c r="B28" t="s">
        <v>19</v>
      </c>
      <c r="C28" s="2">
        <f>D16*(D14*20+D15*4)</f>
        <v>46.08</v>
      </c>
      <c r="D28" s="2">
        <f>E16*(E14*20+E15*4)</f>
        <v>5.5200000000000005</v>
      </c>
      <c r="E28" s="2">
        <f>F16*(F14*20+F15*4)</f>
        <v>95</v>
      </c>
    </row>
    <row r="29" spans="1:8" x14ac:dyDescent="0.25">
      <c r="B29" t="s">
        <v>23</v>
      </c>
      <c r="C29" s="2">
        <f>D16*D17</f>
        <v>62.4</v>
      </c>
      <c r="D29" s="2">
        <f>E16*E17</f>
        <v>23</v>
      </c>
      <c r="E29" s="2">
        <f>F16*F17</f>
        <v>100</v>
      </c>
    </row>
    <row r="30" spans="1:8" x14ac:dyDescent="0.25">
      <c r="A30" t="s">
        <v>53</v>
      </c>
      <c r="B30" t="s">
        <v>33</v>
      </c>
      <c r="C30" s="2">
        <f>$C$22+$C$24+$C$26+$C$28</f>
        <v>128.03793100000001</v>
      </c>
      <c r="D30" s="2">
        <f>$D$22+$D$24+$D$26+$D$28</f>
        <v>68.590204999999983</v>
      </c>
      <c r="E30" s="2">
        <f>$E$22+$E$24+$E$26+$E$28</f>
        <v>198.22436300000001</v>
      </c>
    </row>
    <row r="31" spans="1:8" x14ac:dyDescent="0.25">
      <c r="B31" t="s">
        <v>34</v>
      </c>
      <c r="C31" s="2">
        <f>$C$23+$C$25+$C$27+$C$29</f>
        <v>180.0907</v>
      </c>
      <c r="D31" s="2">
        <f>$D$23+$D$25+$D$27+$D$29</f>
        <v>128.7885</v>
      </c>
      <c r="E31" s="2">
        <f>$E$23+$E$25+$E$27+$E$29</f>
        <v>236.80109999999999</v>
      </c>
    </row>
    <row r="32" spans="1:8" x14ac:dyDescent="0.25">
      <c r="A32" t="s">
        <v>54</v>
      </c>
      <c r="B32" t="s">
        <v>33</v>
      </c>
      <c r="C32" s="2">
        <f>$C$22*(12/30)+$C$24+$C$26+$C$28</f>
        <v>84.741930999999994</v>
      </c>
      <c r="D32" s="2">
        <f>$D$22*(12/30)+$D$24+$D$26+$D$28</f>
        <v>34.270204999999997</v>
      </c>
      <c r="E32" s="2">
        <f>$E$22*(12/30)+$E$24+$E$26+$E$28</f>
        <v>145.95236299999999</v>
      </c>
    </row>
    <row r="33" spans="2:5" x14ac:dyDescent="0.25">
      <c r="B33" t="s">
        <v>34</v>
      </c>
      <c r="C33" s="2">
        <f>$C$23*(12/30)+$C$25+$C$27+$C$29</f>
        <v>127.29070000000002</v>
      </c>
      <c r="D33" s="2">
        <f>$D$23*(12/30)+$D$25+$D$27+$D$29</f>
        <v>75.988500000000002</v>
      </c>
      <c r="E33" s="2">
        <f>$E$23*(12/30)+$E$25+$E$27+$E$29</f>
        <v>184.00110000000001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Joslin estimates</vt:lpstr>
      <vt:lpstr>Summer 2024 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Chelsea Marie Peterson</dc:creator>
  <cp:lastModifiedBy>Chelsea</cp:lastModifiedBy>
  <dcterms:created xsi:type="dcterms:W3CDTF">2024-10-28T00:46:40Z</dcterms:created>
  <dcterms:modified xsi:type="dcterms:W3CDTF">2025-03-10T14:28:24Z</dcterms:modified>
</cp:coreProperties>
</file>