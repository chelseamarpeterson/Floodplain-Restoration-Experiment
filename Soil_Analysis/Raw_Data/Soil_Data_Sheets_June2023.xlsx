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https://uillinoisedu-my.sharepoint.com/personal/cmptrsn2_illinois_edu/Documents/Ch1/SoilData/"/>
    </mc:Choice>
  </mc:AlternateContent>
  <xr:revisionPtr revIDLastSave="10" documentId="13_ncr:1_{B94A0301-2DCF-4371-9E08-4B7791B5EDC8}" xr6:coauthVersionLast="47" xr6:coauthVersionMax="47" xr10:uidLastSave="{59AB187E-29E5-4B2D-9FF5-8C47E9EA8B76}"/>
  <bookViews>
    <workbookView xWindow="-28920" yWindow="-120" windowWidth="29040" windowHeight="15990" firstSheet="1" activeTab="1" xr2:uid="{65FB2B9C-6F7A-4F1B-AEB7-F854CD38E57F}"/>
  </bookViews>
  <sheets>
    <sheet name="Bulk density" sheetId="2" state="hidden" r:id="rId1"/>
    <sheet name="Waypoint results" sheetId="7" r:id="rId2"/>
    <sheet name="Bulk density sorted" sheetId="4" r:id="rId3"/>
    <sheet name="Waypoint &amp; ag samples" sheetId="3" state="hidden" r:id="rId4"/>
    <sheet name="Waypoint &amp; agg samples sorte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2" i="5"/>
  <c r="Q3" i="4"/>
  <c r="Q4" i="4"/>
  <c r="Q5" i="4"/>
  <c r="Q6" i="4"/>
  <c r="Q7" i="4"/>
  <c r="Q8" i="4"/>
  <c r="Q9" i="4"/>
  <c r="R9" i="4" s="1"/>
  <c r="U9" i="4" s="1"/>
  <c r="Q10" i="4"/>
  <c r="R10" i="4" s="1"/>
  <c r="Q11" i="4"/>
  <c r="Q12" i="4"/>
  <c r="Q13" i="4"/>
  <c r="Q14" i="4"/>
  <c r="Q15" i="4"/>
  <c r="Q16" i="4"/>
  <c r="Q17" i="4"/>
  <c r="R17" i="4" s="1"/>
  <c r="U17" i="4" s="1"/>
  <c r="Q18" i="4"/>
  <c r="R18" i="4" s="1"/>
  <c r="Q19" i="4"/>
  <c r="Q20" i="4"/>
  <c r="Q21" i="4"/>
  <c r="Q22" i="4"/>
  <c r="Q23" i="4"/>
  <c r="Q24" i="4"/>
  <c r="Q25" i="4"/>
  <c r="R25" i="4" s="1"/>
  <c r="U25" i="4" s="1"/>
  <c r="Q26" i="4"/>
  <c r="R26" i="4" s="1"/>
  <c r="Q27" i="4"/>
  <c r="Q28" i="4"/>
  <c r="Q29" i="4"/>
  <c r="Q30" i="4"/>
  <c r="Q31" i="4"/>
  <c r="Q32" i="4"/>
  <c r="Q33" i="4"/>
  <c r="R33" i="4" s="1"/>
  <c r="T33" i="4" s="1"/>
  <c r="Q34" i="4"/>
  <c r="R34" i="4" s="1"/>
  <c r="Q35" i="4"/>
  <c r="Q36" i="4"/>
  <c r="Q37" i="4"/>
  <c r="Q38" i="4"/>
  <c r="Q39" i="4"/>
  <c r="Q40" i="4"/>
  <c r="Q41" i="4"/>
  <c r="R41" i="4" s="1"/>
  <c r="T41" i="4" s="1"/>
  <c r="Q42" i="4"/>
  <c r="R42" i="4" s="1"/>
  <c r="Q43" i="4"/>
  <c r="Q44" i="4"/>
  <c r="Q45" i="4"/>
  <c r="Q46" i="4"/>
  <c r="Q47" i="4"/>
  <c r="Q48" i="4"/>
  <c r="Q49" i="4"/>
  <c r="R49" i="4" s="1"/>
  <c r="T49" i="4" s="1"/>
  <c r="Q50" i="4"/>
  <c r="R50" i="4" s="1"/>
  <c r="Q51" i="4"/>
  <c r="Q52" i="4"/>
  <c r="Q53" i="4"/>
  <c r="Q54" i="4"/>
  <c r="Q55" i="4"/>
  <c r="Q56" i="4"/>
  <c r="Q57" i="4"/>
  <c r="R57" i="4" s="1"/>
  <c r="T57" i="4" s="1"/>
  <c r="Q58" i="4"/>
  <c r="R58" i="4" s="1"/>
  <c r="Q59" i="4"/>
  <c r="Q60" i="4"/>
  <c r="Q61" i="4"/>
  <c r="Q62" i="4"/>
  <c r="Q63" i="4"/>
  <c r="Q64" i="4"/>
  <c r="Q65" i="4"/>
  <c r="R65" i="4" s="1"/>
  <c r="T65" i="4" s="1"/>
  <c r="Q66" i="4"/>
  <c r="R66" i="4" s="1"/>
  <c r="Q67" i="4"/>
  <c r="Q68" i="4"/>
  <c r="Q69" i="4"/>
  <c r="Q70" i="4"/>
  <c r="Q71" i="4"/>
  <c r="Q72" i="4"/>
  <c r="Q73" i="4"/>
  <c r="R73" i="4" s="1"/>
  <c r="T73" i="4" s="1"/>
  <c r="Q74" i="4"/>
  <c r="R74" i="4" s="1"/>
  <c r="Q75" i="4"/>
  <c r="Q76" i="4"/>
  <c r="Q77" i="4"/>
  <c r="Q78" i="4"/>
  <c r="Q79" i="4"/>
  <c r="Q80" i="4"/>
  <c r="Q81" i="4"/>
  <c r="R81" i="4" s="1"/>
  <c r="T81" i="4" s="1"/>
  <c r="Q82" i="4"/>
  <c r="R82" i="4" s="1"/>
  <c r="Q83" i="4"/>
  <c r="Q84" i="4"/>
  <c r="Q85" i="4"/>
  <c r="Q86" i="4"/>
  <c r="Q87" i="4"/>
  <c r="Q88" i="4"/>
  <c r="Q89" i="4"/>
  <c r="R89" i="4" s="1"/>
  <c r="T89" i="4" s="1"/>
  <c r="Q90" i="4"/>
  <c r="R90" i="4" s="1"/>
  <c r="Q91" i="4"/>
  <c r="Q92" i="4"/>
  <c r="Q93" i="4"/>
  <c r="Q94" i="4"/>
  <c r="Q95" i="4"/>
  <c r="Q96" i="4"/>
  <c r="Q97" i="4"/>
  <c r="R97" i="4" s="1"/>
  <c r="T97" i="4" s="1"/>
  <c r="Q98" i="4"/>
  <c r="R98" i="4" s="1"/>
  <c r="Q99" i="4"/>
  <c r="Q100" i="4"/>
  <c r="Q101" i="4"/>
  <c r="Q102" i="4"/>
  <c r="Q103" i="4"/>
  <c r="Q104" i="4"/>
  <c r="Q105" i="4"/>
  <c r="R105" i="4" s="1"/>
  <c r="T105" i="4" s="1"/>
  <c r="Q106" i="4"/>
  <c r="R106" i="4" s="1"/>
  <c r="Q107" i="4"/>
  <c r="Q108" i="4"/>
  <c r="Q109" i="4"/>
  <c r="Q110" i="4"/>
  <c r="Q111" i="4"/>
  <c r="Q112" i="4"/>
  <c r="Q113" i="4"/>
  <c r="R113" i="4" s="1"/>
  <c r="T113" i="4" s="1"/>
  <c r="Q114" i="4"/>
  <c r="R114" i="4" s="1"/>
  <c r="Q115" i="4"/>
  <c r="Q116" i="4"/>
  <c r="Q117" i="4"/>
  <c r="Q118" i="4"/>
  <c r="Q119" i="4"/>
  <c r="Q120" i="4"/>
  <c r="Q121" i="4"/>
  <c r="R121" i="4" s="1"/>
  <c r="T121" i="4" s="1"/>
  <c r="Q122" i="4"/>
  <c r="R122" i="4" s="1"/>
  <c r="Q123" i="4"/>
  <c r="Q124" i="4"/>
  <c r="Q125" i="4"/>
  <c r="Q126" i="4"/>
  <c r="Q127" i="4"/>
  <c r="Q128" i="4"/>
  <c r="Q129" i="4"/>
  <c r="R129" i="4" s="1"/>
  <c r="T129" i="4" s="1"/>
  <c r="Q130" i="4"/>
  <c r="R130" i="4" s="1"/>
  <c r="Q131" i="4"/>
  <c r="Q132" i="4"/>
  <c r="Q133" i="4"/>
  <c r="Q134" i="4"/>
  <c r="Q135" i="4"/>
  <c r="Q136" i="4"/>
  <c r="Q137" i="4"/>
  <c r="R137" i="4" s="1"/>
  <c r="T137" i="4" s="1"/>
  <c r="Q138" i="4"/>
  <c r="R138" i="4" s="1"/>
  <c r="Q139" i="4"/>
  <c r="Q140" i="4"/>
  <c r="Q141" i="4"/>
  <c r="Q142" i="4"/>
  <c r="Q143" i="4"/>
  <c r="Q144" i="4"/>
  <c r="Q145" i="4"/>
  <c r="R145" i="4" s="1"/>
  <c r="T145" i="4" s="1"/>
  <c r="Q146" i="4"/>
  <c r="R146" i="4" s="1"/>
  <c r="Q147" i="4"/>
  <c r="Q148" i="4"/>
  <c r="Q149" i="4"/>
  <c r="Q150" i="4"/>
  <c r="Q151" i="4"/>
  <c r="Q152" i="4"/>
  <c r="Q153" i="4"/>
  <c r="R153" i="4" s="1"/>
  <c r="U153" i="4" s="1"/>
  <c r="Q154" i="4"/>
  <c r="R154" i="4" s="1"/>
  <c r="Q155" i="4"/>
  <c r="Q156" i="4"/>
  <c r="Q2" i="4"/>
  <c r="R2" i="4" s="1"/>
  <c r="R158" i="4"/>
  <c r="R159" i="4"/>
  <c r="R160" i="4"/>
  <c r="R161" i="4"/>
  <c r="R162" i="4"/>
  <c r="R163" i="4"/>
  <c r="T163" i="4" s="1"/>
  <c r="R164" i="4"/>
  <c r="R165" i="4"/>
  <c r="T165" i="4" s="1"/>
  <c r="R166" i="4"/>
  <c r="R167" i="4"/>
  <c r="R168" i="4"/>
  <c r="R169" i="4"/>
  <c r="R170" i="4"/>
  <c r="R171" i="4"/>
  <c r="T171" i="4" s="1"/>
  <c r="R172" i="4"/>
  <c r="R173" i="4"/>
  <c r="T173" i="4" s="1"/>
  <c r="R174" i="4"/>
  <c r="R175" i="4"/>
  <c r="R176" i="4"/>
  <c r="R177" i="4"/>
  <c r="R178" i="4"/>
  <c r="R179" i="4"/>
  <c r="T179" i="4" s="1"/>
  <c r="R180" i="4"/>
  <c r="R181" i="4"/>
  <c r="T181" i="4" s="1"/>
  <c r="R182" i="4"/>
  <c r="R3" i="4"/>
  <c r="R4" i="4"/>
  <c r="R5" i="4"/>
  <c r="U5" i="4" s="1"/>
  <c r="R6" i="4"/>
  <c r="R7" i="4"/>
  <c r="R8" i="4"/>
  <c r="R11" i="4"/>
  <c r="R12" i="4"/>
  <c r="R13" i="4"/>
  <c r="T13" i="4" s="1"/>
  <c r="R14" i="4"/>
  <c r="T14" i="4" s="1"/>
  <c r="R15" i="4"/>
  <c r="R16" i="4"/>
  <c r="R19" i="4"/>
  <c r="R20" i="4"/>
  <c r="R21" i="4"/>
  <c r="T21" i="4" s="1"/>
  <c r="R22" i="4"/>
  <c r="T22" i="4" s="1"/>
  <c r="R23" i="4"/>
  <c r="R24" i="4"/>
  <c r="R27" i="4"/>
  <c r="R28" i="4"/>
  <c r="R29" i="4"/>
  <c r="U29" i="4" s="1"/>
  <c r="R30" i="4"/>
  <c r="U30" i="4" s="1"/>
  <c r="R31" i="4"/>
  <c r="R32" i="4"/>
  <c r="R35" i="4"/>
  <c r="R36" i="4"/>
  <c r="R37" i="4"/>
  <c r="U37" i="4" s="1"/>
  <c r="R38" i="4"/>
  <c r="R39" i="4"/>
  <c r="R40" i="4"/>
  <c r="R43" i="4"/>
  <c r="R44" i="4"/>
  <c r="R45" i="4"/>
  <c r="U45" i="4" s="1"/>
  <c r="R46" i="4"/>
  <c r="T46" i="4" s="1"/>
  <c r="R47" i="4"/>
  <c r="R48" i="4"/>
  <c r="R51" i="4"/>
  <c r="R52" i="4"/>
  <c r="R53" i="4"/>
  <c r="T53" i="4" s="1"/>
  <c r="R54" i="4"/>
  <c r="T54" i="4" s="1"/>
  <c r="R55" i="4"/>
  <c r="R56" i="4"/>
  <c r="R59" i="4"/>
  <c r="R60" i="4"/>
  <c r="R61" i="4"/>
  <c r="T61" i="4" s="1"/>
  <c r="R62" i="4"/>
  <c r="T62" i="4" s="1"/>
  <c r="R63" i="4"/>
  <c r="R64" i="4"/>
  <c r="R67" i="4"/>
  <c r="R68" i="4"/>
  <c r="R69" i="4"/>
  <c r="T69" i="4" s="1"/>
  <c r="R70" i="4"/>
  <c r="T70" i="4" s="1"/>
  <c r="R71" i="4"/>
  <c r="R72" i="4"/>
  <c r="R75" i="4"/>
  <c r="R76" i="4"/>
  <c r="R77" i="4"/>
  <c r="T77" i="4" s="1"/>
  <c r="R78" i="4"/>
  <c r="T78" i="4" s="1"/>
  <c r="R79" i="4"/>
  <c r="R80" i="4"/>
  <c r="R83" i="4"/>
  <c r="R84" i="4"/>
  <c r="R85" i="4"/>
  <c r="U85" i="4" s="1"/>
  <c r="R86" i="4"/>
  <c r="T86" i="4" s="1"/>
  <c r="R87" i="4"/>
  <c r="R88" i="4"/>
  <c r="R91" i="4"/>
  <c r="R92" i="4"/>
  <c r="R93" i="4"/>
  <c r="U93" i="4" s="1"/>
  <c r="R94" i="4"/>
  <c r="R95" i="4"/>
  <c r="R96" i="4"/>
  <c r="R99" i="4"/>
  <c r="R100" i="4"/>
  <c r="R101" i="4"/>
  <c r="T101" i="4" s="1"/>
  <c r="R102" i="4"/>
  <c r="U102" i="4" s="1"/>
  <c r="R103" i="4"/>
  <c r="R104" i="4"/>
  <c r="R107" i="4"/>
  <c r="R108" i="4"/>
  <c r="R109" i="4"/>
  <c r="U109" i="4" s="1"/>
  <c r="R110" i="4"/>
  <c r="T110" i="4" s="1"/>
  <c r="R111" i="4"/>
  <c r="R112" i="4"/>
  <c r="R115" i="4"/>
  <c r="R116" i="4"/>
  <c r="R117" i="4"/>
  <c r="U117" i="4" s="1"/>
  <c r="R118" i="4"/>
  <c r="T118" i="4" s="1"/>
  <c r="R119" i="4"/>
  <c r="R120" i="4"/>
  <c r="R123" i="4"/>
  <c r="R124" i="4"/>
  <c r="R125" i="4"/>
  <c r="T125" i="4" s="1"/>
  <c r="R126" i="4"/>
  <c r="T126" i="4" s="1"/>
  <c r="R127" i="4"/>
  <c r="R128" i="4"/>
  <c r="R131" i="4"/>
  <c r="R132" i="4"/>
  <c r="R133" i="4"/>
  <c r="T133" i="4" s="1"/>
  <c r="R134" i="4"/>
  <c r="T134" i="4" s="1"/>
  <c r="R135" i="4"/>
  <c r="R136" i="4"/>
  <c r="R139" i="4"/>
  <c r="R140" i="4"/>
  <c r="R141" i="4"/>
  <c r="T141" i="4" s="1"/>
  <c r="R142" i="4"/>
  <c r="T142" i="4" s="1"/>
  <c r="R143" i="4"/>
  <c r="R144" i="4"/>
  <c r="R147" i="4"/>
  <c r="R148" i="4"/>
  <c r="R149" i="4"/>
  <c r="U149" i="4" s="1"/>
  <c r="R150" i="4"/>
  <c r="T150" i="4" s="1"/>
  <c r="R151" i="4"/>
  <c r="R152" i="4"/>
  <c r="R155" i="4"/>
  <c r="R156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2" i="4"/>
  <c r="M3" i="4"/>
  <c r="M4" i="4"/>
  <c r="M5" i="4"/>
  <c r="M6" i="4"/>
  <c r="S6" i="4" s="1"/>
  <c r="M7" i="4"/>
  <c r="M8" i="4"/>
  <c r="M9" i="4"/>
  <c r="M10" i="4"/>
  <c r="M11" i="4"/>
  <c r="M12" i="4"/>
  <c r="M13" i="4"/>
  <c r="M14" i="4"/>
  <c r="S14" i="4" s="1"/>
  <c r="M15" i="4"/>
  <c r="M16" i="4"/>
  <c r="M17" i="4"/>
  <c r="M18" i="4"/>
  <c r="M19" i="4"/>
  <c r="M20" i="4"/>
  <c r="M21" i="4"/>
  <c r="M22" i="4"/>
  <c r="S22" i="4" s="1"/>
  <c r="M23" i="4"/>
  <c r="M24" i="4"/>
  <c r="M25" i="4"/>
  <c r="M26" i="4"/>
  <c r="M27" i="4"/>
  <c r="M28" i="4"/>
  <c r="M29" i="4"/>
  <c r="M30" i="4"/>
  <c r="S30" i="4" s="1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S46" i="4" s="1"/>
  <c r="M47" i="4"/>
  <c r="M48" i="4"/>
  <c r="M49" i="4"/>
  <c r="M50" i="4"/>
  <c r="M51" i="4"/>
  <c r="M52" i="4"/>
  <c r="M53" i="4"/>
  <c r="M54" i="4"/>
  <c r="S54" i="4" s="1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S86" i="4" s="1"/>
  <c r="M87" i="4"/>
  <c r="M88" i="4"/>
  <c r="M89" i="4"/>
  <c r="M90" i="4"/>
  <c r="M91" i="4"/>
  <c r="M92" i="4"/>
  <c r="M93" i="4"/>
  <c r="M94" i="4"/>
  <c r="S94" i="4" s="1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S126" i="4" s="1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S142" i="4" s="1"/>
  <c r="M143" i="4"/>
  <c r="M144" i="4"/>
  <c r="M145" i="4"/>
  <c r="M146" i="4"/>
  <c r="M147" i="4"/>
  <c r="M148" i="4"/>
  <c r="M149" i="4"/>
  <c r="M150" i="4"/>
  <c r="M151" i="4"/>
  <c r="U151" i="4" s="1"/>
  <c r="M152" i="4"/>
  <c r="M153" i="4"/>
  <c r="M154" i="4"/>
  <c r="M155" i="4"/>
  <c r="M156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2" i="4"/>
  <c r="U23" i="4"/>
  <c r="T12" i="4"/>
  <c r="T20" i="4"/>
  <c r="T31" i="4"/>
  <c r="T37" i="4"/>
  <c r="T38" i="4"/>
  <c r="T39" i="4"/>
  <c r="T47" i="4"/>
  <c r="T55" i="4"/>
  <c r="T63" i="4"/>
  <c r="T71" i="4"/>
  <c r="T79" i="4"/>
  <c r="T87" i="4"/>
  <c r="T93" i="4"/>
  <c r="T94" i="4"/>
  <c r="T95" i="4"/>
  <c r="T103" i="4"/>
  <c r="T111" i="4"/>
  <c r="T117" i="4"/>
  <c r="T119" i="4"/>
  <c r="T127" i="4"/>
  <c r="T135" i="4"/>
  <c r="T143" i="4"/>
  <c r="T149" i="4"/>
  <c r="T151" i="4"/>
  <c r="T158" i="4"/>
  <c r="T159" i="4"/>
  <c r="T160" i="4"/>
  <c r="T161" i="4"/>
  <c r="T162" i="4"/>
  <c r="T164" i="4"/>
  <c r="T166" i="4"/>
  <c r="T167" i="4"/>
  <c r="T168" i="4"/>
  <c r="T169" i="4"/>
  <c r="T170" i="4"/>
  <c r="T172" i="4"/>
  <c r="T174" i="4"/>
  <c r="T175" i="4"/>
  <c r="T176" i="4"/>
  <c r="T177" i="4"/>
  <c r="T178" i="4"/>
  <c r="T180" i="4"/>
  <c r="T182" i="4"/>
  <c r="S29" i="4"/>
  <c r="S61" i="4"/>
  <c r="S62" i="4"/>
  <c r="S93" i="4"/>
  <c r="S118" i="4"/>
  <c r="S125" i="4"/>
  <c r="S150" i="4"/>
  <c r="S2" i="4"/>
  <c r="U3" i="4"/>
  <c r="T4" i="4"/>
  <c r="T5" i="4"/>
  <c r="T6" i="4"/>
  <c r="T7" i="4"/>
  <c r="T11" i="4"/>
  <c r="T15" i="4"/>
  <c r="U19" i="4"/>
  <c r="T23" i="4"/>
  <c r="U27" i="4"/>
  <c r="T28" i="4"/>
  <c r="T35" i="4"/>
  <c r="T36" i="4"/>
  <c r="U43" i="4"/>
  <c r="T44" i="4"/>
  <c r="T51" i="4"/>
  <c r="T52" i="4"/>
  <c r="U55" i="4"/>
  <c r="T59" i="4"/>
  <c r="T60" i="4"/>
  <c r="U67" i="4"/>
  <c r="T68" i="4"/>
  <c r="T75" i="4"/>
  <c r="T76" i="4"/>
  <c r="T83" i="4"/>
  <c r="T84" i="4"/>
  <c r="U87" i="4"/>
  <c r="U91" i="4"/>
  <c r="T92" i="4"/>
  <c r="T99" i="4"/>
  <c r="T100" i="4"/>
  <c r="T107" i="4"/>
  <c r="T108" i="4"/>
  <c r="U115" i="4"/>
  <c r="T116" i="4"/>
  <c r="U119" i="4"/>
  <c r="T123" i="4"/>
  <c r="T124" i="4"/>
  <c r="T131" i="4"/>
  <c r="T132" i="4"/>
  <c r="U139" i="4"/>
  <c r="T140" i="4"/>
  <c r="U147" i="4"/>
  <c r="T148" i="4"/>
  <c r="T155" i="4"/>
  <c r="T156" i="4"/>
  <c r="U4" i="4"/>
  <c r="S7" i="4"/>
  <c r="S12" i="4"/>
  <c r="S15" i="4"/>
  <c r="S20" i="4"/>
  <c r="U21" i="4"/>
  <c r="S23" i="4"/>
  <c r="S28" i="4"/>
  <c r="S31" i="4"/>
  <c r="S36" i="4"/>
  <c r="S39" i="4"/>
  <c r="S44" i="4"/>
  <c r="S47" i="4"/>
  <c r="U51" i="4"/>
  <c r="S52" i="4"/>
  <c r="S55" i="4"/>
  <c r="S60" i="4"/>
  <c r="U61" i="4"/>
  <c r="S63" i="4"/>
  <c r="S68" i="4"/>
  <c r="S71" i="4"/>
  <c r="S76" i="4"/>
  <c r="S79" i="4"/>
  <c r="S84" i="4"/>
  <c r="S87" i="4"/>
  <c r="S92" i="4"/>
  <c r="S95" i="4"/>
  <c r="S100" i="4"/>
  <c r="U101" i="4"/>
  <c r="S103" i="4"/>
  <c r="S108" i="4"/>
  <c r="S110" i="4"/>
  <c r="S111" i="4"/>
  <c r="S116" i="4"/>
  <c r="S119" i="4"/>
  <c r="S124" i="4"/>
  <c r="S127" i="4"/>
  <c r="S132" i="4"/>
  <c r="S135" i="4"/>
  <c r="S140" i="4"/>
  <c r="U141" i="4"/>
  <c r="S143" i="4"/>
  <c r="S148" i="4"/>
  <c r="S151" i="4"/>
  <c r="S156" i="4"/>
  <c r="S171" i="4"/>
  <c r="M176" i="4"/>
  <c r="Q158" i="4"/>
  <c r="Q159" i="4"/>
  <c r="Q160" i="4"/>
  <c r="Q161" i="4"/>
  <c r="Q162" i="4"/>
  <c r="Q163" i="4"/>
  <c r="U163" i="4" s="1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U179" i="4" s="1"/>
  <c r="Q180" i="4"/>
  <c r="Q181" i="4"/>
  <c r="Q182" i="4"/>
  <c r="L158" i="4"/>
  <c r="L159" i="4"/>
  <c r="L160" i="4"/>
  <c r="L161" i="4"/>
  <c r="L162" i="4"/>
  <c r="M162" i="4" s="1"/>
  <c r="U162" i="4" s="1"/>
  <c r="L163" i="4"/>
  <c r="L164" i="4"/>
  <c r="L165" i="4"/>
  <c r="M165" i="4" s="1"/>
  <c r="L166" i="4"/>
  <c r="L167" i="4"/>
  <c r="L168" i="4"/>
  <c r="L169" i="4"/>
  <c r="L170" i="4"/>
  <c r="L171" i="4"/>
  <c r="L172" i="4"/>
  <c r="L173" i="4"/>
  <c r="M173" i="4" s="1"/>
  <c r="L174" i="4"/>
  <c r="L175" i="4"/>
  <c r="L176" i="4"/>
  <c r="L177" i="4"/>
  <c r="L178" i="4"/>
  <c r="M178" i="4" s="1"/>
  <c r="U178" i="4" s="1"/>
  <c r="L179" i="4"/>
  <c r="L180" i="4"/>
  <c r="L181" i="4"/>
  <c r="L182" i="4"/>
  <c r="H158" i="4"/>
  <c r="H159" i="4"/>
  <c r="H160" i="4"/>
  <c r="S160" i="4" s="1"/>
  <c r="H161" i="4"/>
  <c r="H162" i="4"/>
  <c r="S162" i="4" s="1"/>
  <c r="H163" i="4"/>
  <c r="H164" i="4"/>
  <c r="H165" i="4"/>
  <c r="H166" i="4"/>
  <c r="H167" i="4"/>
  <c r="H168" i="4"/>
  <c r="S168" i="4" s="1"/>
  <c r="H169" i="4"/>
  <c r="H170" i="4"/>
  <c r="H171" i="4"/>
  <c r="H172" i="4"/>
  <c r="H173" i="4"/>
  <c r="H174" i="4"/>
  <c r="H175" i="4"/>
  <c r="H176" i="4"/>
  <c r="S176" i="4" s="1"/>
  <c r="H177" i="4"/>
  <c r="H178" i="4"/>
  <c r="S178" i="4" s="1"/>
  <c r="H179" i="4"/>
  <c r="H180" i="4"/>
  <c r="H181" i="4"/>
  <c r="H182" i="4"/>
  <c r="I158" i="4"/>
  <c r="M158" i="4" s="1"/>
  <c r="U158" i="4" s="1"/>
  <c r="I159" i="4"/>
  <c r="M159" i="4" s="1"/>
  <c r="U159" i="4" s="1"/>
  <c r="I160" i="4"/>
  <c r="M160" i="4" s="1"/>
  <c r="I161" i="4"/>
  <c r="M161" i="4" s="1"/>
  <c r="U161" i="4" s="1"/>
  <c r="I162" i="4"/>
  <c r="I163" i="4"/>
  <c r="M163" i="4" s="1"/>
  <c r="I164" i="4"/>
  <c r="I165" i="4"/>
  <c r="I166" i="4"/>
  <c r="M166" i="4" s="1"/>
  <c r="U166" i="4" s="1"/>
  <c r="I167" i="4"/>
  <c r="M167" i="4" s="1"/>
  <c r="U167" i="4" s="1"/>
  <c r="I168" i="4"/>
  <c r="M168" i="4" s="1"/>
  <c r="U168" i="4" s="1"/>
  <c r="I169" i="4"/>
  <c r="M169" i="4" s="1"/>
  <c r="U169" i="4" s="1"/>
  <c r="I170" i="4"/>
  <c r="I171" i="4"/>
  <c r="M171" i="4" s="1"/>
  <c r="I172" i="4"/>
  <c r="I173" i="4"/>
  <c r="I174" i="4"/>
  <c r="M174" i="4" s="1"/>
  <c r="U174" i="4" s="1"/>
  <c r="I175" i="4"/>
  <c r="M175" i="4" s="1"/>
  <c r="U175" i="4" s="1"/>
  <c r="I176" i="4"/>
  <c r="I177" i="4"/>
  <c r="M177" i="4" s="1"/>
  <c r="U177" i="4" s="1"/>
  <c r="I178" i="4"/>
  <c r="I179" i="4"/>
  <c r="M179" i="4" s="1"/>
  <c r="S179" i="4" s="1"/>
  <c r="I180" i="4"/>
  <c r="I181" i="4"/>
  <c r="I182" i="4"/>
  <c r="M182" i="4" s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2" i="2"/>
  <c r="U77" i="4" l="1"/>
  <c r="U126" i="4"/>
  <c r="U53" i="4"/>
  <c r="U13" i="4"/>
  <c r="T109" i="4"/>
  <c r="T85" i="4"/>
  <c r="T30" i="4"/>
  <c r="U133" i="4"/>
  <c r="T29" i="4"/>
  <c r="U69" i="4"/>
  <c r="T102" i="4"/>
  <c r="T45" i="4"/>
  <c r="U125" i="4"/>
  <c r="T2" i="4"/>
  <c r="U2" i="4"/>
  <c r="U173" i="4"/>
  <c r="U165" i="4"/>
  <c r="T153" i="4"/>
  <c r="U54" i="4"/>
  <c r="U145" i="4"/>
  <c r="T154" i="4"/>
  <c r="T146" i="4"/>
  <c r="T138" i="4"/>
  <c r="T130" i="4"/>
  <c r="T122" i="4"/>
  <c r="T114" i="4"/>
  <c r="T106" i="4"/>
  <c r="T98" i="4"/>
  <c r="T90" i="4"/>
  <c r="T82" i="4"/>
  <c r="T74" i="4"/>
  <c r="T66" i="4"/>
  <c r="T58" i="4"/>
  <c r="T50" i="4"/>
  <c r="T42" i="4"/>
  <c r="T34" i="4"/>
  <c r="T18" i="4"/>
  <c r="U150" i="4"/>
  <c r="U134" i="4"/>
  <c r="U118" i="4"/>
  <c r="U78" i="4"/>
  <c r="U70" i="4"/>
  <c r="U62" i="4"/>
  <c r="U38" i="4"/>
  <c r="T26" i="4"/>
  <c r="U26" i="4"/>
  <c r="T152" i="4"/>
  <c r="U152" i="4"/>
  <c r="T144" i="4"/>
  <c r="U144" i="4"/>
  <c r="T136" i="4"/>
  <c r="U136" i="4"/>
  <c r="T128" i="4"/>
  <c r="U128" i="4"/>
  <c r="T120" i="4"/>
  <c r="U120" i="4"/>
  <c r="T112" i="4"/>
  <c r="U112" i="4"/>
  <c r="T104" i="4"/>
  <c r="U104" i="4"/>
  <c r="T96" i="4"/>
  <c r="U96" i="4"/>
  <c r="T88" i="4"/>
  <c r="U88" i="4"/>
  <c r="T80" i="4"/>
  <c r="U80" i="4"/>
  <c r="T72" i="4"/>
  <c r="U72" i="4"/>
  <c r="T64" i="4"/>
  <c r="U64" i="4"/>
  <c r="T56" i="4"/>
  <c r="U56" i="4"/>
  <c r="T48" i="4"/>
  <c r="U48" i="4"/>
  <c r="T40" i="4"/>
  <c r="U40" i="4"/>
  <c r="T32" i="4"/>
  <c r="U32" i="4"/>
  <c r="T24" i="4"/>
  <c r="U24" i="4"/>
  <c r="T16" i="4"/>
  <c r="U16" i="4"/>
  <c r="U8" i="4"/>
  <c r="T8" i="4"/>
  <c r="T3" i="4"/>
  <c r="U155" i="4"/>
  <c r="U123" i="4"/>
  <c r="U75" i="4"/>
  <c r="U99" i="4"/>
  <c r="U131" i="4"/>
  <c r="U59" i="4"/>
  <c r="T19" i="4"/>
  <c r="U35" i="4"/>
  <c r="U129" i="4"/>
  <c r="U107" i="4"/>
  <c r="U83" i="4"/>
  <c r="U11" i="4"/>
  <c r="T147" i="4"/>
  <c r="T139" i="4"/>
  <c r="T115" i="4"/>
  <c r="T91" i="4"/>
  <c r="T67" i="4"/>
  <c r="T43" i="4"/>
  <c r="T27" i="4"/>
  <c r="T25" i="4"/>
  <c r="T17" i="4"/>
  <c r="U154" i="4"/>
  <c r="U146" i="4"/>
  <c r="U138" i="4"/>
  <c r="U130" i="4"/>
  <c r="U122" i="4"/>
  <c r="U114" i="4"/>
  <c r="U106" i="4"/>
  <c r="U98" i="4"/>
  <c r="U90" i="4"/>
  <c r="U82" i="4"/>
  <c r="U74" i="4"/>
  <c r="U66" i="4"/>
  <c r="U58" i="4"/>
  <c r="U50" i="4"/>
  <c r="U42" i="4"/>
  <c r="U34" i="4"/>
  <c r="U18" i="4"/>
  <c r="U10" i="4"/>
  <c r="U137" i="4"/>
  <c r="U121" i="4"/>
  <c r="U113" i="4"/>
  <c r="U105" i="4"/>
  <c r="U97" i="4"/>
  <c r="U89" i="4"/>
  <c r="U81" i="4"/>
  <c r="U73" i="4"/>
  <c r="U65" i="4"/>
  <c r="U57" i="4"/>
  <c r="U49" i="4"/>
  <c r="U41" i="4"/>
  <c r="U33" i="4"/>
  <c r="U94" i="4"/>
  <c r="U22" i="4"/>
  <c r="U86" i="4"/>
  <c r="S149" i="4"/>
  <c r="S117" i="4"/>
  <c r="S85" i="4"/>
  <c r="S53" i="4"/>
  <c r="S21" i="4"/>
  <c r="U143" i="4"/>
  <c r="U111" i="4"/>
  <c r="U79" i="4"/>
  <c r="U47" i="4"/>
  <c r="U15" i="4"/>
  <c r="U142" i="4"/>
  <c r="U14" i="4"/>
  <c r="U46" i="4"/>
  <c r="S141" i="4"/>
  <c r="S109" i="4"/>
  <c r="S77" i="4"/>
  <c r="S45" i="4"/>
  <c r="S13" i="4"/>
  <c r="U135" i="4"/>
  <c r="U103" i="4"/>
  <c r="U71" i="4"/>
  <c r="U39" i="4"/>
  <c r="U7" i="4"/>
  <c r="U110" i="4"/>
  <c r="S134" i="4"/>
  <c r="S102" i="4"/>
  <c r="S70" i="4"/>
  <c r="S38" i="4"/>
  <c r="S4" i="4"/>
  <c r="U6" i="4"/>
  <c r="S78" i="4"/>
  <c r="S133" i="4"/>
  <c r="S101" i="4"/>
  <c r="S69" i="4"/>
  <c r="S37" i="4"/>
  <c r="S3" i="4"/>
  <c r="U127" i="4"/>
  <c r="U95" i="4"/>
  <c r="U63" i="4"/>
  <c r="U31" i="4"/>
  <c r="S155" i="4"/>
  <c r="S147" i="4"/>
  <c r="S139" i="4"/>
  <c r="S131" i="4"/>
  <c r="S123" i="4"/>
  <c r="S115" i="4"/>
  <c r="S107" i="4"/>
  <c r="S99" i="4"/>
  <c r="S91" i="4"/>
  <c r="S83" i="4"/>
  <c r="S75" i="4"/>
  <c r="S67" i="4"/>
  <c r="S59" i="4"/>
  <c r="S51" i="4"/>
  <c r="S43" i="4"/>
  <c r="S35" i="4"/>
  <c r="S27" i="4"/>
  <c r="S19" i="4"/>
  <c r="S11" i="4"/>
  <c r="U156" i="4"/>
  <c r="U148" i="4"/>
  <c r="U140" i="4"/>
  <c r="U132" i="4"/>
  <c r="U124" i="4"/>
  <c r="U116" i="4"/>
  <c r="U108" i="4"/>
  <c r="U100" i="4"/>
  <c r="U92" i="4"/>
  <c r="U84" i="4"/>
  <c r="U76" i="4"/>
  <c r="U68" i="4"/>
  <c r="U60" i="4"/>
  <c r="U52" i="4"/>
  <c r="U44" i="4"/>
  <c r="U36" i="4"/>
  <c r="U28" i="4"/>
  <c r="U20" i="4"/>
  <c r="U12" i="4"/>
  <c r="S154" i="4"/>
  <c r="S146" i="4"/>
  <c r="S138" i="4"/>
  <c r="S130" i="4"/>
  <c r="S122" i="4"/>
  <c r="S114" i="4"/>
  <c r="S106" i="4"/>
  <c r="S98" i="4"/>
  <c r="S90" i="4"/>
  <c r="S82" i="4"/>
  <c r="S74" i="4"/>
  <c r="S66" i="4"/>
  <c r="S58" i="4"/>
  <c r="S50" i="4"/>
  <c r="S42" i="4"/>
  <c r="S34" i="4"/>
  <c r="S26" i="4"/>
  <c r="S18" i="4"/>
  <c r="S8" i="4"/>
  <c r="S153" i="4"/>
  <c r="S145" i="4"/>
  <c r="S137" i="4"/>
  <c r="S129" i="4"/>
  <c r="S121" i="4"/>
  <c r="S113" i="4"/>
  <c r="S105" i="4"/>
  <c r="S97" i="4"/>
  <c r="S89" i="4"/>
  <c r="S81" i="4"/>
  <c r="S73" i="4"/>
  <c r="S65" i="4"/>
  <c r="S57" i="4"/>
  <c r="S49" i="4"/>
  <c r="S41" i="4"/>
  <c r="S33" i="4"/>
  <c r="S25" i="4"/>
  <c r="S17" i="4"/>
  <c r="S152" i="4"/>
  <c r="S144" i="4"/>
  <c r="S136" i="4"/>
  <c r="S128" i="4"/>
  <c r="S120" i="4"/>
  <c r="S112" i="4"/>
  <c r="S104" i="4"/>
  <c r="S96" i="4"/>
  <c r="S88" i="4"/>
  <c r="S80" i="4"/>
  <c r="S72" i="4"/>
  <c r="S64" i="4"/>
  <c r="S56" i="4"/>
  <c r="S48" i="4"/>
  <c r="S40" i="4"/>
  <c r="S32" i="4"/>
  <c r="S24" i="4"/>
  <c r="S16" i="4"/>
  <c r="S5" i="4"/>
  <c r="S10" i="4"/>
  <c r="S9" i="4"/>
  <c r="T10" i="4"/>
  <c r="T9" i="4"/>
  <c r="S167" i="4"/>
  <c r="S175" i="4"/>
  <c r="S174" i="4"/>
  <c r="U171" i="4"/>
  <c r="S172" i="4"/>
  <c r="S164" i="4"/>
  <c r="U176" i="4"/>
  <c r="U182" i="4"/>
  <c r="S182" i="4"/>
  <c r="S159" i="4"/>
  <c r="S166" i="4"/>
  <c r="M180" i="4"/>
  <c r="U180" i="4" s="1"/>
  <c r="M172" i="4"/>
  <c r="U172" i="4" s="1"/>
  <c r="M164" i="4"/>
  <c r="U164" i="4" s="1"/>
  <c r="S181" i="4"/>
  <c r="S173" i="4"/>
  <c r="S165" i="4"/>
  <c r="U160" i="4"/>
  <c r="S177" i="4"/>
  <c r="S161" i="4"/>
  <c r="M181" i="4"/>
  <c r="U181" i="4" s="1"/>
  <c r="S158" i="4"/>
  <c r="S180" i="4"/>
  <c r="M170" i="4"/>
  <c r="U170" i="4" s="1"/>
  <c r="S163" i="4"/>
  <c r="S169" i="4"/>
  <c r="S170" i="4" l="1"/>
</calcChain>
</file>

<file path=xl/sharedStrings.xml><?xml version="1.0" encoding="utf-8"?>
<sst xmlns="http://schemas.openxmlformats.org/spreadsheetml/2006/main" count="1815" uniqueCount="90">
  <si>
    <t>Quadrat</t>
  </si>
  <si>
    <t>Depth range (cm)</t>
  </si>
  <si>
    <t>Mass of water (g)</t>
  </si>
  <si>
    <t>Plot</t>
  </si>
  <si>
    <t>Mass of weighing boat (g)</t>
  </si>
  <si>
    <t>Mass of boat + wet soil + coarse rocks + roots (g)</t>
  </si>
  <si>
    <t>A1</t>
  </si>
  <si>
    <t>C1</t>
  </si>
  <si>
    <t>Q2</t>
  </si>
  <si>
    <t>Date</t>
  </si>
  <si>
    <t>B3</t>
  </si>
  <si>
    <t>Q4</t>
  </si>
  <si>
    <t>15-30</t>
  </si>
  <si>
    <t>0-15</t>
  </si>
  <si>
    <t>D3</t>
  </si>
  <si>
    <t>Q3</t>
  </si>
  <si>
    <t>Q1</t>
  </si>
  <si>
    <t>B1</t>
  </si>
  <si>
    <t>C2</t>
  </si>
  <si>
    <t>Q5</t>
  </si>
  <si>
    <t>D2</t>
  </si>
  <si>
    <t>B2</t>
  </si>
  <si>
    <t>A2</t>
  </si>
  <si>
    <t>D1</t>
  </si>
  <si>
    <t>C3</t>
  </si>
  <si>
    <t>E1</t>
  </si>
  <si>
    <t>R3</t>
  </si>
  <si>
    <t>E2</t>
  </si>
  <si>
    <t>E3</t>
  </si>
  <si>
    <t>A3</t>
  </si>
  <si>
    <t>R2</t>
  </si>
  <si>
    <t>R1</t>
  </si>
  <si>
    <t>Weight of boat (g)</t>
  </si>
  <si>
    <t>Weight of boat + soil + roots (g)</t>
  </si>
  <si>
    <t>Mass of boat + dry soil + coarse rocks + roots</t>
  </si>
  <si>
    <t>Notes</t>
  </si>
  <si>
    <t>Ran into root, so could not collect soil to 30 cm</t>
  </si>
  <si>
    <t>Mass of dry soil + coarse rocks &amp; roots</t>
  </si>
  <si>
    <t>Weight of fraction &gt; 8mm (g)</t>
  </si>
  <si>
    <t>Weight of fraction &lt; 8mm (g)</t>
  </si>
  <si>
    <t>Bag weight (g)</t>
  </si>
  <si>
    <t>Weight of bag + fraction &gt; 8mm (g)</t>
  </si>
  <si>
    <t>Start dry date</t>
  </si>
  <si>
    <t>large bag</t>
  </si>
  <si>
    <t>Mass of weighing tin (g)</t>
  </si>
  <si>
    <t>Mass of boat + wet soil + coarse rocks/roots (g)</t>
  </si>
  <si>
    <t>Mass of boat + dry soil + coarse rocks/roots (g)</t>
  </si>
  <si>
    <t>Mass of dry soil + coarse rocks/roots (g)</t>
  </si>
  <si>
    <t>Mass of coarse roots/rocks (g)</t>
  </si>
  <si>
    <t>Start volume (mL)</t>
  </si>
  <si>
    <t>End volume (mL)</t>
  </si>
  <si>
    <t>Volume of coarse rocks/roots/debris (mL)</t>
  </si>
  <si>
    <t>Volume soil core (cm3)</t>
  </si>
  <si>
    <t>Corrected volume (cm3)</t>
  </si>
  <si>
    <t>Mass of dry soil (g)</t>
  </si>
  <si>
    <t>Gravimetric moistue (%)</t>
  </si>
  <si>
    <t>Bulk density (g/cm3)</t>
  </si>
  <si>
    <t>Volumetric moisture (g/cm3)</t>
  </si>
  <si>
    <t>Mass of weighing tin + coarse rocks/roots (g)</t>
  </si>
  <si>
    <t>Note</t>
  </si>
  <si>
    <t>#1</t>
  </si>
  <si>
    <t>#2</t>
  </si>
  <si>
    <t>Number</t>
  </si>
  <si>
    <t>Quad</t>
  </si>
  <si>
    <t>pH</t>
  </si>
  <si>
    <t>P (ppm)</t>
  </si>
  <si>
    <t>K (ppm)</t>
  </si>
  <si>
    <t>Ca (ppm)</t>
  </si>
  <si>
    <t>Mg (ppm)</t>
  </si>
  <si>
    <t>SOM%</t>
  </si>
  <si>
    <t>N Release</t>
  </si>
  <si>
    <t>Nitrate (ppm)</t>
  </si>
  <si>
    <t>Ammonium (ppm)</t>
  </si>
  <si>
    <t>CEC (meq/100g)</t>
  </si>
  <si>
    <t>K %sat</t>
  </si>
  <si>
    <t>Mg %sat</t>
  </si>
  <si>
    <t>H %sat</t>
  </si>
  <si>
    <t>K meq</t>
  </si>
  <si>
    <t>Ca meq</t>
  </si>
  <si>
    <t>Mg meq</t>
  </si>
  <si>
    <t>H meq</t>
  </si>
  <si>
    <t>CEC &amp; saturation may not be accurate</t>
  </si>
  <si>
    <t>Sand</t>
  </si>
  <si>
    <t>Silt</t>
  </si>
  <si>
    <t>Clay</t>
  </si>
  <si>
    <t>Textural Classification</t>
  </si>
  <si>
    <t>Ca %sat</t>
  </si>
  <si>
    <t>Loam</t>
  </si>
  <si>
    <t>Silt Loam</t>
  </si>
  <si>
    <t>Sandy Loam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</si>
</sst>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1" fillId="0" borderId="0" xfId="0" applyFont="1" applyAlignment="1">
      <alignment wrapText="1"/>
    </xf>
    <xf numFmtId="2" fontId="0" fillId="0" borderId="0" xfId="0" applyNumberFormat="1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F782A-4928-49B7-82EB-25A77E61D605}">
  <dimension ref="A1:S181"/>
  <sheetViews>
    <sheetView zoomScale="97" zoomScaleNormal="115" workbookViewId="0">
      <pane ySplit="1" topLeftCell="A2" activePane="bottomLeft" state="frozen"/>
      <selection pane="bottomLeft" activeCell="B6" sqref="B6:I6"/>
    </sheetView>
  </sheetViews>
  <sheetFormatPr defaultRowHeight="15" x14ac:dyDescent="0.25"/>
  <cols>
    <col min="1" max="1" width="10.7109375" customWidth="1"/>
    <col min="2" max="2" width="5.85546875" bestFit="1" customWidth="1"/>
    <col min="3" max="3" width="7.85546875" bestFit="1" customWidth="1"/>
    <col min="4" max="4" width="15.7109375" bestFit="1" customWidth="1"/>
    <col min="5" max="5" width="16.140625" customWidth="1"/>
    <col min="6" max="6" width="19.140625" customWidth="1"/>
    <col min="7" max="7" width="18.140625" customWidth="1"/>
    <col min="8" max="8" width="15.5703125" customWidth="1"/>
    <col min="9" max="9" width="12.5703125" bestFit="1" customWidth="1"/>
    <col min="10" max="10" width="11.7109375" bestFit="1" customWidth="1"/>
    <col min="12" max="12" width="18.140625" customWidth="1"/>
    <col min="13" max="13" width="8.5703125" bestFit="1" customWidth="1"/>
    <col min="14" max="14" width="17.7109375" customWidth="1"/>
    <col min="15" max="15" width="19.5703125" customWidth="1"/>
    <col min="16" max="16" width="12.5703125" customWidth="1"/>
    <col min="17" max="17" width="13.28515625" customWidth="1"/>
    <col min="18" max="18" width="19.28515625" customWidth="1"/>
    <col min="19" max="19" width="17.5703125" customWidth="1"/>
  </cols>
  <sheetData>
    <row r="1" spans="1:19" s="1" customFormat="1" ht="46.5" customHeight="1" x14ac:dyDescent="0.25">
      <c r="A1" s="3" t="s">
        <v>9</v>
      </c>
      <c r="B1" s="3" t="s">
        <v>3</v>
      </c>
      <c r="C1" s="3" t="s">
        <v>0</v>
      </c>
      <c r="D1" s="3" t="s">
        <v>1</v>
      </c>
      <c r="E1" s="3" t="s">
        <v>4</v>
      </c>
      <c r="F1" s="3" t="s">
        <v>5</v>
      </c>
      <c r="G1" s="3" t="s">
        <v>34</v>
      </c>
      <c r="H1" s="3" t="s">
        <v>2</v>
      </c>
      <c r="I1" s="3" t="s">
        <v>37</v>
      </c>
      <c r="J1" s="3"/>
      <c r="L1" s="3"/>
      <c r="N1" s="3"/>
      <c r="O1" s="3"/>
      <c r="P1" s="3"/>
      <c r="Q1" s="3"/>
      <c r="R1" s="3"/>
      <c r="S1" s="3"/>
    </row>
    <row r="2" spans="1:19" x14ac:dyDescent="0.25">
      <c r="A2" s="2">
        <v>45089</v>
      </c>
      <c r="B2" t="s">
        <v>7</v>
      </c>
      <c r="C2" t="s">
        <v>8</v>
      </c>
      <c r="D2" t="s">
        <v>12</v>
      </c>
      <c r="E2">
        <v>12.86</v>
      </c>
      <c r="F2">
        <v>462.64</v>
      </c>
      <c r="G2">
        <v>364.9</v>
      </c>
      <c r="H2">
        <f>F2-G2</f>
        <v>97.740000000000009</v>
      </c>
      <c r="I2">
        <f>G2-E2</f>
        <v>352.03999999999996</v>
      </c>
    </row>
    <row r="3" spans="1:19" x14ac:dyDescent="0.25">
      <c r="A3" s="2">
        <v>45091</v>
      </c>
      <c r="B3" t="s">
        <v>10</v>
      </c>
      <c r="C3" t="s">
        <v>11</v>
      </c>
      <c r="D3" t="s">
        <v>12</v>
      </c>
      <c r="E3">
        <v>12.83</v>
      </c>
      <c r="F3">
        <v>193.62</v>
      </c>
      <c r="G3">
        <v>153.33000000000001</v>
      </c>
      <c r="H3">
        <f t="shared" ref="H3:H66" si="0">F3-G3</f>
        <v>40.289999999999992</v>
      </c>
      <c r="I3">
        <f t="shared" ref="I3:I66" si="1">G3-E3</f>
        <v>140.5</v>
      </c>
    </row>
    <row r="4" spans="1:19" x14ac:dyDescent="0.25">
      <c r="A4" s="2">
        <v>45091</v>
      </c>
      <c r="B4" t="s">
        <v>10</v>
      </c>
      <c r="C4" t="s">
        <v>8</v>
      </c>
      <c r="D4" t="s">
        <v>13</v>
      </c>
      <c r="E4">
        <v>12.84</v>
      </c>
      <c r="F4">
        <v>346.2</v>
      </c>
      <c r="G4">
        <v>275.32</v>
      </c>
      <c r="H4">
        <f t="shared" si="0"/>
        <v>70.88</v>
      </c>
      <c r="I4">
        <f t="shared" si="1"/>
        <v>262.48</v>
      </c>
    </row>
    <row r="5" spans="1:19" x14ac:dyDescent="0.25">
      <c r="A5" s="2">
        <v>45090</v>
      </c>
      <c r="B5" t="s">
        <v>14</v>
      </c>
      <c r="C5" t="s">
        <v>15</v>
      </c>
      <c r="D5" t="s">
        <v>13</v>
      </c>
      <c r="E5">
        <v>12.86</v>
      </c>
      <c r="F5">
        <v>380.87</v>
      </c>
      <c r="G5">
        <v>301.26</v>
      </c>
      <c r="H5">
        <f t="shared" si="0"/>
        <v>79.610000000000014</v>
      </c>
      <c r="I5">
        <f t="shared" si="1"/>
        <v>288.39999999999998</v>
      </c>
    </row>
    <row r="6" spans="1:19" x14ac:dyDescent="0.25">
      <c r="A6" s="2">
        <v>45090</v>
      </c>
      <c r="B6" t="s">
        <v>6</v>
      </c>
      <c r="C6" t="s">
        <v>15</v>
      </c>
      <c r="D6" t="s">
        <v>13</v>
      </c>
      <c r="E6">
        <v>12.85</v>
      </c>
      <c r="F6">
        <v>362.05</v>
      </c>
      <c r="G6">
        <v>281.13</v>
      </c>
      <c r="H6">
        <f t="shared" si="0"/>
        <v>80.920000000000016</v>
      </c>
      <c r="I6">
        <f t="shared" si="1"/>
        <v>268.27999999999997</v>
      </c>
    </row>
    <row r="7" spans="1:19" x14ac:dyDescent="0.25">
      <c r="A7" s="2">
        <v>41438</v>
      </c>
      <c r="B7" t="s">
        <v>6</v>
      </c>
      <c r="C7" t="s">
        <v>16</v>
      </c>
      <c r="D7" t="s">
        <v>12</v>
      </c>
      <c r="E7">
        <v>12.85</v>
      </c>
      <c r="F7">
        <v>496.09</v>
      </c>
      <c r="G7">
        <v>385.36</v>
      </c>
      <c r="H7">
        <f t="shared" si="0"/>
        <v>110.72999999999996</v>
      </c>
      <c r="I7">
        <f t="shared" si="1"/>
        <v>372.51</v>
      </c>
    </row>
    <row r="8" spans="1:19" x14ac:dyDescent="0.25">
      <c r="A8" s="2">
        <v>45090</v>
      </c>
      <c r="B8" t="s">
        <v>17</v>
      </c>
      <c r="C8" t="s">
        <v>15</v>
      </c>
      <c r="D8" t="s">
        <v>12</v>
      </c>
      <c r="E8">
        <v>12.77</v>
      </c>
      <c r="F8">
        <v>345.84</v>
      </c>
      <c r="G8">
        <v>275.83</v>
      </c>
      <c r="H8">
        <f t="shared" si="0"/>
        <v>70.009999999999991</v>
      </c>
      <c r="I8">
        <f t="shared" si="1"/>
        <v>263.06</v>
      </c>
    </row>
    <row r="9" spans="1:19" x14ac:dyDescent="0.25">
      <c r="A9" s="2">
        <v>45090</v>
      </c>
      <c r="B9" t="s">
        <v>17</v>
      </c>
      <c r="C9" t="s">
        <v>8</v>
      </c>
      <c r="D9" t="s">
        <v>13</v>
      </c>
      <c r="E9">
        <v>12.84</v>
      </c>
      <c r="F9">
        <v>360.45</v>
      </c>
      <c r="G9">
        <v>289.45</v>
      </c>
      <c r="H9">
        <f t="shared" si="0"/>
        <v>71</v>
      </c>
      <c r="I9">
        <f t="shared" si="1"/>
        <v>276.61</v>
      </c>
    </row>
    <row r="10" spans="1:19" x14ac:dyDescent="0.25">
      <c r="A10" s="2">
        <v>45090</v>
      </c>
      <c r="B10" t="s">
        <v>6</v>
      </c>
      <c r="C10" t="s">
        <v>8</v>
      </c>
      <c r="D10" t="s">
        <v>12</v>
      </c>
      <c r="E10">
        <v>12.83</v>
      </c>
      <c r="F10">
        <v>495.84</v>
      </c>
      <c r="G10">
        <v>387.02</v>
      </c>
      <c r="H10">
        <f t="shared" si="0"/>
        <v>108.82</v>
      </c>
      <c r="I10">
        <f t="shared" si="1"/>
        <v>374.19</v>
      </c>
    </row>
    <row r="11" spans="1:19" x14ac:dyDescent="0.25">
      <c r="A11" s="2">
        <v>45090</v>
      </c>
      <c r="B11" t="s">
        <v>6</v>
      </c>
      <c r="C11" t="s">
        <v>8</v>
      </c>
      <c r="D11" t="s">
        <v>13</v>
      </c>
      <c r="E11">
        <v>12.8</v>
      </c>
      <c r="F11">
        <v>360.78</v>
      </c>
      <c r="G11">
        <v>277.99</v>
      </c>
      <c r="H11">
        <f t="shared" si="0"/>
        <v>82.789999999999964</v>
      </c>
      <c r="I11">
        <f t="shared" si="1"/>
        <v>265.19</v>
      </c>
    </row>
    <row r="12" spans="1:19" x14ac:dyDescent="0.25">
      <c r="A12" s="2">
        <v>45090</v>
      </c>
      <c r="B12" t="s">
        <v>18</v>
      </c>
      <c r="C12" t="s">
        <v>19</v>
      </c>
      <c r="D12" t="s">
        <v>13</v>
      </c>
      <c r="E12">
        <v>12.86</v>
      </c>
      <c r="F12">
        <v>327.02</v>
      </c>
      <c r="G12">
        <v>268.60000000000002</v>
      </c>
      <c r="H12">
        <f t="shared" si="0"/>
        <v>58.419999999999959</v>
      </c>
      <c r="I12">
        <f t="shared" si="1"/>
        <v>255.74</v>
      </c>
    </row>
    <row r="13" spans="1:19" x14ac:dyDescent="0.25">
      <c r="A13" s="2">
        <v>45091</v>
      </c>
      <c r="B13" t="s">
        <v>20</v>
      </c>
      <c r="C13" t="s">
        <v>19</v>
      </c>
      <c r="D13" t="s">
        <v>12</v>
      </c>
      <c r="E13">
        <v>12.76</v>
      </c>
      <c r="F13">
        <v>244.95</v>
      </c>
      <c r="G13">
        <v>188.95</v>
      </c>
      <c r="H13">
        <f t="shared" si="0"/>
        <v>56</v>
      </c>
      <c r="I13">
        <f t="shared" si="1"/>
        <v>176.19</v>
      </c>
    </row>
    <row r="14" spans="1:19" x14ac:dyDescent="0.25">
      <c r="A14" s="2">
        <v>45091</v>
      </c>
      <c r="B14" t="s">
        <v>21</v>
      </c>
      <c r="C14" t="s">
        <v>16</v>
      </c>
      <c r="D14" t="s">
        <v>13</v>
      </c>
      <c r="E14">
        <v>12.77</v>
      </c>
      <c r="F14">
        <v>334.32</v>
      </c>
      <c r="G14">
        <v>272.29000000000002</v>
      </c>
      <c r="H14">
        <f t="shared" si="0"/>
        <v>62.029999999999973</v>
      </c>
      <c r="I14">
        <f t="shared" si="1"/>
        <v>259.52000000000004</v>
      </c>
    </row>
    <row r="15" spans="1:19" x14ac:dyDescent="0.25">
      <c r="A15" s="2">
        <v>45091</v>
      </c>
      <c r="B15" t="s">
        <v>21</v>
      </c>
      <c r="C15" t="s">
        <v>11</v>
      </c>
      <c r="D15" t="s">
        <v>12</v>
      </c>
      <c r="E15">
        <v>12.82</v>
      </c>
      <c r="F15">
        <v>411.74</v>
      </c>
      <c r="G15">
        <v>324.99</v>
      </c>
      <c r="H15">
        <f t="shared" si="0"/>
        <v>86.75</v>
      </c>
      <c r="I15">
        <f t="shared" si="1"/>
        <v>312.17</v>
      </c>
    </row>
    <row r="16" spans="1:19" x14ac:dyDescent="0.25">
      <c r="A16" s="2">
        <v>45091</v>
      </c>
      <c r="B16" t="s">
        <v>20</v>
      </c>
      <c r="C16" t="s">
        <v>11</v>
      </c>
      <c r="D16" t="s">
        <v>12</v>
      </c>
      <c r="E16">
        <v>12.78</v>
      </c>
      <c r="F16">
        <v>328.83</v>
      </c>
      <c r="G16">
        <v>249.4</v>
      </c>
      <c r="H16">
        <f t="shared" si="0"/>
        <v>79.429999999999978</v>
      </c>
      <c r="I16">
        <f t="shared" si="1"/>
        <v>236.62</v>
      </c>
    </row>
    <row r="17" spans="1:9" x14ac:dyDescent="0.25">
      <c r="A17" s="2">
        <v>45091</v>
      </c>
      <c r="B17" t="s">
        <v>10</v>
      </c>
      <c r="C17" t="s">
        <v>15</v>
      </c>
      <c r="D17" t="s">
        <v>13</v>
      </c>
      <c r="E17">
        <v>12.83</v>
      </c>
      <c r="F17">
        <v>333.03</v>
      </c>
      <c r="G17">
        <v>277.66000000000003</v>
      </c>
      <c r="H17">
        <f t="shared" si="0"/>
        <v>55.369999999999948</v>
      </c>
      <c r="I17">
        <f t="shared" si="1"/>
        <v>264.83000000000004</v>
      </c>
    </row>
    <row r="18" spans="1:9" x14ac:dyDescent="0.25">
      <c r="A18" s="2">
        <v>45090</v>
      </c>
      <c r="B18" t="s">
        <v>22</v>
      </c>
      <c r="C18" t="s">
        <v>16</v>
      </c>
      <c r="D18" t="s">
        <v>12</v>
      </c>
      <c r="E18">
        <v>12.87</v>
      </c>
      <c r="F18">
        <v>494.31</v>
      </c>
      <c r="G18">
        <v>397.95</v>
      </c>
      <c r="H18">
        <f t="shared" si="0"/>
        <v>96.360000000000014</v>
      </c>
      <c r="I18">
        <f t="shared" si="1"/>
        <v>385.08</v>
      </c>
    </row>
    <row r="19" spans="1:9" x14ac:dyDescent="0.25">
      <c r="A19" s="2">
        <v>45091</v>
      </c>
      <c r="B19" t="s">
        <v>10</v>
      </c>
      <c r="C19" t="s">
        <v>19</v>
      </c>
      <c r="D19" t="s">
        <v>12</v>
      </c>
      <c r="E19">
        <v>12.93</v>
      </c>
      <c r="F19">
        <v>276.83999999999997</v>
      </c>
      <c r="G19">
        <v>224.26</v>
      </c>
      <c r="H19">
        <f t="shared" si="0"/>
        <v>52.579999999999984</v>
      </c>
      <c r="I19">
        <f t="shared" si="1"/>
        <v>211.32999999999998</v>
      </c>
    </row>
    <row r="20" spans="1:9" x14ac:dyDescent="0.25">
      <c r="A20" s="2">
        <v>45090</v>
      </c>
      <c r="B20" t="s">
        <v>14</v>
      </c>
      <c r="C20" t="s">
        <v>11</v>
      </c>
      <c r="D20" t="s">
        <v>12</v>
      </c>
      <c r="E20">
        <v>12.93</v>
      </c>
      <c r="F20">
        <v>243.42</v>
      </c>
      <c r="H20">
        <f t="shared" si="0"/>
        <v>243.42</v>
      </c>
      <c r="I20">
        <f t="shared" si="1"/>
        <v>-12.93</v>
      </c>
    </row>
    <row r="21" spans="1:9" x14ac:dyDescent="0.25">
      <c r="A21" s="2">
        <v>45091</v>
      </c>
      <c r="B21" t="s">
        <v>23</v>
      </c>
      <c r="C21" t="s">
        <v>16</v>
      </c>
      <c r="D21" t="s">
        <v>12</v>
      </c>
      <c r="E21">
        <v>12.9</v>
      </c>
      <c r="F21">
        <v>356.05</v>
      </c>
      <c r="H21">
        <f t="shared" si="0"/>
        <v>356.05</v>
      </c>
      <c r="I21">
        <f t="shared" si="1"/>
        <v>-12.9</v>
      </c>
    </row>
    <row r="22" spans="1:9" x14ac:dyDescent="0.25">
      <c r="A22" s="2">
        <v>45090</v>
      </c>
      <c r="B22" t="s">
        <v>14</v>
      </c>
      <c r="C22" t="s">
        <v>19</v>
      </c>
      <c r="D22" t="s">
        <v>12</v>
      </c>
      <c r="E22">
        <v>12.97</v>
      </c>
      <c r="F22">
        <v>441.36</v>
      </c>
      <c r="H22">
        <f t="shared" si="0"/>
        <v>441.36</v>
      </c>
      <c r="I22">
        <f t="shared" si="1"/>
        <v>-12.97</v>
      </c>
    </row>
    <row r="23" spans="1:9" x14ac:dyDescent="0.25">
      <c r="A23" s="2">
        <v>45090</v>
      </c>
      <c r="B23" t="s">
        <v>6</v>
      </c>
      <c r="C23" t="s">
        <v>16</v>
      </c>
      <c r="D23" t="s">
        <v>13</v>
      </c>
      <c r="E23">
        <v>12.85</v>
      </c>
      <c r="F23">
        <v>332.83</v>
      </c>
      <c r="H23">
        <f t="shared" si="0"/>
        <v>332.83</v>
      </c>
      <c r="I23">
        <f t="shared" si="1"/>
        <v>-12.85</v>
      </c>
    </row>
    <row r="24" spans="1:9" x14ac:dyDescent="0.25">
      <c r="A24" s="2">
        <v>45091</v>
      </c>
      <c r="B24" t="s">
        <v>10</v>
      </c>
      <c r="C24" t="s">
        <v>11</v>
      </c>
      <c r="D24" t="s">
        <v>13</v>
      </c>
      <c r="E24">
        <v>12.84</v>
      </c>
      <c r="F24">
        <v>349.75</v>
      </c>
      <c r="H24">
        <f t="shared" si="0"/>
        <v>349.75</v>
      </c>
      <c r="I24">
        <f t="shared" si="1"/>
        <v>-12.84</v>
      </c>
    </row>
    <row r="25" spans="1:9" x14ac:dyDescent="0.25">
      <c r="A25" s="2">
        <v>45090</v>
      </c>
      <c r="B25" t="s">
        <v>18</v>
      </c>
      <c r="C25" t="s">
        <v>8</v>
      </c>
      <c r="D25" t="s">
        <v>12</v>
      </c>
      <c r="E25">
        <v>12.95</v>
      </c>
      <c r="F25">
        <v>389.59</v>
      </c>
      <c r="H25">
        <f t="shared" si="0"/>
        <v>389.59</v>
      </c>
      <c r="I25">
        <f t="shared" si="1"/>
        <v>-12.95</v>
      </c>
    </row>
    <row r="26" spans="1:9" x14ac:dyDescent="0.25">
      <c r="A26" s="2">
        <v>45091</v>
      </c>
      <c r="B26" t="s">
        <v>21</v>
      </c>
      <c r="C26" t="s">
        <v>19</v>
      </c>
      <c r="D26" t="s">
        <v>13</v>
      </c>
      <c r="E26">
        <v>12.77</v>
      </c>
      <c r="F26">
        <v>325.8</v>
      </c>
      <c r="H26">
        <f t="shared" si="0"/>
        <v>325.8</v>
      </c>
      <c r="I26">
        <f t="shared" si="1"/>
        <v>-12.77</v>
      </c>
    </row>
    <row r="27" spans="1:9" x14ac:dyDescent="0.25">
      <c r="A27" s="2">
        <v>45091</v>
      </c>
      <c r="B27" t="s">
        <v>10</v>
      </c>
      <c r="C27" t="s">
        <v>15</v>
      </c>
      <c r="D27" t="s">
        <v>12</v>
      </c>
      <c r="E27">
        <v>12.94</v>
      </c>
      <c r="F27">
        <v>345.64</v>
      </c>
      <c r="H27">
        <f t="shared" si="0"/>
        <v>345.64</v>
      </c>
      <c r="I27">
        <f t="shared" si="1"/>
        <v>-12.94</v>
      </c>
    </row>
    <row r="28" spans="1:9" x14ac:dyDescent="0.25">
      <c r="A28" s="2">
        <v>45090</v>
      </c>
      <c r="B28" t="s">
        <v>14</v>
      </c>
      <c r="C28" t="s">
        <v>19</v>
      </c>
      <c r="D28" t="s">
        <v>13</v>
      </c>
      <c r="E28">
        <v>12.78</v>
      </c>
      <c r="F28">
        <v>345.34</v>
      </c>
      <c r="H28">
        <f t="shared" si="0"/>
        <v>345.34</v>
      </c>
      <c r="I28">
        <f t="shared" si="1"/>
        <v>-12.78</v>
      </c>
    </row>
    <row r="29" spans="1:9" x14ac:dyDescent="0.25">
      <c r="A29" s="2">
        <v>45091</v>
      </c>
      <c r="B29" t="s">
        <v>10</v>
      </c>
      <c r="C29" t="s">
        <v>19</v>
      </c>
      <c r="D29" t="s">
        <v>13</v>
      </c>
      <c r="E29">
        <v>13.03</v>
      </c>
      <c r="F29">
        <v>311.86</v>
      </c>
      <c r="H29">
        <f t="shared" si="0"/>
        <v>311.86</v>
      </c>
      <c r="I29">
        <f t="shared" si="1"/>
        <v>-13.03</v>
      </c>
    </row>
    <row r="30" spans="1:9" x14ac:dyDescent="0.25">
      <c r="A30" s="2">
        <v>45090</v>
      </c>
      <c r="B30" t="s">
        <v>17</v>
      </c>
      <c r="C30" t="s">
        <v>16</v>
      </c>
      <c r="D30" t="s">
        <v>13</v>
      </c>
      <c r="E30">
        <v>12.86</v>
      </c>
      <c r="F30">
        <v>386.21</v>
      </c>
      <c r="H30">
        <f t="shared" si="0"/>
        <v>386.21</v>
      </c>
      <c r="I30">
        <f t="shared" si="1"/>
        <v>-12.86</v>
      </c>
    </row>
    <row r="31" spans="1:9" x14ac:dyDescent="0.25">
      <c r="A31" s="2">
        <v>45091</v>
      </c>
      <c r="B31" t="s">
        <v>23</v>
      </c>
      <c r="C31" t="s">
        <v>11</v>
      </c>
      <c r="D31" t="s">
        <v>12</v>
      </c>
      <c r="E31">
        <v>12.92</v>
      </c>
      <c r="F31">
        <v>360.57</v>
      </c>
      <c r="H31">
        <f t="shared" si="0"/>
        <v>360.57</v>
      </c>
      <c r="I31">
        <f t="shared" si="1"/>
        <v>-12.92</v>
      </c>
    </row>
    <row r="32" spans="1:9" x14ac:dyDescent="0.25">
      <c r="A32" s="2">
        <v>45090</v>
      </c>
      <c r="B32" t="s">
        <v>6</v>
      </c>
      <c r="C32" t="s">
        <v>11</v>
      </c>
      <c r="D32" t="s">
        <v>12</v>
      </c>
      <c r="E32">
        <v>12.94</v>
      </c>
      <c r="F32">
        <v>438.26</v>
      </c>
      <c r="H32">
        <f t="shared" si="0"/>
        <v>438.26</v>
      </c>
      <c r="I32">
        <f t="shared" si="1"/>
        <v>-12.94</v>
      </c>
    </row>
    <row r="33" spans="1:9" x14ac:dyDescent="0.25">
      <c r="A33" s="2">
        <v>45090</v>
      </c>
      <c r="B33" t="s">
        <v>18</v>
      </c>
      <c r="C33" t="s">
        <v>11</v>
      </c>
      <c r="D33" t="s">
        <v>12</v>
      </c>
      <c r="E33">
        <v>12.75</v>
      </c>
      <c r="F33">
        <v>372.59</v>
      </c>
      <c r="H33">
        <f t="shared" si="0"/>
        <v>372.59</v>
      </c>
      <c r="I33">
        <f t="shared" si="1"/>
        <v>-12.75</v>
      </c>
    </row>
    <row r="34" spans="1:9" x14ac:dyDescent="0.25">
      <c r="A34" s="2">
        <v>45090</v>
      </c>
      <c r="B34" t="s">
        <v>18</v>
      </c>
      <c r="C34" t="s">
        <v>11</v>
      </c>
      <c r="D34" t="s">
        <v>13</v>
      </c>
      <c r="E34">
        <v>12.75</v>
      </c>
      <c r="F34">
        <v>359.82</v>
      </c>
      <c r="H34">
        <f t="shared" si="0"/>
        <v>359.82</v>
      </c>
      <c r="I34">
        <f t="shared" si="1"/>
        <v>-12.75</v>
      </c>
    </row>
    <row r="35" spans="1:9" x14ac:dyDescent="0.25">
      <c r="A35" s="2">
        <v>45090</v>
      </c>
      <c r="B35" t="s">
        <v>18</v>
      </c>
      <c r="C35" t="s">
        <v>15</v>
      </c>
      <c r="D35" t="s">
        <v>12</v>
      </c>
      <c r="E35">
        <v>12.87</v>
      </c>
      <c r="F35">
        <v>388.98</v>
      </c>
      <c r="H35">
        <f t="shared" si="0"/>
        <v>388.98</v>
      </c>
      <c r="I35">
        <f t="shared" si="1"/>
        <v>-12.87</v>
      </c>
    </row>
    <row r="36" spans="1:9" x14ac:dyDescent="0.25">
      <c r="A36" s="2">
        <v>45090</v>
      </c>
      <c r="B36" t="s">
        <v>22</v>
      </c>
      <c r="C36" t="s">
        <v>11</v>
      </c>
      <c r="D36" t="s">
        <v>13</v>
      </c>
      <c r="E36">
        <v>12.83</v>
      </c>
      <c r="F36">
        <v>357.73</v>
      </c>
      <c r="H36">
        <f t="shared" si="0"/>
        <v>357.73</v>
      </c>
      <c r="I36">
        <f t="shared" si="1"/>
        <v>-12.83</v>
      </c>
    </row>
    <row r="37" spans="1:9" x14ac:dyDescent="0.25">
      <c r="A37" s="2">
        <v>45091</v>
      </c>
      <c r="B37" t="s">
        <v>20</v>
      </c>
      <c r="C37" t="s">
        <v>15</v>
      </c>
      <c r="D37" t="s">
        <v>12</v>
      </c>
      <c r="E37" s="4">
        <v>12.9</v>
      </c>
      <c r="F37">
        <v>317.52999999999997</v>
      </c>
      <c r="H37">
        <f t="shared" si="0"/>
        <v>317.52999999999997</v>
      </c>
      <c r="I37">
        <f t="shared" si="1"/>
        <v>-12.9</v>
      </c>
    </row>
    <row r="38" spans="1:9" x14ac:dyDescent="0.25">
      <c r="A38" s="2">
        <v>45091</v>
      </c>
      <c r="B38" t="s">
        <v>20</v>
      </c>
      <c r="C38" t="s">
        <v>15</v>
      </c>
      <c r="D38" t="s">
        <v>13</v>
      </c>
      <c r="E38">
        <v>12.74</v>
      </c>
      <c r="F38">
        <v>361.12</v>
      </c>
      <c r="H38">
        <f t="shared" si="0"/>
        <v>361.12</v>
      </c>
      <c r="I38">
        <f t="shared" si="1"/>
        <v>-12.74</v>
      </c>
    </row>
    <row r="39" spans="1:9" x14ac:dyDescent="0.25">
      <c r="A39" s="2">
        <v>45090</v>
      </c>
      <c r="B39" t="s">
        <v>18</v>
      </c>
      <c r="C39" t="s">
        <v>19</v>
      </c>
      <c r="D39" t="s">
        <v>12</v>
      </c>
      <c r="E39">
        <v>12.8</v>
      </c>
      <c r="F39">
        <v>373.01</v>
      </c>
      <c r="H39">
        <f t="shared" si="0"/>
        <v>373.01</v>
      </c>
      <c r="I39">
        <f t="shared" si="1"/>
        <v>-12.8</v>
      </c>
    </row>
    <row r="40" spans="1:9" x14ac:dyDescent="0.25">
      <c r="A40" s="2">
        <v>45090</v>
      </c>
      <c r="B40" t="s">
        <v>18</v>
      </c>
      <c r="C40" t="s">
        <v>8</v>
      </c>
      <c r="D40" t="s">
        <v>13</v>
      </c>
      <c r="E40">
        <v>12.9</v>
      </c>
      <c r="F40">
        <v>336.01</v>
      </c>
      <c r="H40">
        <f t="shared" si="0"/>
        <v>336.01</v>
      </c>
      <c r="I40">
        <f t="shared" si="1"/>
        <v>-12.9</v>
      </c>
    </row>
    <row r="41" spans="1:9" x14ac:dyDescent="0.25">
      <c r="A41" s="2">
        <v>45090</v>
      </c>
      <c r="B41" t="s">
        <v>24</v>
      </c>
      <c r="C41" t="s">
        <v>19</v>
      </c>
      <c r="D41" t="s">
        <v>12</v>
      </c>
      <c r="E41">
        <v>12.74</v>
      </c>
      <c r="F41">
        <v>337.22</v>
      </c>
      <c r="H41">
        <f t="shared" si="0"/>
        <v>337.22</v>
      </c>
      <c r="I41">
        <f t="shared" si="1"/>
        <v>-12.74</v>
      </c>
    </row>
    <row r="42" spans="1:9" x14ac:dyDescent="0.25">
      <c r="A42" s="2">
        <v>45090</v>
      </c>
      <c r="B42" t="s">
        <v>18</v>
      </c>
      <c r="C42" t="s">
        <v>16</v>
      </c>
      <c r="D42" t="s">
        <v>12</v>
      </c>
      <c r="E42">
        <v>12.82</v>
      </c>
      <c r="F42">
        <v>319.66000000000003</v>
      </c>
      <c r="H42">
        <f t="shared" si="0"/>
        <v>319.66000000000003</v>
      </c>
      <c r="I42">
        <f t="shared" si="1"/>
        <v>-12.82</v>
      </c>
    </row>
    <row r="43" spans="1:9" x14ac:dyDescent="0.25">
      <c r="A43" s="2">
        <v>45091</v>
      </c>
      <c r="B43" t="s">
        <v>21</v>
      </c>
      <c r="C43" t="s">
        <v>15</v>
      </c>
      <c r="D43" t="s">
        <v>13</v>
      </c>
      <c r="E43">
        <v>12.84</v>
      </c>
      <c r="F43" s="4">
        <v>324.99</v>
      </c>
      <c r="G43">
        <v>260.02999999999997</v>
      </c>
      <c r="H43">
        <f t="shared" si="0"/>
        <v>64.960000000000036</v>
      </c>
      <c r="I43">
        <f t="shared" si="1"/>
        <v>247.18999999999997</v>
      </c>
    </row>
    <row r="44" spans="1:9" x14ac:dyDescent="0.25">
      <c r="A44" s="2">
        <v>45089</v>
      </c>
      <c r="B44" t="s">
        <v>25</v>
      </c>
      <c r="C44" t="s">
        <v>11</v>
      </c>
      <c r="D44" t="s">
        <v>12</v>
      </c>
      <c r="E44">
        <v>12.9</v>
      </c>
      <c r="F44">
        <v>449.29</v>
      </c>
      <c r="H44">
        <f t="shared" si="0"/>
        <v>449.29</v>
      </c>
      <c r="I44">
        <f t="shared" si="1"/>
        <v>-12.9</v>
      </c>
    </row>
    <row r="45" spans="1:9" x14ac:dyDescent="0.25">
      <c r="A45" s="2">
        <v>45089</v>
      </c>
      <c r="B45" t="s">
        <v>25</v>
      </c>
      <c r="C45" t="s">
        <v>11</v>
      </c>
      <c r="D45" t="s">
        <v>13</v>
      </c>
      <c r="E45">
        <v>12.96</v>
      </c>
      <c r="F45">
        <v>322.45999999999998</v>
      </c>
      <c r="H45">
        <f t="shared" si="0"/>
        <v>322.45999999999998</v>
      </c>
      <c r="I45">
        <f t="shared" si="1"/>
        <v>-12.96</v>
      </c>
    </row>
    <row r="46" spans="1:9" x14ac:dyDescent="0.25">
      <c r="A46" s="2">
        <v>45089</v>
      </c>
      <c r="B46" t="s">
        <v>7</v>
      </c>
      <c r="C46" t="s">
        <v>8</v>
      </c>
      <c r="D46" t="s">
        <v>13</v>
      </c>
      <c r="E46">
        <v>12.9</v>
      </c>
      <c r="F46">
        <v>332.67</v>
      </c>
      <c r="G46">
        <v>262.76</v>
      </c>
      <c r="H46">
        <f t="shared" si="0"/>
        <v>69.910000000000025</v>
      </c>
      <c r="I46">
        <f t="shared" si="1"/>
        <v>249.85999999999999</v>
      </c>
    </row>
    <row r="47" spans="1:9" x14ac:dyDescent="0.25">
      <c r="A47" s="2">
        <v>45089</v>
      </c>
      <c r="B47" t="s">
        <v>26</v>
      </c>
      <c r="C47" t="s">
        <v>11</v>
      </c>
      <c r="D47" t="s">
        <v>13</v>
      </c>
      <c r="E47">
        <v>12.9</v>
      </c>
      <c r="F47">
        <v>324.7</v>
      </c>
      <c r="H47">
        <f t="shared" si="0"/>
        <v>324.7</v>
      </c>
      <c r="I47">
        <f t="shared" si="1"/>
        <v>-12.9</v>
      </c>
    </row>
    <row r="48" spans="1:9" x14ac:dyDescent="0.25">
      <c r="A48" s="2">
        <v>45089</v>
      </c>
      <c r="B48" t="s">
        <v>7</v>
      </c>
      <c r="C48" t="s">
        <v>15</v>
      </c>
      <c r="D48" t="s">
        <v>12</v>
      </c>
      <c r="E48">
        <v>12.83</v>
      </c>
      <c r="F48">
        <v>379.12</v>
      </c>
      <c r="H48">
        <f t="shared" si="0"/>
        <v>379.12</v>
      </c>
      <c r="I48">
        <f t="shared" si="1"/>
        <v>-12.83</v>
      </c>
    </row>
    <row r="49" spans="1:9" x14ac:dyDescent="0.25">
      <c r="A49" s="2">
        <v>45089</v>
      </c>
      <c r="B49" t="s">
        <v>26</v>
      </c>
      <c r="C49" t="s">
        <v>16</v>
      </c>
      <c r="D49" t="s">
        <v>13</v>
      </c>
      <c r="E49">
        <v>12.88</v>
      </c>
      <c r="F49">
        <v>303.79000000000002</v>
      </c>
      <c r="H49">
        <f t="shared" si="0"/>
        <v>303.79000000000002</v>
      </c>
      <c r="I49">
        <f t="shared" si="1"/>
        <v>-12.88</v>
      </c>
    </row>
    <row r="50" spans="1:9" x14ac:dyDescent="0.25">
      <c r="A50" s="2">
        <v>45091</v>
      </c>
      <c r="B50" t="s">
        <v>21</v>
      </c>
      <c r="C50" t="s">
        <v>11</v>
      </c>
      <c r="D50" t="s">
        <v>13</v>
      </c>
      <c r="E50">
        <v>12.9</v>
      </c>
      <c r="F50">
        <v>312.81</v>
      </c>
      <c r="H50">
        <f t="shared" si="0"/>
        <v>312.81</v>
      </c>
      <c r="I50">
        <f t="shared" si="1"/>
        <v>-12.9</v>
      </c>
    </row>
    <row r="51" spans="1:9" x14ac:dyDescent="0.25">
      <c r="A51" s="2">
        <v>45089</v>
      </c>
      <c r="B51" t="s">
        <v>26</v>
      </c>
      <c r="C51" t="s">
        <v>15</v>
      </c>
      <c r="D51" t="s">
        <v>13</v>
      </c>
      <c r="E51">
        <v>12.98</v>
      </c>
      <c r="F51">
        <v>267.22000000000003</v>
      </c>
      <c r="G51">
        <v>194.28</v>
      </c>
      <c r="H51">
        <f t="shared" si="0"/>
        <v>72.940000000000026</v>
      </c>
      <c r="I51">
        <f t="shared" si="1"/>
        <v>181.3</v>
      </c>
    </row>
    <row r="52" spans="1:9" x14ac:dyDescent="0.25">
      <c r="A52" s="2">
        <v>45091</v>
      </c>
      <c r="B52" t="s">
        <v>20</v>
      </c>
      <c r="C52" t="s">
        <v>16</v>
      </c>
      <c r="D52" t="s">
        <v>12</v>
      </c>
      <c r="E52">
        <v>12.77</v>
      </c>
      <c r="F52">
        <v>368.3</v>
      </c>
      <c r="G52">
        <v>295.12</v>
      </c>
      <c r="H52">
        <f t="shared" si="0"/>
        <v>73.180000000000007</v>
      </c>
      <c r="I52">
        <f t="shared" si="1"/>
        <v>282.35000000000002</v>
      </c>
    </row>
    <row r="53" spans="1:9" x14ac:dyDescent="0.25">
      <c r="A53" s="2">
        <v>45091</v>
      </c>
      <c r="B53" t="s">
        <v>10</v>
      </c>
      <c r="C53" t="s">
        <v>16</v>
      </c>
      <c r="D53" t="s">
        <v>13</v>
      </c>
      <c r="E53">
        <v>12.79</v>
      </c>
      <c r="F53">
        <v>333.64</v>
      </c>
      <c r="G53">
        <v>275.32</v>
      </c>
      <c r="H53">
        <f t="shared" si="0"/>
        <v>58.319999999999993</v>
      </c>
      <c r="I53">
        <f t="shared" si="1"/>
        <v>262.52999999999997</v>
      </c>
    </row>
    <row r="54" spans="1:9" x14ac:dyDescent="0.25">
      <c r="A54" s="2">
        <v>45090</v>
      </c>
      <c r="B54" t="s">
        <v>17</v>
      </c>
      <c r="C54" t="s">
        <v>15</v>
      </c>
      <c r="D54" t="s">
        <v>13</v>
      </c>
      <c r="E54">
        <v>12.8</v>
      </c>
      <c r="F54">
        <v>358.97</v>
      </c>
      <c r="G54">
        <v>283.75</v>
      </c>
      <c r="H54">
        <f t="shared" si="0"/>
        <v>75.220000000000027</v>
      </c>
      <c r="I54">
        <f t="shared" si="1"/>
        <v>270.95</v>
      </c>
    </row>
    <row r="55" spans="1:9" x14ac:dyDescent="0.25">
      <c r="A55" s="2">
        <v>45091</v>
      </c>
      <c r="B55" t="s">
        <v>20</v>
      </c>
      <c r="C55" t="s">
        <v>16</v>
      </c>
      <c r="D55" t="s">
        <v>13</v>
      </c>
      <c r="E55">
        <v>12.85</v>
      </c>
      <c r="F55">
        <v>310.27999999999997</v>
      </c>
      <c r="H55">
        <f t="shared" si="0"/>
        <v>310.27999999999997</v>
      </c>
      <c r="I55">
        <f t="shared" si="1"/>
        <v>-12.85</v>
      </c>
    </row>
    <row r="56" spans="1:9" x14ac:dyDescent="0.25">
      <c r="A56" s="2">
        <v>45091</v>
      </c>
      <c r="B56" t="s">
        <v>20</v>
      </c>
      <c r="C56" t="s">
        <v>19</v>
      </c>
      <c r="D56" t="s">
        <v>13</v>
      </c>
      <c r="E56">
        <v>12.8</v>
      </c>
      <c r="F56">
        <v>351.35</v>
      </c>
      <c r="G56">
        <v>273.43</v>
      </c>
      <c r="H56">
        <f t="shared" si="0"/>
        <v>77.920000000000016</v>
      </c>
      <c r="I56">
        <f t="shared" si="1"/>
        <v>260.63</v>
      </c>
    </row>
    <row r="57" spans="1:9" x14ac:dyDescent="0.25">
      <c r="A57" s="2">
        <v>45091</v>
      </c>
      <c r="B57" t="s">
        <v>21</v>
      </c>
      <c r="C57" t="s">
        <v>19</v>
      </c>
      <c r="D57" t="s">
        <v>12</v>
      </c>
      <c r="E57">
        <v>12.83</v>
      </c>
      <c r="F57">
        <v>382.12</v>
      </c>
      <c r="G57">
        <v>307.8</v>
      </c>
      <c r="H57">
        <f t="shared" si="0"/>
        <v>74.319999999999993</v>
      </c>
      <c r="I57">
        <f t="shared" si="1"/>
        <v>294.97000000000003</v>
      </c>
    </row>
    <row r="58" spans="1:9" x14ac:dyDescent="0.25">
      <c r="A58" s="2">
        <v>45090</v>
      </c>
      <c r="B58" t="s">
        <v>14</v>
      </c>
      <c r="C58" t="s">
        <v>15</v>
      </c>
      <c r="D58" t="s">
        <v>12</v>
      </c>
      <c r="E58">
        <v>12.95</v>
      </c>
      <c r="F58">
        <v>351.16</v>
      </c>
      <c r="H58">
        <f t="shared" si="0"/>
        <v>351.16</v>
      </c>
      <c r="I58">
        <f t="shared" si="1"/>
        <v>-12.95</v>
      </c>
    </row>
    <row r="59" spans="1:9" x14ac:dyDescent="0.25">
      <c r="A59" s="2">
        <v>45091</v>
      </c>
      <c r="B59" t="s">
        <v>23</v>
      </c>
      <c r="C59" t="s">
        <v>15</v>
      </c>
      <c r="D59" t="s">
        <v>12</v>
      </c>
      <c r="E59">
        <v>12.95</v>
      </c>
      <c r="F59">
        <v>300.95999999999998</v>
      </c>
      <c r="G59">
        <v>230.44</v>
      </c>
      <c r="H59">
        <f t="shared" si="0"/>
        <v>70.519999999999982</v>
      </c>
      <c r="I59">
        <f t="shared" si="1"/>
        <v>217.49</v>
      </c>
    </row>
    <row r="60" spans="1:9" x14ac:dyDescent="0.25">
      <c r="A60" s="2">
        <v>45090</v>
      </c>
      <c r="B60" t="s">
        <v>14</v>
      </c>
      <c r="C60" t="s">
        <v>11</v>
      </c>
      <c r="D60" t="s">
        <v>13</v>
      </c>
      <c r="E60">
        <v>12.87</v>
      </c>
      <c r="F60">
        <v>332.44</v>
      </c>
      <c r="H60">
        <f t="shared" si="0"/>
        <v>332.44</v>
      </c>
      <c r="I60">
        <f t="shared" si="1"/>
        <v>-12.87</v>
      </c>
    </row>
    <row r="61" spans="1:9" x14ac:dyDescent="0.25">
      <c r="A61" s="2">
        <v>45090</v>
      </c>
      <c r="B61" t="s">
        <v>6</v>
      </c>
      <c r="C61" t="s">
        <v>19</v>
      </c>
      <c r="D61" t="s">
        <v>12</v>
      </c>
      <c r="E61">
        <v>12.77</v>
      </c>
      <c r="F61">
        <v>351.67</v>
      </c>
      <c r="G61">
        <v>283.73</v>
      </c>
      <c r="H61">
        <f t="shared" si="0"/>
        <v>67.94</v>
      </c>
      <c r="I61">
        <f t="shared" si="1"/>
        <v>270.96000000000004</v>
      </c>
    </row>
    <row r="62" spans="1:9" x14ac:dyDescent="0.25">
      <c r="A62" s="2">
        <v>45091</v>
      </c>
      <c r="B62" t="s">
        <v>23</v>
      </c>
      <c r="C62" t="s">
        <v>8</v>
      </c>
      <c r="D62" t="s">
        <v>12</v>
      </c>
      <c r="E62">
        <v>12.85</v>
      </c>
      <c r="F62">
        <v>329.87</v>
      </c>
      <c r="H62">
        <f t="shared" si="0"/>
        <v>329.87</v>
      </c>
      <c r="I62">
        <f t="shared" si="1"/>
        <v>-12.85</v>
      </c>
    </row>
    <row r="63" spans="1:9" x14ac:dyDescent="0.25">
      <c r="A63" s="2">
        <v>45091</v>
      </c>
      <c r="B63" t="s">
        <v>23</v>
      </c>
      <c r="C63" t="s">
        <v>11</v>
      </c>
      <c r="D63" t="s">
        <v>13</v>
      </c>
      <c r="E63">
        <v>12.89</v>
      </c>
      <c r="F63">
        <v>309.42</v>
      </c>
      <c r="G63">
        <v>221.24</v>
      </c>
      <c r="H63">
        <f t="shared" si="0"/>
        <v>88.18</v>
      </c>
      <c r="I63">
        <f t="shared" si="1"/>
        <v>208.35000000000002</v>
      </c>
    </row>
    <row r="64" spans="1:9" x14ac:dyDescent="0.25">
      <c r="A64" s="2">
        <v>45091</v>
      </c>
      <c r="B64" t="s">
        <v>23</v>
      </c>
      <c r="C64" t="s">
        <v>15</v>
      </c>
      <c r="D64" t="s">
        <v>13</v>
      </c>
      <c r="E64">
        <v>13</v>
      </c>
      <c r="F64">
        <v>355.81</v>
      </c>
      <c r="H64">
        <f t="shared" si="0"/>
        <v>355.81</v>
      </c>
      <c r="I64">
        <f t="shared" si="1"/>
        <v>-13</v>
      </c>
    </row>
    <row r="65" spans="1:9" x14ac:dyDescent="0.25">
      <c r="A65" s="2">
        <v>45090</v>
      </c>
      <c r="B65" t="s">
        <v>17</v>
      </c>
      <c r="C65" t="s">
        <v>16</v>
      </c>
      <c r="D65" t="s">
        <v>12</v>
      </c>
      <c r="E65">
        <v>12.8</v>
      </c>
      <c r="F65">
        <v>445.57</v>
      </c>
      <c r="H65">
        <f t="shared" si="0"/>
        <v>445.57</v>
      </c>
      <c r="I65">
        <f t="shared" si="1"/>
        <v>-12.8</v>
      </c>
    </row>
    <row r="66" spans="1:9" x14ac:dyDescent="0.25">
      <c r="A66" s="2">
        <v>45089</v>
      </c>
      <c r="B66" t="s">
        <v>26</v>
      </c>
      <c r="C66" t="s">
        <v>19</v>
      </c>
      <c r="D66" t="s">
        <v>12</v>
      </c>
      <c r="E66">
        <v>12.92</v>
      </c>
      <c r="F66">
        <v>386.51</v>
      </c>
      <c r="H66">
        <f t="shared" si="0"/>
        <v>386.51</v>
      </c>
      <c r="I66">
        <f t="shared" si="1"/>
        <v>-12.92</v>
      </c>
    </row>
    <row r="67" spans="1:9" x14ac:dyDescent="0.25">
      <c r="A67" s="2">
        <v>45091</v>
      </c>
      <c r="B67" t="s">
        <v>21</v>
      </c>
      <c r="C67" t="s">
        <v>8</v>
      </c>
      <c r="D67" t="s">
        <v>12</v>
      </c>
      <c r="E67">
        <v>12.9</v>
      </c>
      <c r="F67">
        <v>397.11</v>
      </c>
      <c r="G67">
        <v>318.66000000000003</v>
      </c>
      <c r="H67">
        <f t="shared" ref="H67:H130" si="2">F67-G67</f>
        <v>78.449999999999989</v>
      </c>
      <c r="I67">
        <f t="shared" ref="I67:I130" si="3">G67-E67</f>
        <v>305.76000000000005</v>
      </c>
    </row>
    <row r="68" spans="1:9" x14ac:dyDescent="0.25">
      <c r="A68" s="2">
        <v>45090</v>
      </c>
      <c r="B68" t="s">
        <v>14</v>
      </c>
      <c r="C68" t="s">
        <v>8</v>
      </c>
      <c r="D68" t="s">
        <v>13</v>
      </c>
      <c r="E68">
        <v>12.8</v>
      </c>
      <c r="F68">
        <v>279.23</v>
      </c>
      <c r="G68">
        <v>213.69</v>
      </c>
      <c r="H68">
        <f t="shared" si="2"/>
        <v>65.54000000000002</v>
      </c>
      <c r="I68">
        <f t="shared" si="3"/>
        <v>200.89</v>
      </c>
    </row>
    <row r="69" spans="1:9" x14ac:dyDescent="0.25">
      <c r="A69" s="2">
        <v>45091</v>
      </c>
      <c r="B69" t="s">
        <v>10</v>
      </c>
      <c r="C69" t="s">
        <v>16</v>
      </c>
      <c r="D69" t="s">
        <v>12</v>
      </c>
      <c r="E69">
        <v>12.85</v>
      </c>
      <c r="F69">
        <v>385.47</v>
      </c>
      <c r="H69">
        <f t="shared" si="2"/>
        <v>385.47</v>
      </c>
      <c r="I69">
        <f t="shared" si="3"/>
        <v>-12.85</v>
      </c>
    </row>
    <row r="70" spans="1:9" x14ac:dyDescent="0.25">
      <c r="A70" s="2">
        <v>45091</v>
      </c>
      <c r="B70" t="s">
        <v>21</v>
      </c>
      <c r="C70" t="s">
        <v>8</v>
      </c>
      <c r="D70" t="s">
        <v>13</v>
      </c>
      <c r="E70">
        <v>12.97</v>
      </c>
      <c r="F70">
        <v>312.5</v>
      </c>
      <c r="H70">
        <f t="shared" si="2"/>
        <v>312.5</v>
      </c>
      <c r="I70">
        <f t="shared" si="3"/>
        <v>-12.97</v>
      </c>
    </row>
    <row r="71" spans="1:9" x14ac:dyDescent="0.25">
      <c r="A71" s="2">
        <v>45091</v>
      </c>
      <c r="B71" t="s">
        <v>23</v>
      </c>
      <c r="C71" t="s">
        <v>19</v>
      </c>
      <c r="D71" t="s">
        <v>13</v>
      </c>
      <c r="E71">
        <v>12.84</v>
      </c>
      <c r="F71">
        <v>311.35000000000002</v>
      </c>
      <c r="H71">
        <f t="shared" si="2"/>
        <v>311.35000000000002</v>
      </c>
      <c r="I71">
        <f t="shared" si="3"/>
        <v>-12.84</v>
      </c>
    </row>
    <row r="72" spans="1:9" x14ac:dyDescent="0.25">
      <c r="A72" s="2">
        <v>45089</v>
      </c>
      <c r="B72" t="s">
        <v>7</v>
      </c>
      <c r="C72" t="s">
        <v>16</v>
      </c>
      <c r="D72" t="s">
        <v>12</v>
      </c>
      <c r="E72">
        <v>12.95</v>
      </c>
      <c r="F72">
        <v>398.97</v>
      </c>
      <c r="H72">
        <f t="shared" si="2"/>
        <v>398.97</v>
      </c>
      <c r="I72">
        <f t="shared" si="3"/>
        <v>-12.95</v>
      </c>
    </row>
    <row r="73" spans="1:9" x14ac:dyDescent="0.25">
      <c r="A73" s="2">
        <v>45089</v>
      </c>
      <c r="B73" t="s">
        <v>26</v>
      </c>
      <c r="C73" t="s">
        <v>19</v>
      </c>
      <c r="D73" t="s">
        <v>13</v>
      </c>
      <c r="E73">
        <v>12.92</v>
      </c>
      <c r="F73">
        <v>366.63</v>
      </c>
      <c r="H73">
        <f t="shared" si="2"/>
        <v>366.63</v>
      </c>
      <c r="I73">
        <f t="shared" si="3"/>
        <v>-12.92</v>
      </c>
    </row>
    <row r="74" spans="1:9" x14ac:dyDescent="0.25">
      <c r="A74" s="2">
        <v>45091</v>
      </c>
      <c r="B74" t="s">
        <v>21</v>
      </c>
      <c r="C74" t="s">
        <v>15</v>
      </c>
      <c r="D74" t="s">
        <v>12</v>
      </c>
      <c r="E74">
        <v>12.87</v>
      </c>
      <c r="F74">
        <v>454.3</v>
      </c>
      <c r="H74">
        <f t="shared" si="2"/>
        <v>454.3</v>
      </c>
      <c r="I74">
        <f t="shared" si="3"/>
        <v>-12.87</v>
      </c>
    </row>
    <row r="75" spans="1:9" x14ac:dyDescent="0.25">
      <c r="A75" s="2">
        <v>45091</v>
      </c>
      <c r="B75" t="s">
        <v>10</v>
      </c>
      <c r="C75" t="s">
        <v>8</v>
      </c>
      <c r="D75" t="s">
        <v>12</v>
      </c>
      <c r="E75">
        <v>12.89</v>
      </c>
      <c r="F75">
        <v>341.45</v>
      </c>
      <c r="H75">
        <f t="shared" si="2"/>
        <v>341.45</v>
      </c>
      <c r="I75">
        <f t="shared" si="3"/>
        <v>-12.89</v>
      </c>
    </row>
    <row r="76" spans="1:9" x14ac:dyDescent="0.25">
      <c r="A76" s="2">
        <v>45090</v>
      </c>
      <c r="B76" t="s">
        <v>6</v>
      </c>
      <c r="C76" t="s">
        <v>19</v>
      </c>
      <c r="D76" t="s">
        <v>13</v>
      </c>
      <c r="E76">
        <v>12.89</v>
      </c>
      <c r="F76">
        <v>334</v>
      </c>
      <c r="H76">
        <f t="shared" si="2"/>
        <v>334</v>
      </c>
      <c r="I76">
        <f t="shared" si="3"/>
        <v>-12.89</v>
      </c>
    </row>
    <row r="77" spans="1:9" x14ac:dyDescent="0.25">
      <c r="A77" s="2">
        <v>45091</v>
      </c>
      <c r="B77" t="s">
        <v>20</v>
      </c>
      <c r="C77" t="s">
        <v>11</v>
      </c>
      <c r="D77" t="s">
        <v>13</v>
      </c>
      <c r="E77">
        <v>12.87</v>
      </c>
      <c r="F77">
        <v>273.42</v>
      </c>
      <c r="H77">
        <f t="shared" si="2"/>
        <v>273.42</v>
      </c>
      <c r="I77">
        <f t="shared" si="3"/>
        <v>-12.87</v>
      </c>
    </row>
    <row r="78" spans="1:9" x14ac:dyDescent="0.25">
      <c r="A78" s="2">
        <v>45089</v>
      </c>
      <c r="B78" t="s">
        <v>25</v>
      </c>
      <c r="C78" t="s">
        <v>8</v>
      </c>
      <c r="D78" t="s">
        <v>13</v>
      </c>
      <c r="E78">
        <v>12.86</v>
      </c>
      <c r="F78">
        <v>285.44</v>
      </c>
      <c r="H78">
        <f t="shared" si="2"/>
        <v>285.44</v>
      </c>
      <c r="I78">
        <f t="shared" si="3"/>
        <v>-12.86</v>
      </c>
    </row>
    <row r="79" spans="1:9" x14ac:dyDescent="0.25">
      <c r="A79" s="2">
        <v>45091</v>
      </c>
      <c r="B79" t="s">
        <v>20</v>
      </c>
      <c r="C79" t="s">
        <v>8</v>
      </c>
      <c r="D79" t="s">
        <v>13</v>
      </c>
      <c r="E79">
        <v>12.94</v>
      </c>
      <c r="F79">
        <v>408.89</v>
      </c>
      <c r="H79">
        <f t="shared" si="2"/>
        <v>408.89</v>
      </c>
      <c r="I79">
        <f t="shared" si="3"/>
        <v>-12.94</v>
      </c>
    </row>
    <row r="80" spans="1:9" x14ac:dyDescent="0.25">
      <c r="A80" s="2">
        <v>45090</v>
      </c>
      <c r="B80" t="s">
        <v>22</v>
      </c>
      <c r="C80" t="s">
        <v>19</v>
      </c>
      <c r="D80" t="s">
        <v>13</v>
      </c>
      <c r="E80">
        <v>12.98</v>
      </c>
      <c r="F80">
        <v>364.86</v>
      </c>
      <c r="H80">
        <f t="shared" si="2"/>
        <v>364.86</v>
      </c>
      <c r="I80">
        <f t="shared" si="3"/>
        <v>-12.98</v>
      </c>
    </row>
    <row r="81" spans="1:9" x14ac:dyDescent="0.25">
      <c r="A81" s="2">
        <v>45090</v>
      </c>
      <c r="B81" t="s">
        <v>22</v>
      </c>
      <c r="C81" t="s">
        <v>8</v>
      </c>
      <c r="D81" t="s">
        <v>13</v>
      </c>
      <c r="E81">
        <v>12.91</v>
      </c>
      <c r="F81">
        <v>291.97000000000003</v>
      </c>
      <c r="H81">
        <f t="shared" si="2"/>
        <v>291.97000000000003</v>
      </c>
      <c r="I81">
        <f t="shared" si="3"/>
        <v>-12.91</v>
      </c>
    </row>
    <row r="82" spans="1:9" x14ac:dyDescent="0.25">
      <c r="A82" s="2">
        <v>45090</v>
      </c>
      <c r="B82" t="s">
        <v>27</v>
      </c>
      <c r="C82" t="s">
        <v>8</v>
      </c>
      <c r="D82" t="s">
        <v>12</v>
      </c>
      <c r="E82">
        <v>12.93</v>
      </c>
      <c r="F82">
        <v>324.31</v>
      </c>
      <c r="H82">
        <f t="shared" si="2"/>
        <v>324.31</v>
      </c>
      <c r="I82">
        <f t="shared" si="3"/>
        <v>-12.93</v>
      </c>
    </row>
    <row r="83" spans="1:9" x14ac:dyDescent="0.25">
      <c r="A83" s="2">
        <v>45090</v>
      </c>
      <c r="B83" t="s">
        <v>27</v>
      </c>
      <c r="C83" t="s">
        <v>19</v>
      </c>
      <c r="D83" t="s">
        <v>13</v>
      </c>
      <c r="E83">
        <v>13</v>
      </c>
      <c r="F83">
        <v>383.74</v>
      </c>
      <c r="H83">
        <f t="shared" si="2"/>
        <v>383.74</v>
      </c>
      <c r="I83">
        <f t="shared" si="3"/>
        <v>-13</v>
      </c>
    </row>
    <row r="84" spans="1:9" x14ac:dyDescent="0.25">
      <c r="A84" s="2">
        <v>45091</v>
      </c>
      <c r="B84" t="s">
        <v>20</v>
      </c>
      <c r="C84" t="s">
        <v>8</v>
      </c>
      <c r="D84" t="s">
        <v>12</v>
      </c>
      <c r="E84">
        <v>12.9</v>
      </c>
      <c r="F84">
        <v>243.45</v>
      </c>
      <c r="H84">
        <f t="shared" si="2"/>
        <v>243.45</v>
      </c>
      <c r="I84">
        <f t="shared" si="3"/>
        <v>-12.9</v>
      </c>
    </row>
    <row r="85" spans="1:9" x14ac:dyDescent="0.25">
      <c r="A85" s="2">
        <v>45090</v>
      </c>
      <c r="B85" t="s">
        <v>28</v>
      </c>
      <c r="C85" t="s">
        <v>19</v>
      </c>
      <c r="D85" t="s">
        <v>12</v>
      </c>
      <c r="E85">
        <v>12.89</v>
      </c>
      <c r="F85">
        <v>395.26</v>
      </c>
      <c r="H85">
        <f t="shared" si="2"/>
        <v>395.26</v>
      </c>
      <c r="I85">
        <f t="shared" si="3"/>
        <v>-12.89</v>
      </c>
    </row>
    <row r="86" spans="1:9" x14ac:dyDescent="0.25">
      <c r="A86" s="2">
        <v>45090</v>
      </c>
      <c r="B86" t="s">
        <v>27</v>
      </c>
      <c r="C86" t="s">
        <v>16</v>
      </c>
      <c r="D86" t="s">
        <v>12</v>
      </c>
      <c r="E86">
        <v>12.9</v>
      </c>
      <c r="F86">
        <v>442.74</v>
      </c>
      <c r="H86">
        <f t="shared" si="2"/>
        <v>442.74</v>
      </c>
      <c r="I86">
        <f t="shared" si="3"/>
        <v>-12.9</v>
      </c>
    </row>
    <row r="87" spans="1:9" x14ac:dyDescent="0.25">
      <c r="A87" s="2">
        <v>45090</v>
      </c>
      <c r="B87" t="s">
        <v>29</v>
      </c>
      <c r="C87" t="s">
        <v>19</v>
      </c>
      <c r="D87" t="s">
        <v>12</v>
      </c>
      <c r="E87">
        <v>12.94</v>
      </c>
      <c r="F87">
        <v>473.94</v>
      </c>
      <c r="H87">
        <f t="shared" si="2"/>
        <v>473.94</v>
      </c>
      <c r="I87">
        <f t="shared" si="3"/>
        <v>-12.94</v>
      </c>
    </row>
    <row r="88" spans="1:9" x14ac:dyDescent="0.25">
      <c r="A88" s="2">
        <v>45090</v>
      </c>
      <c r="B88" t="s">
        <v>22</v>
      </c>
      <c r="C88" t="s">
        <v>15</v>
      </c>
      <c r="D88" t="s">
        <v>12</v>
      </c>
      <c r="E88">
        <v>12.87</v>
      </c>
      <c r="F88">
        <v>462.07</v>
      </c>
      <c r="H88">
        <f t="shared" si="2"/>
        <v>462.07</v>
      </c>
      <c r="I88">
        <f t="shared" si="3"/>
        <v>-12.87</v>
      </c>
    </row>
    <row r="89" spans="1:9" x14ac:dyDescent="0.25">
      <c r="A89" s="2">
        <v>45090</v>
      </c>
      <c r="B89" t="s">
        <v>28</v>
      </c>
      <c r="C89" t="s">
        <v>11</v>
      </c>
      <c r="D89" t="s">
        <v>13</v>
      </c>
      <c r="E89">
        <v>12.9</v>
      </c>
      <c r="F89">
        <v>342.38</v>
      </c>
      <c r="H89">
        <f t="shared" si="2"/>
        <v>342.38</v>
      </c>
      <c r="I89">
        <f t="shared" si="3"/>
        <v>-12.9</v>
      </c>
    </row>
    <row r="90" spans="1:9" x14ac:dyDescent="0.25">
      <c r="A90" s="2">
        <v>45090</v>
      </c>
      <c r="B90" t="s">
        <v>27</v>
      </c>
      <c r="C90" t="s">
        <v>16</v>
      </c>
      <c r="D90" t="s">
        <v>13</v>
      </c>
      <c r="E90">
        <v>12.98</v>
      </c>
      <c r="F90">
        <v>387.79</v>
      </c>
      <c r="H90">
        <f t="shared" si="2"/>
        <v>387.79</v>
      </c>
      <c r="I90">
        <f t="shared" si="3"/>
        <v>-12.98</v>
      </c>
    </row>
    <row r="91" spans="1:9" x14ac:dyDescent="0.25">
      <c r="A91" s="2">
        <v>45090</v>
      </c>
      <c r="B91" t="s">
        <v>17</v>
      </c>
      <c r="C91" t="s">
        <v>19</v>
      </c>
      <c r="D91" t="s">
        <v>13</v>
      </c>
      <c r="E91">
        <v>13.39</v>
      </c>
      <c r="F91">
        <v>345.17</v>
      </c>
      <c r="H91">
        <f t="shared" si="2"/>
        <v>345.17</v>
      </c>
      <c r="I91">
        <f t="shared" si="3"/>
        <v>-13.39</v>
      </c>
    </row>
    <row r="92" spans="1:9" x14ac:dyDescent="0.25">
      <c r="A92" s="2">
        <v>45090</v>
      </c>
      <c r="B92" t="s">
        <v>29</v>
      </c>
      <c r="C92" t="s">
        <v>8</v>
      </c>
      <c r="D92" t="s">
        <v>13</v>
      </c>
      <c r="E92">
        <v>13.39</v>
      </c>
      <c r="F92">
        <v>363.49</v>
      </c>
      <c r="G92">
        <v>284</v>
      </c>
      <c r="H92">
        <f t="shared" si="2"/>
        <v>79.490000000000009</v>
      </c>
      <c r="I92">
        <f t="shared" si="3"/>
        <v>270.61</v>
      </c>
    </row>
    <row r="93" spans="1:9" x14ac:dyDescent="0.25">
      <c r="A93" s="2">
        <v>45090</v>
      </c>
      <c r="B93" t="s">
        <v>28</v>
      </c>
      <c r="C93" t="s">
        <v>15</v>
      </c>
      <c r="D93" t="s">
        <v>13</v>
      </c>
      <c r="E93">
        <v>13.35</v>
      </c>
      <c r="F93">
        <v>336.71</v>
      </c>
      <c r="G93">
        <v>273.05</v>
      </c>
      <c r="H93">
        <f t="shared" si="2"/>
        <v>63.659999999999968</v>
      </c>
      <c r="I93">
        <f t="shared" si="3"/>
        <v>259.7</v>
      </c>
    </row>
    <row r="94" spans="1:9" x14ac:dyDescent="0.25">
      <c r="A94" s="2">
        <v>45090</v>
      </c>
      <c r="B94" t="s">
        <v>27</v>
      </c>
      <c r="C94" t="s">
        <v>11</v>
      </c>
      <c r="D94" t="s">
        <v>13</v>
      </c>
      <c r="E94">
        <v>13.32</v>
      </c>
      <c r="F94">
        <v>347.09</v>
      </c>
      <c r="G94">
        <v>266.64</v>
      </c>
      <c r="H94">
        <f t="shared" si="2"/>
        <v>80.449999999999989</v>
      </c>
      <c r="I94">
        <f t="shared" si="3"/>
        <v>253.32</v>
      </c>
    </row>
    <row r="95" spans="1:9" x14ac:dyDescent="0.25">
      <c r="A95" s="2">
        <v>45090</v>
      </c>
      <c r="B95" t="s">
        <v>22</v>
      </c>
      <c r="C95" t="s">
        <v>15</v>
      </c>
      <c r="D95" t="s">
        <v>13</v>
      </c>
      <c r="E95">
        <v>13.48</v>
      </c>
      <c r="F95">
        <v>355.86</v>
      </c>
      <c r="G95">
        <v>285.62</v>
      </c>
      <c r="H95">
        <f t="shared" si="2"/>
        <v>70.240000000000009</v>
      </c>
      <c r="I95">
        <f t="shared" si="3"/>
        <v>272.14</v>
      </c>
    </row>
    <row r="96" spans="1:9" x14ac:dyDescent="0.25">
      <c r="A96" s="2">
        <v>45090</v>
      </c>
      <c r="B96" t="s">
        <v>29</v>
      </c>
      <c r="C96" t="s">
        <v>8</v>
      </c>
      <c r="D96" t="s">
        <v>12</v>
      </c>
      <c r="E96">
        <v>13.34</v>
      </c>
      <c r="F96">
        <v>349.34</v>
      </c>
      <c r="G96">
        <v>279.36</v>
      </c>
      <c r="H96">
        <f t="shared" si="2"/>
        <v>69.979999999999961</v>
      </c>
      <c r="I96">
        <f t="shared" si="3"/>
        <v>266.02000000000004</v>
      </c>
    </row>
    <row r="97" spans="1:9" x14ac:dyDescent="0.25">
      <c r="A97" s="2">
        <v>45090</v>
      </c>
      <c r="B97" t="s">
        <v>24</v>
      </c>
      <c r="C97" t="s">
        <v>11</v>
      </c>
      <c r="D97" t="s">
        <v>13</v>
      </c>
      <c r="E97">
        <v>13.41</v>
      </c>
      <c r="F97">
        <v>307.76</v>
      </c>
      <c r="G97">
        <v>244.74</v>
      </c>
      <c r="H97">
        <f t="shared" si="2"/>
        <v>63.019999999999982</v>
      </c>
      <c r="I97">
        <f t="shared" si="3"/>
        <v>231.33</v>
      </c>
    </row>
    <row r="98" spans="1:9" x14ac:dyDescent="0.25">
      <c r="A98" s="2">
        <v>45090</v>
      </c>
      <c r="B98" t="s">
        <v>24</v>
      </c>
      <c r="C98" t="s">
        <v>11</v>
      </c>
      <c r="D98" t="s">
        <v>12</v>
      </c>
      <c r="E98">
        <v>13.45</v>
      </c>
      <c r="F98">
        <v>267.26</v>
      </c>
      <c r="G98">
        <v>216.15</v>
      </c>
      <c r="H98">
        <f t="shared" si="2"/>
        <v>51.109999999999985</v>
      </c>
      <c r="I98">
        <f t="shared" si="3"/>
        <v>202.70000000000002</v>
      </c>
    </row>
    <row r="99" spans="1:9" x14ac:dyDescent="0.25">
      <c r="A99" s="2">
        <v>45090</v>
      </c>
      <c r="B99" t="s">
        <v>24</v>
      </c>
      <c r="C99" t="s">
        <v>16</v>
      </c>
      <c r="D99" t="s">
        <v>13</v>
      </c>
      <c r="E99">
        <v>13.43</v>
      </c>
      <c r="F99">
        <v>325.64999999999998</v>
      </c>
      <c r="G99">
        <v>256.16000000000003</v>
      </c>
      <c r="H99">
        <f t="shared" si="2"/>
        <v>69.489999999999952</v>
      </c>
      <c r="I99">
        <f t="shared" si="3"/>
        <v>242.73000000000002</v>
      </c>
    </row>
    <row r="100" spans="1:9" x14ac:dyDescent="0.25">
      <c r="A100" s="2">
        <v>45090</v>
      </c>
      <c r="B100" t="s">
        <v>29</v>
      </c>
      <c r="C100" t="s">
        <v>19</v>
      </c>
      <c r="D100" t="s">
        <v>13</v>
      </c>
      <c r="E100">
        <v>13.55</v>
      </c>
      <c r="F100">
        <v>448.12</v>
      </c>
      <c r="H100">
        <f t="shared" si="2"/>
        <v>448.12</v>
      </c>
      <c r="I100">
        <f t="shared" si="3"/>
        <v>-13.55</v>
      </c>
    </row>
    <row r="101" spans="1:9" x14ac:dyDescent="0.25">
      <c r="A101" s="2">
        <v>45090</v>
      </c>
      <c r="B101" t="s">
        <v>29</v>
      </c>
      <c r="C101" t="s">
        <v>11</v>
      </c>
      <c r="D101" t="s">
        <v>12</v>
      </c>
      <c r="E101">
        <v>13.41</v>
      </c>
      <c r="F101">
        <v>394.16</v>
      </c>
      <c r="H101">
        <f t="shared" si="2"/>
        <v>394.16</v>
      </c>
      <c r="I101">
        <f t="shared" si="3"/>
        <v>-13.41</v>
      </c>
    </row>
    <row r="102" spans="1:9" x14ac:dyDescent="0.25">
      <c r="A102" s="2">
        <v>45090</v>
      </c>
      <c r="B102" t="s">
        <v>17</v>
      </c>
      <c r="C102" t="s">
        <v>8</v>
      </c>
      <c r="D102" t="s">
        <v>12</v>
      </c>
      <c r="E102">
        <v>13.38</v>
      </c>
      <c r="F102">
        <v>361.92</v>
      </c>
      <c r="H102">
        <f t="shared" si="2"/>
        <v>361.92</v>
      </c>
      <c r="I102">
        <f t="shared" si="3"/>
        <v>-13.38</v>
      </c>
    </row>
    <row r="103" spans="1:9" x14ac:dyDescent="0.25">
      <c r="A103" s="2">
        <v>45090</v>
      </c>
      <c r="B103" t="s">
        <v>29</v>
      </c>
      <c r="C103" t="s">
        <v>11</v>
      </c>
      <c r="D103" t="s">
        <v>13</v>
      </c>
      <c r="E103">
        <v>13.05</v>
      </c>
      <c r="F103">
        <v>332.47</v>
      </c>
      <c r="H103">
        <f t="shared" si="2"/>
        <v>332.47</v>
      </c>
      <c r="I103">
        <f t="shared" si="3"/>
        <v>-13.05</v>
      </c>
    </row>
    <row r="104" spans="1:9" x14ac:dyDescent="0.25">
      <c r="A104" s="2">
        <v>45090</v>
      </c>
      <c r="B104" t="s">
        <v>22</v>
      </c>
      <c r="C104" t="s">
        <v>16</v>
      </c>
      <c r="D104" t="s">
        <v>13</v>
      </c>
      <c r="E104">
        <v>13.16</v>
      </c>
      <c r="F104">
        <v>382.64</v>
      </c>
      <c r="H104">
        <f t="shared" si="2"/>
        <v>382.64</v>
      </c>
      <c r="I104">
        <f t="shared" si="3"/>
        <v>-13.16</v>
      </c>
    </row>
    <row r="105" spans="1:9" x14ac:dyDescent="0.25">
      <c r="A105" s="2">
        <v>45090</v>
      </c>
      <c r="B105" t="s">
        <v>24</v>
      </c>
      <c r="C105" t="s">
        <v>19</v>
      </c>
      <c r="D105" t="s">
        <v>13</v>
      </c>
      <c r="E105">
        <v>13.07</v>
      </c>
      <c r="F105">
        <v>353.13</v>
      </c>
      <c r="H105">
        <f t="shared" si="2"/>
        <v>353.13</v>
      </c>
      <c r="I105">
        <f t="shared" si="3"/>
        <v>-13.07</v>
      </c>
    </row>
    <row r="106" spans="1:9" x14ac:dyDescent="0.25">
      <c r="A106" s="2">
        <v>45090</v>
      </c>
      <c r="B106" t="s">
        <v>24</v>
      </c>
      <c r="C106" t="s">
        <v>8</v>
      </c>
      <c r="D106" t="s">
        <v>12</v>
      </c>
      <c r="E106">
        <v>12.92</v>
      </c>
      <c r="F106">
        <v>297.47000000000003</v>
      </c>
      <c r="H106">
        <f t="shared" si="2"/>
        <v>297.47000000000003</v>
      </c>
      <c r="I106">
        <f t="shared" si="3"/>
        <v>-12.92</v>
      </c>
    </row>
    <row r="107" spans="1:9" x14ac:dyDescent="0.25">
      <c r="A107" s="2">
        <v>45090</v>
      </c>
      <c r="B107" t="s">
        <v>28</v>
      </c>
      <c r="C107" t="s">
        <v>16</v>
      </c>
      <c r="D107" t="s">
        <v>12</v>
      </c>
      <c r="E107">
        <v>13.22</v>
      </c>
      <c r="F107">
        <v>368.01</v>
      </c>
      <c r="G107">
        <v>293.64</v>
      </c>
      <c r="H107">
        <f t="shared" si="2"/>
        <v>74.37</v>
      </c>
      <c r="I107">
        <f t="shared" si="3"/>
        <v>280.41999999999996</v>
      </c>
    </row>
    <row r="108" spans="1:9" x14ac:dyDescent="0.25">
      <c r="A108" s="2">
        <v>45090</v>
      </c>
      <c r="B108" t="s">
        <v>28</v>
      </c>
      <c r="C108" t="s">
        <v>11</v>
      </c>
      <c r="D108" t="s">
        <v>12</v>
      </c>
      <c r="E108">
        <v>13.32</v>
      </c>
      <c r="F108">
        <v>484.47</v>
      </c>
      <c r="H108">
        <f t="shared" si="2"/>
        <v>484.47</v>
      </c>
      <c r="I108">
        <f t="shared" si="3"/>
        <v>-13.32</v>
      </c>
    </row>
    <row r="109" spans="1:9" x14ac:dyDescent="0.25">
      <c r="A109" s="2">
        <v>45090</v>
      </c>
      <c r="B109" t="s">
        <v>29</v>
      </c>
      <c r="C109" t="s">
        <v>15</v>
      </c>
      <c r="D109" t="s">
        <v>13</v>
      </c>
      <c r="E109">
        <v>12.95</v>
      </c>
      <c r="F109">
        <v>380.38</v>
      </c>
      <c r="G109">
        <v>308.64</v>
      </c>
      <c r="H109">
        <f t="shared" si="2"/>
        <v>71.740000000000009</v>
      </c>
      <c r="I109">
        <f t="shared" si="3"/>
        <v>295.69</v>
      </c>
    </row>
    <row r="110" spans="1:9" x14ac:dyDescent="0.25">
      <c r="A110" s="2">
        <v>45090</v>
      </c>
      <c r="B110" t="s">
        <v>29</v>
      </c>
      <c r="C110" t="s">
        <v>16</v>
      </c>
      <c r="D110" t="s">
        <v>12</v>
      </c>
      <c r="E110">
        <v>13.06</v>
      </c>
      <c r="F110">
        <v>469.62</v>
      </c>
      <c r="H110">
        <f t="shared" si="2"/>
        <v>469.62</v>
      </c>
      <c r="I110">
        <f t="shared" si="3"/>
        <v>-13.06</v>
      </c>
    </row>
    <row r="111" spans="1:9" x14ac:dyDescent="0.25">
      <c r="A111" s="2">
        <v>45090</v>
      </c>
      <c r="B111" t="s">
        <v>28</v>
      </c>
      <c r="C111" t="s">
        <v>19</v>
      </c>
      <c r="D111" t="s">
        <v>13</v>
      </c>
      <c r="E111">
        <v>13.14</v>
      </c>
      <c r="F111">
        <v>381.73</v>
      </c>
      <c r="G111">
        <v>291.88</v>
      </c>
      <c r="H111">
        <f t="shared" si="2"/>
        <v>89.850000000000023</v>
      </c>
      <c r="I111">
        <f t="shared" si="3"/>
        <v>278.74</v>
      </c>
    </row>
    <row r="112" spans="1:9" x14ac:dyDescent="0.25">
      <c r="A112" s="2">
        <v>45090</v>
      </c>
      <c r="B112" t="s">
        <v>27</v>
      </c>
      <c r="C112" t="s">
        <v>15</v>
      </c>
      <c r="D112" t="s">
        <v>12</v>
      </c>
      <c r="E112">
        <v>13.5</v>
      </c>
      <c r="F112">
        <v>466.68</v>
      </c>
      <c r="G112">
        <v>377.59</v>
      </c>
      <c r="H112">
        <f t="shared" si="2"/>
        <v>89.090000000000032</v>
      </c>
      <c r="I112">
        <f t="shared" si="3"/>
        <v>364.09</v>
      </c>
    </row>
    <row r="113" spans="1:9" x14ac:dyDescent="0.25">
      <c r="A113" s="2">
        <v>45090</v>
      </c>
      <c r="B113" t="s">
        <v>14</v>
      </c>
      <c r="C113" t="s">
        <v>16</v>
      </c>
      <c r="D113" t="s">
        <v>13</v>
      </c>
      <c r="E113">
        <v>13.14</v>
      </c>
      <c r="F113">
        <v>325.47000000000003</v>
      </c>
      <c r="G113">
        <v>251.77</v>
      </c>
      <c r="H113">
        <f t="shared" si="2"/>
        <v>73.700000000000017</v>
      </c>
      <c r="I113">
        <f t="shared" si="3"/>
        <v>238.63</v>
      </c>
    </row>
    <row r="114" spans="1:9" x14ac:dyDescent="0.25">
      <c r="A114" s="2">
        <v>45090</v>
      </c>
      <c r="B114" t="s">
        <v>24</v>
      </c>
      <c r="C114" t="s">
        <v>8</v>
      </c>
      <c r="D114" t="s">
        <v>13</v>
      </c>
      <c r="E114">
        <v>13.05</v>
      </c>
      <c r="F114">
        <v>358.8</v>
      </c>
      <c r="G114">
        <v>300.76</v>
      </c>
      <c r="H114">
        <f t="shared" si="2"/>
        <v>58.04000000000002</v>
      </c>
      <c r="I114">
        <f t="shared" si="3"/>
        <v>287.70999999999998</v>
      </c>
    </row>
    <row r="115" spans="1:9" x14ac:dyDescent="0.25">
      <c r="A115" s="2">
        <v>45090</v>
      </c>
      <c r="B115" t="s">
        <v>22</v>
      </c>
      <c r="C115" t="s">
        <v>19</v>
      </c>
      <c r="D115" t="s">
        <v>12</v>
      </c>
      <c r="E115">
        <v>13.09</v>
      </c>
      <c r="F115">
        <v>416.66</v>
      </c>
      <c r="G115">
        <v>324.54000000000002</v>
      </c>
      <c r="H115">
        <f t="shared" si="2"/>
        <v>92.12</v>
      </c>
      <c r="I115">
        <f t="shared" si="3"/>
        <v>311.45000000000005</v>
      </c>
    </row>
    <row r="116" spans="1:9" x14ac:dyDescent="0.25">
      <c r="A116" s="2">
        <v>45090</v>
      </c>
      <c r="B116" t="s">
        <v>22</v>
      </c>
      <c r="C116" t="s">
        <v>11</v>
      </c>
      <c r="D116" t="s">
        <v>12</v>
      </c>
      <c r="E116">
        <v>13.11</v>
      </c>
      <c r="F116">
        <v>393.47</v>
      </c>
      <c r="G116">
        <v>312.56</v>
      </c>
      <c r="H116">
        <f t="shared" si="2"/>
        <v>80.910000000000025</v>
      </c>
      <c r="I116">
        <f t="shared" si="3"/>
        <v>299.45</v>
      </c>
    </row>
    <row r="117" spans="1:9" x14ac:dyDescent="0.25">
      <c r="A117" s="2">
        <v>45090</v>
      </c>
      <c r="B117" t="s">
        <v>22</v>
      </c>
      <c r="C117" t="s">
        <v>8</v>
      </c>
      <c r="D117" t="s">
        <v>12</v>
      </c>
      <c r="E117">
        <v>13.11</v>
      </c>
      <c r="F117">
        <v>411.72</v>
      </c>
      <c r="H117">
        <f t="shared" si="2"/>
        <v>411.72</v>
      </c>
      <c r="I117">
        <f t="shared" si="3"/>
        <v>-13.11</v>
      </c>
    </row>
    <row r="118" spans="1:9" x14ac:dyDescent="0.25">
      <c r="A118" s="2">
        <v>45090</v>
      </c>
      <c r="B118" t="s">
        <v>29</v>
      </c>
      <c r="C118" t="s">
        <v>15</v>
      </c>
      <c r="D118" t="s">
        <v>12</v>
      </c>
      <c r="E118">
        <v>13.08</v>
      </c>
      <c r="F118">
        <v>383.28</v>
      </c>
      <c r="G118">
        <v>312.45</v>
      </c>
      <c r="H118">
        <f t="shared" si="2"/>
        <v>70.829999999999984</v>
      </c>
      <c r="I118">
        <f t="shared" si="3"/>
        <v>299.37</v>
      </c>
    </row>
    <row r="119" spans="1:9" x14ac:dyDescent="0.25">
      <c r="A119" s="2">
        <v>45090</v>
      </c>
      <c r="B119" t="s">
        <v>21</v>
      </c>
      <c r="C119" t="s">
        <v>16</v>
      </c>
      <c r="D119" t="s">
        <v>12</v>
      </c>
      <c r="E119">
        <v>12.86</v>
      </c>
      <c r="F119">
        <v>487.7</v>
      </c>
      <c r="H119">
        <f t="shared" si="2"/>
        <v>487.7</v>
      </c>
      <c r="I119">
        <f t="shared" si="3"/>
        <v>-12.86</v>
      </c>
    </row>
    <row r="120" spans="1:9" x14ac:dyDescent="0.25">
      <c r="A120" s="2">
        <v>45090</v>
      </c>
      <c r="B120" t="s">
        <v>28</v>
      </c>
      <c r="C120" t="s">
        <v>15</v>
      </c>
      <c r="D120" t="s">
        <v>12</v>
      </c>
      <c r="E120">
        <v>13.44</v>
      </c>
      <c r="F120">
        <v>434.48</v>
      </c>
      <c r="G120">
        <v>342.53</v>
      </c>
      <c r="H120">
        <f t="shared" si="2"/>
        <v>91.950000000000045</v>
      </c>
      <c r="I120">
        <f t="shared" si="3"/>
        <v>329.09</v>
      </c>
    </row>
    <row r="121" spans="1:9" x14ac:dyDescent="0.25">
      <c r="A121" s="2">
        <v>45090</v>
      </c>
      <c r="B121" t="s">
        <v>17</v>
      </c>
      <c r="C121" t="s">
        <v>11</v>
      </c>
      <c r="D121" t="s">
        <v>13</v>
      </c>
      <c r="E121">
        <v>13.44</v>
      </c>
      <c r="F121">
        <v>371.33</v>
      </c>
      <c r="H121">
        <f t="shared" si="2"/>
        <v>371.33</v>
      </c>
      <c r="I121">
        <f t="shared" si="3"/>
        <v>-13.44</v>
      </c>
    </row>
    <row r="122" spans="1:9" x14ac:dyDescent="0.25">
      <c r="A122" s="2">
        <v>45090</v>
      </c>
      <c r="B122" t="s">
        <v>29</v>
      </c>
      <c r="C122" t="s">
        <v>16</v>
      </c>
      <c r="D122" t="s">
        <v>13</v>
      </c>
      <c r="E122">
        <v>13.32</v>
      </c>
      <c r="F122">
        <v>385.36</v>
      </c>
      <c r="H122">
        <f t="shared" si="2"/>
        <v>385.36</v>
      </c>
      <c r="I122">
        <f t="shared" si="3"/>
        <v>-13.32</v>
      </c>
    </row>
    <row r="123" spans="1:9" x14ac:dyDescent="0.25">
      <c r="A123" s="2">
        <v>45091</v>
      </c>
      <c r="B123" t="s">
        <v>23</v>
      </c>
      <c r="C123" t="s">
        <v>8</v>
      </c>
      <c r="D123" t="s">
        <v>13</v>
      </c>
      <c r="E123">
        <v>12.91</v>
      </c>
      <c r="F123">
        <v>358.93</v>
      </c>
      <c r="H123">
        <f t="shared" si="2"/>
        <v>358.93</v>
      </c>
      <c r="I123">
        <f t="shared" si="3"/>
        <v>-12.91</v>
      </c>
    </row>
    <row r="124" spans="1:9" x14ac:dyDescent="0.25">
      <c r="A124" s="2">
        <v>45090</v>
      </c>
      <c r="B124" t="s">
        <v>24</v>
      </c>
      <c r="C124" t="s">
        <v>16</v>
      </c>
      <c r="D124" t="s">
        <v>12</v>
      </c>
      <c r="E124">
        <v>13.41</v>
      </c>
      <c r="F124">
        <v>319.08</v>
      </c>
      <c r="G124">
        <v>261.29000000000002</v>
      </c>
      <c r="H124">
        <f t="shared" si="2"/>
        <v>57.789999999999964</v>
      </c>
      <c r="I124">
        <f t="shared" si="3"/>
        <v>247.88000000000002</v>
      </c>
    </row>
    <row r="125" spans="1:9" x14ac:dyDescent="0.25">
      <c r="A125" s="2">
        <v>45090</v>
      </c>
      <c r="B125" t="s">
        <v>27</v>
      </c>
      <c r="C125" t="s">
        <v>19</v>
      </c>
      <c r="D125" t="s">
        <v>12</v>
      </c>
      <c r="E125">
        <v>13.43</v>
      </c>
      <c r="F125">
        <v>369.36</v>
      </c>
      <c r="H125">
        <f t="shared" si="2"/>
        <v>369.36</v>
      </c>
      <c r="I125">
        <f t="shared" si="3"/>
        <v>-13.43</v>
      </c>
    </row>
    <row r="126" spans="1:9" x14ac:dyDescent="0.25">
      <c r="A126" s="2">
        <v>45090</v>
      </c>
      <c r="B126" t="s">
        <v>17</v>
      </c>
      <c r="C126" t="s">
        <v>11</v>
      </c>
      <c r="D126" t="s">
        <v>12</v>
      </c>
      <c r="E126">
        <v>13.42</v>
      </c>
      <c r="F126">
        <v>361.06</v>
      </c>
      <c r="G126">
        <v>294.26</v>
      </c>
      <c r="H126">
        <f t="shared" si="2"/>
        <v>66.800000000000011</v>
      </c>
      <c r="I126">
        <f t="shared" si="3"/>
        <v>280.83999999999997</v>
      </c>
    </row>
    <row r="127" spans="1:9" x14ac:dyDescent="0.25">
      <c r="A127" s="2">
        <v>45090</v>
      </c>
      <c r="B127" t="s">
        <v>27</v>
      </c>
      <c r="C127" t="s">
        <v>11</v>
      </c>
      <c r="D127" t="s">
        <v>12</v>
      </c>
      <c r="E127">
        <v>13.4</v>
      </c>
      <c r="F127">
        <v>408.2</v>
      </c>
      <c r="H127">
        <f t="shared" si="2"/>
        <v>408.2</v>
      </c>
      <c r="I127">
        <f t="shared" si="3"/>
        <v>-13.4</v>
      </c>
    </row>
    <row r="128" spans="1:9" x14ac:dyDescent="0.25">
      <c r="A128" s="2">
        <v>45090</v>
      </c>
      <c r="B128" t="s">
        <v>28</v>
      </c>
      <c r="C128" t="s">
        <v>16</v>
      </c>
      <c r="D128" t="s">
        <v>13</v>
      </c>
      <c r="E128">
        <v>13.19</v>
      </c>
      <c r="F128">
        <v>345.7</v>
      </c>
      <c r="H128">
        <f t="shared" si="2"/>
        <v>345.7</v>
      </c>
      <c r="I128">
        <f t="shared" si="3"/>
        <v>-13.19</v>
      </c>
    </row>
    <row r="129" spans="1:9" x14ac:dyDescent="0.25">
      <c r="A129" s="2">
        <v>45090</v>
      </c>
      <c r="B129" t="s">
        <v>18</v>
      </c>
      <c r="C129" t="s">
        <v>16</v>
      </c>
      <c r="D129" t="s">
        <v>13</v>
      </c>
      <c r="E129">
        <v>12.9</v>
      </c>
      <c r="F129">
        <v>333.03</v>
      </c>
      <c r="H129">
        <f t="shared" si="2"/>
        <v>333.03</v>
      </c>
      <c r="I129">
        <f t="shared" si="3"/>
        <v>-12.9</v>
      </c>
    </row>
    <row r="130" spans="1:9" x14ac:dyDescent="0.25">
      <c r="A130" s="2">
        <v>45089</v>
      </c>
      <c r="B130" t="s">
        <v>7</v>
      </c>
      <c r="C130" t="s">
        <v>11</v>
      </c>
      <c r="D130" t="s">
        <v>12</v>
      </c>
      <c r="E130">
        <v>13.35</v>
      </c>
      <c r="F130">
        <v>398.88</v>
      </c>
      <c r="H130">
        <f t="shared" si="2"/>
        <v>398.88</v>
      </c>
      <c r="I130">
        <f t="shared" si="3"/>
        <v>-13.35</v>
      </c>
    </row>
    <row r="131" spans="1:9" x14ac:dyDescent="0.25">
      <c r="A131" s="2">
        <v>45090</v>
      </c>
      <c r="B131" t="s">
        <v>14</v>
      </c>
      <c r="C131" t="s">
        <v>16</v>
      </c>
      <c r="D131" t="s">
        <v>12</v>
      </c>
      <c r="E131">
        <v>13.42</v>
      </c>
      <c r="F131">
        <v>385.54</v>
      </c>
      <c r="G131">
        <v>298.75</v>
      </c>
      <c r="H131">
        <f t="shared" ref="H131:H181" si="4">F131-G131</f>
        <v>86.79000000000002</v>
      </c>
      <c r="I131">
        <f t="shared" ref="I131:I181" si="5">G131-E131</f>
        <v>285.33</v>
      </c>
    </row>
    <row r="132" spans="1:9" x14ac:dyDescent="0.25">
      <c r="A132" s="2">
        <v>45089</v>
      </c>
      <c r="B132" t="s">
        <v>30</v>
      </c>
      <c r="C132" t="s">
        <v>19</v>
      </c>
      <c r="D132" t="s">
        <v>12</v>
      </c>
      <c r="E132">
        <v>13.4</v>
      </c>
      <c r="F132">
        <v>411.13</v>
      </c>
      <c r="G132">
        <v>297.49</v>
      </c>
      <c r="H132">
        <f t="shared" si="4"/>
        <v>113.63999999999999</v>
      </c>
      <c r="I132">
        <f t="shared" si="5"/>
        <v>284.09000000000003</v>
      </c>
    </row>
    <row r="133" spans="1:9" x14ac:dyDescent="0.25">
      <c r="A133" s="2">
        <v>45089</v>
      </c>
      <c r="B133" t="s">
        <v>31</v>
      </c>
      <c r="C133" t="s">
        <v>11</v>
      </c>
      <c r="D133" t="s">
        <v>12</v>
      </c>
      <c r="E133">
        <v>13.31</v>
      </c>
      <c r="F133">
        <v>462.3</v>
      </c>
      <c r="G133">
        <v>365.94</v>
      </c>
      <c r="H133">
        <f t="shared" si="4"/>
        <v>96.360000000000014</v>
      </c>
      <c r="I133">
        <f t="shared" si="5"/>
        <v>352.63</v>
      </c>
    </row>
    <row r="134" spans="1:9" x14ac:dyDescent="0.25">
      <c r="A134" s="2">
        <v>45090</v>
      </c>
      <c r="B134" t="s">
        <v>27</v>
      </c>
      <c r="C134" t="s">
        <v>8</v>
      </c>
      <c r="D134" t="s">
        <v>13</v>
      </c>
      <c r="E134">
        <v>13.35</v>
      </c>
      <c r="F134">
        <v>337.63</v>
      </c>
      <c r="H134">
        <f t="shared" si="4"/>
        <v>337.63</v>
      </c>
      <c r="I134">
        <f t="shared" si="5"/>
        <v>-13.35</v>
      </c>
    </row>
    <row r="135" spans="1:9" x14ac:dyDescent="0.25">
      <c r="A135" s="2">
        <v>45090</v>
      </c>
      <c r="B135" t="s">
        <v>6</v>
      </c>
      <c r="C135" t="s">
        <v>11</v>
      </c>
      <c r="D135" t="s">
        <v>13</v>
      </c>
      <c r="E135">
        <v>13.39</v>
      </c>
      <c r="F135">
        <v>367.11</v>
      </c>
      <c r="G135">
        <v>282.58</v>
      </c>
      <c r="H135">
        <f t="shared" si="4"/>
        <v>84.53000000000003</v>
      </c>
      <c r="I135">
        <f t="shared" si="5"/>
        <v>269.19</v>
      </c>
    </row>
    <row r="136" spans="1:9" x14ac:dyDescent="0.25">
      <c r="A136" s="2">
        <v>45089</v>
      </c>
      <c r="B136" t="s">
        <v>31</v>
      </c>
      <c r="C136" t="s">
        <v>16</v>
      </c>
      <c r="D136" t="s">
        <v>13</v>
      </c>
      <c r="E136">
        <v>12.82</v>
      </c>
      <c r="F136">
        <v>302.63</v>
      </c>
      <c r="G136">
        <v>239.58</v>
      </c>
      <c r="H136">
        <f t="shared" si="4"/>
        <v>63.049999999999983</v>
      </c>
      <c r="I136">
        <f t="shared" si="5"/>
        <v>226.76000000000002</v>
      </c>
    </row>
    <row r="137" spans="1:9" x14ac:dyDescent="0.25">
      <c r="A137" s="2">
        <v>45090</v>
      </c>
      <c r="B137" t="s">
        <v>18</v>
      </c>
      <c r="C137" t="s">
        <v>15</v>
      </c>
      <c r="D137" t="s">
        <v>13</v>
      </c>
      <c r="E137">
        <v>12.88</v>
      </c>
      <c r="F137">
        <v>367.74</v>
      </c>
      <c r="H137">
        <f t="shared" si="4"/>
        <v>367.74</v>
      </c>
      <c r="I137">
        <f t="shared" si="5"/>
        <v>-12.88</v>
      </c>
    </row>
    <row r="138" spans="1:9" x14ac:dyDescent="0.25">
      <c r="A138" s="2">
        <v>45090</v>
      </c>
      <c r="B138" t="s">
        <v>27</v>
      </c>
      <c r="C138" t="s">
        <v>15</v>
      </c>
      <c r="D138" t="s">
        <v>13</v>
      </c>
      <c r="E138">
        <v>13.19</v>
      </c>
      <c r="F138">
        <v>326.89999999999998</v>
      </c>
      <c r="G138">
        <v>260.83</v>
      </c>
      <c r="H138">
        <f t="shared" si="4"/>
        <v>66.069999999999993</v>
      </c>
      <c r="I138">
        <f t="shared" si="5"/>
        <v>247.64</v>
      </c>
    </row>
    <row r="139" spans="1:9" x14ac:dyDescent="0.25">
      <c r="A139" s="2">
        <v>45090</v>
      </c>
      <c r="B139" t="s">
        <v>24</v>
      </c>
      <c r="C139" t="s">
        <v>15</v>
      </c>
      <c r="D139" t="s">
        <v>13</v>
      </c>
      <c r="E139">
        <v>13.5</v>
      </c>
      <c r="F139">
        <v>372.71</v>
      </c>
      <c r="G139">
        <v>297.70999999999998</v>
      </c>
      <c r="H139">
        <f t="shared" si="4"/>
        <v>75</v>
      </c>
      <c r="I139">
        <f t="shared" si="5"/>
        <v>284.20999999999998</v>
      </c>
    </row>
    <row r="140" spans="1:9" x14ac:dyDescent="0.25">
      <c r="A140" s="2">
        <v>45090</v>
      </c>
      <c r="B140" t="s">
        <v>28</v>
      </c>
      <c r="C140" t="s">
        <v>8</v>
      </c>
      <c r="D140" t="s">
        <v>12</v>
      </c>
      <c r="E140">
        <v>13.43</v>
      </c>
      <c r="F140">
        <v>367.84</v>
      </c>
      <c r="G140">
        <v>288.45</v>
      </c>
      <c r="H140">
        <f t="shared" si="4"/>
        <v>79.389999999999986</v>
      </c>
      <c r="I140">
        <f t="shared" si="5"/>
        <v>275.02</v>
      </c>
    </row>
    <row r="141" spans="1:9" x14ac:dyDescent="0.25">
      <c r="A141" s="2">
        <v>45090</v>
      </c>
      <c r="B141" t="s">
        <v>6</v>
      </c>
      <c r="C141" t="s">
        <v>15</v>
      </c>
      <c r="D141" t="s">
        <v>12</v>
      </c>
      <c r="E141">
        <v>12.91</v>
      </c>
      <c r="F141">
        <v>475.4</v>
      </c>
      <c r="H141">
        <f t="shared" si="4"/>
        <v>475.4</v>
      </c>
      <c r="I141">
        <f t="shared" si="5"/>
        <v>-12.91</v>
      </c>
    </row>
    <row r="142" spans="1:9" x14ac:dyDescent="0.25">
      <c r="A142" s="2">
        <v>45089</v>
      </c>
      <c r="B142" t="s">
        <v>25</v>
      </c>
      <c r="C142" t="s">
        <v>16</v>
      </c>
      <c r="D142" t="s">
        <v>12</v>
      </c>
      <c r="E142">
        <v>12.85</v>
      </c>
      <c r="F142">
        <v>398.77</v>
      </c>
      <c r="H142">
        <f t="shared" si="4"/>
        <v>398.77</v>
      </c>
      <c r="I142">
        <f t="shared" si="5"/>
        <v>-12.85</v>
      </c>
    </row>
    <row r="143" spans="1:9" x14ac:dyDescent="0.25">
      <c r="A143" s="2">
        <v>45089</v>
      </c>
      <c r="B143" t="s">
        <v>31</v>
      </c>
      <c r="C143" t="s">
        <v>19</v>
      </c>
      <c r="D143" t="s">
        <v>12</v>
      </c>
      <c r="E143">
        <v>12.8</v>
      </c>
      <c r="F143">
        <v>431.09</v>
      </c>
      <c r="H143">
        <f t="shared" si="4"/>
        <v>431.09</v>
      </c>
      <c r="I143">
        <f t="shared" si="5"/>
        <v>-12.8</v>
      </c>
    </row>
    <row r="144" spans="1:9" x14ac:dyDescent="0.25">
      <c r="A144" s="2">
        <v>45089</v>
      </c>
      <c r="B144" t="s">
        <v>25</v>
      </c>
      <c r="C144" t="s">
        <v>8</v>
      </c>
      <c r="D144" t="s">
        <v>12</v>
      </c>
      <c r="E144">
        <v>12.75</v>
      </c>
      <c r="F144">
        <v>368.49</v>
      </c>
      <c r="H144">
        <f t="shared" si="4"/>
        <v>368.49</v>
      </c>
      <c r="I144">
        <f t="shared" si="5"/>
        <v>-12.75</v>
      </c>
    </row>
    <row r="145" spans="1:9" x14ac:dyDescent="0.25">
      <c r="A145" s="2">
        <v>45089</v>
      </c>
      <c r="B145" t="s">
        <v>26</v>
      </c>
      <c r="C145" t="s">
        <v>15</v>
      </c>
      <c r="D145" t="s">
        <v>12</v>
      </c>
      <c r="E145">
        <v>12.82</v>
      </c>
      <c r="F145">
        <v>330.82</v>
      </c>
      <c r="H145">
        <f t="shared" si="4"/>
        <v>330.82</v>
      </c>
      <c r="I145">
        <f t="shared" si="5"/>
        <v>-12.82</v>
      </c>
    </row>
    <row r="146" spans="1:9" x14ac:dyDescent="0.25">
      <c r="A146" s="2">
        <v>45089</v>
      </c>
      <c r="B146" t="s">
        <v>31</v>
      </c>
      <c r="C146" t="s">
        <v>19</v>
      </c>
      <c r="D146" t="s">
        <v>13</v>
      </c>
      <c r="E146">
        <v>12.81</v>
      </c>
      <c r="F146">
        <v>354.99</v>
      </c>
      <c r="G146">
        <v>287.74</v>
      </c>
      <c r="H146">
        <f t="shared" si="4"/>
        <v>67.25</v>
      </c>
      <c r="I146">
        <f t="shared" si="5"/>
        <v>274.93</v>
      </c>
    </row>
    <row r="147" spans="1:9" x14ac:dyDescent="0.25">
      <c r="A147" s="2">
        <v>45089</v>
      </c>
      <c r="B147" t="s">
        <v>30</v>
      </c>
      <c r="C147" t="s">
        <v>11</v>
      </c>
      <c r="D147" t="s">
        <v>12</v>
      </c>
      <c r="E147">
        <v>12.8</v>
      </c>
      <c r="F147">
        <v>416.18</v>
      </c>
      <c r="G147">
        <v>324.45</v>
      </c>
      <c r="H147">
        <f t="shared" si="4"/>
        <v>91.730000000000018</v>
      </c>
      <c r="I147">
        <f t="shared" si="5"/>
        <v>311.64999999999998</v>
      </c>
    </row>
    <row r="148" spans="1:9" x14ac:dyDescent="0.25">
      <c r="A148" s="2">
        <v>45089</v>
      </c>
      <c r="B148" t="s">
        <v>30</v>
      </c>
      <c r="C148" t="s">
        <v>8</v>
      </c>
      <c r="D148" t="s">
        <v>13</v>
      </c>
      <c r="E148">
        <v>13.38</v>
      </c>
      <c r="F148">
        <v>269.33999999999997</v>
      </c>
      <c r="H148">
        <f t="shared" si="4"/>
        <v>269.33999999999997</v>
      </c>
      <c r="I148">
        <f t="shared" si="5"/>
        <v>-13.38</v>
      </c>
    </row>
    <row r="149" spans="1:9" x14ac:dyDescent="0.25">
      <c r="A149" s="2">
        <v>45089</v>
      </c>
      <c r="B149" t="s">
        <v>31</v>
      </c>
      <c r="C149" t="s">
        <v>11</v>
      </c>
      <c r="D149" t="s">
        <v>13</v>
      </c>
      <c r="E149">
        <v>13.32</v>
      </c>
      <c r="F149">
        <v>355.34</v>
      </c>
      <c r="G149">
        <v>288.43</v>
      </c>
      <c r="H149">
        <f t="shared" si="4"/>
        <v>66.909999999999968</v>
      </c>
      <c r="I149">
        <f t="shared" si="5"/>
        <v>275.11</v>
      </c>
    </row>
    <row r="150" spans="1:9" x14ac:dyDescent="0.25">
      <c r="A150" s="2">
        <v>45089</v>
      </c>
      <c r="B150" t="s">
        <v>30</v>
      </c>
      <c r="C150" t="s">
        <v>16</v>
      </c>
      <c r="D150" t="s">
        <v>12</v>
      </c>
      <c r="E150">
        <v>12.8</v>
      </c>
      <c r="F150">
        <v>368.27</v>
      </c>
      <c r="G150">
        <v>296.73</v>
      </c>
      <c r="H150">
        <f t="shared" si="4"/>
        <v>71.539999999999964</v>
      </c>
      <c r="I150">
        <f t="shared" si="5"/>
        <v>283.93</v>
      </c>
    </row>
    <row r="151" spans="1:9" x14ac:dyDescent="0.25">
      <c r="A151" s="2">
        <v>45089</v>
      </c>
      <c r="B151" t="s">
        <v>30</v>
      </c>
      <c r="C151" t="s">
        <v>15</v>
      </c>
      <c r="D151" t="s">
        <v>12</v>
      </c>
      <c r="E151">
        <v>12.77</v>
      </c>
      <c r="F151">
        <v>456.33</v>
      </c>
      <c r="G151">
        <v>353.56</v>
      </c>
      <c r="H151">
        <f t="shared" si="4"/>
        <v>102.76999999999998</v>
      </c>
      <c r="I151">
        <f t="shared" si="5"/>
        <v>340.79</v>
      </c>
    </row>
    <row r="152" spans="1:9" x14ac:dyDescent="0.25">
      <c r="A152" s="2">
        <v>45090</v>
      </c>
      <c r="B152" t="s">
        <v>17</v>
      </c>
      <c r="C152" t="s">
        <v>19</v>
      </c>
      <c r="D152" t="s">
        <v>12</v>
      </c>
      <c r="E152">
        <v>12.83</v>
      </c>
      <c r="F152">
        <v>371.13</v>
      </c>
      <c r="H152">
        <f t="shared" si="4"/>
        <v>371.13</v>
      </c>
      <c r="I152">
        <f t="shared" si="5"/>
        <v>-12.83</v>
      </c>
    </row>
    <row r="153" spans="1:9" x14ac:dyDescent="0.25">
      <c r="A153" s="2">
        <v>45089</v>
      </c>
      <c r="B153" t="s">
        <v>30</v>
      </c>
      <c r="C153" t="s">
        <v>19</v>
      </c>
      <c r="D153" t="s">
        <v>13</v>
      </c>
      <c r="E153">
        <v>12.75</v>
      </c>
      <c r="F153">
        <v>233.07</v>
      </c>
      <c r="G153">
        <v>163.41999999999999</v>
      </c>
      <c r="H153">
        <f t="shared" si="4"/>
        <v>69.650000000000006</v>
      </c>
      <c r="I153">
        <f t="shared" si="5"/>
        <v>150.66999999999999</v>
      </c>
    </row>
    <row r="154" spans="1:9" x14ac:dyDescent="0.25">
      <c r="A154" s="2">
        <v>45089</v>
      </c>
      <c r="B154" t="s">
        <v>31</v>
      </c>
      <c r="C154" t="s">
        <v>16</v>
      </c>
      <c r="D154" t="s">
        <v>13</v>
      </c>
      <c r="E154">
        <v>12.81</v>
      </c>
      <c r="F154">
        <v>302.54000000000002</v>
      </c>
      <c r="H154">
        <f t="shared" si="4"/>
        <v>302.54000000000002</v>
      </c>
      <c r="I154">
        <f t="shared" si="5"/>
        <v>-12.81</v>
      </c>
    </row>
    <row r="155" spans="1:9" x14ac:dyDescent="0.25">
      <c r="A155" s="2">
        <v>45089</v>
      </c>
      <c r="B155" t="s">
        <v>7</v>
      </c>
      <c r="C155" t="s">
        <v>15</v>
      </c>
      <c r="D155" t="s">
        <v>13</v>
      </c>
      <c r="E155">
        <v>12.79</v>
      </c>
      <c r="F155">
        <v>323.51</v>
      </c>
      <c r="G155">
        <v>250.11</v>
      </c>
      <c r="H155">
        <f t="shared" si="4"/>
        <v>73.399999999999977</v>
      </c>
      <c r="I155">
        <f t="shared" si="5"/>
        <v>237.32000000000002</v>
      </c>
    </row>
    <row r="156" spans="1:9" x14ac:dyDescent="0.25">
      <c r="A156" s="2">
        <v>45089</v>
      </c>
      <c r="B156" t="s">
        <v>31</v>
      </c>
      <c r="C156" t="s">
        <v>16</v>
      </c>
      <c r="D156" t="s">
        <v>12</v>
      </c>
      <c r="E156">
        <v>12.74</v>
      </c>
      <c r="F156">
        <v>495.48</v>
      </c>
      <c r="H156">
        <f t="shared" si="4"/>
        <v>495.48</v>
      </c>
      <c r="I156">
        <f t="shared" si="5"/>
        <v>-12.74</v>
      </c>
    </row>
    <row r="157" spans="1:9" x14ac:dyDescent="0.25">
      <c r="A157" s="2">
        <v>45089</v>
      </c>
      <c r="B157" t="s">
        <v>25</v>
      </c>
      <c r="C157" t="s">
        <v>19</v>
      </c>
      <c r="D157" t="s">
        <v>13</v>
      </c>
      <c r="E157">
        <v>13.43</v>
      </c>
      <c r="F157">
        <v>278.10000000000002</v>
      </c>
      <c r="H157">
        <f t="shared" si="4"/>
        <v>278.10000000000002</v>
      </c>
      <c r="I157">
        <f t="shared" si="5"/>
        <v>-13.43</v>
      </c>
    </row>
    <row r="158" spans="1:9" x14ac:dyDescent="0.25">
      <c r="A158" s="2">
        <v>45089</v>
      </c>
      <c r="B158" t="s">
        <v>25</v>
      </c>
      <c r="C158" t="s">
        <v>16</v>
      </c>
      <c r="D158" t="s">
        <v>13</v>
      </c>
      <c r="E158">
        <v>12.71</v>
      </c>
      <c r="F158">
        <v>327.95</v>
      </c>
      <c r="G158">
        <v>250.86</v>
      </c>
      <c r="H158">
        <f t="shared" si="4"/>
        <v>77.089999999999975</v>
      </c>
      <c r="I158">
        <f t="shared" si="5"/>
        <v>238.15</v>
      </c>
    </row>
    <row r="159" spans="1:9" x14ac:dyDescent="0.25">
      <c r="A159" s="2">
        <v>45089</v>
      </c>
      <c r="B159" t="s">
        <v>30</v>
      </c>
      <c r="C159" t="s">
        <v>15</v>
      </c>
      <c r="D159" t="s">
        <v>13</v>
      </c>
      <c r="E159">
        <v>13.39</v>
      </c>
      <c r="F159">
        <v>359.72</v>
      </c>
      <c r="H159">
        <f t="shared" si="4"/>
        <v>359.72</v>
      </c>
      <c r="I159">
        <f t="shared" si="5"/>
        <v>-13.39</v>
      </c>
    </row>
    <row r="160" spans="1:9" x14ac:dyDescent="0.25">
      <c r="A160" s="2">
        <v>45089</v>
      </c>
      <c r="B160" t="s">
        <v>30</v>
      </c>
      <c r="C160" t="s">
        <v>11</v>
      </c>
      <c r="D160" t="s">
        <v>13</v>
      </c>
      <c r="E160">
        <v>12.74</v>
      </c>
      <c r="F160">
        <v>251.77</v>
      </c>
      <c r="H160">
        <f t="shared" si="4"/>
        <v>251.77</v>
      </c>
      <c r="I160">
        <f t="shared" si="5"/>
        <v>-12.74</v>
      </c>
    </row>
    <row r="161" spans="1:9" x14ac:dyDescent="0.25">
      <c r="A161" s="2">
        <v>45089</v>
      </c>
      <c r="B161" t="s">
        <v>26</v>
      </c>
      <c r="C161" t="s">
        <v>16</v>
      </c>
      <c r="D161" t="s">
        <v>12</v>
      </c>
      <c r="E161">
        <v>13.38</v>
      </c>
      <c r="F161">
        <v>490.44</v>
      </c>
      <c r="G161">
        <v>400.15</v>
      </c>
      <c r="H161">
        <f t="shared" si="4"/>
        <v>90.29000000000002</v>
      </c>
      <c r="I161">
        <f t="shared" si="5"/>
        <v>386.77</v>
      </c>
    </row>
    <row r="162" spans="1:9" x14ac:dyDescent="0.25">
      <c r="A162" s="2">
        <v>45089</v>
      </c>
      <c r="B162" t="s">
        <v>30</v>
      </c>
      <c r="C162" t="s">
        <v>8</v>
      </c>
      <c r="D162" t="s">
        <v>12</v>
      </c>
      <c r="E162">
        <v>13.23</v>
      </c>
      <c r="F162">
        <v>427.26</v>
      </c>
      <c r="H162">
        <f t="shared" si="4"/>
        <v>427.26</v>
      </c>
      <c r="I162">
        <f t="shared" si="5"/>
        <v>-13.23</v>
      </c>
    </row>
    <row r="163" spans="1:9" x14ac:dyDescent="0.25">
      <c r="A163" s="2">
        <v>45089</v>
      </c>
      <c r="B163" t="s">
        <v>31</v>
      </c>
      <c r="C163" t="s">
        <v>8</v>
      </c>
      <c r="D163" t="s">
        <v>13</v>
      </c>
      <c r="E163">
        <v>13.33</v>
      </c>
      <c r="F163">
        <v>391.22</v>
      </c>
      <c r="H163">
        <f t="shared" si="4"/>
        <v>391.22</v>
      </c>
      <c r="I163">
        <f t="shared" si="5"/>
        <v>-13.33</v>
      </c>
    </row>
    <row r="164" spans="1:9" x14ac:dyDescent="0.25">
      <c r="A164" s="2">
        <v>45089</v>
      </c>
      <c r="B164" t="s">
        <v>26</v>
      </c>
      <c r="C164" t="s">
        <v>8</v>
      </c>
      <c r="D164" t="s">
        <v>13</v>
      </c>
      <c r="E164">
        <v>12.75</v>
      </c>
      <c r="F164">
        <v>308.63</v>
      </c>
      <c r="H164">
        <f t="shared" si="4"/>
        <v>308.63</v>
      </c>
      <c r="I164">
        <f t="shared" si="5"/>
        <v>-12.75</v>
      </c>
    </row>
    <row r="165" spans="1:9" x14ac:dyDescent="0.25">
      <c r="A165" s="2">
        <v>45089</v>
      </c>
      <c r="B165" t="s">
        <v>26</v>
      </c>
      <c r="C165" t="s">
        <v>11</v>
      </c>
      <c r="D165" t="s">
        <v>12</v>
      </c>
      <c r="E165">
        <v>12.78</v>
      </c>
      <c r="F165">
        <v>411.05</v>
      </c>
      <c r="H165">
        <f t="shared" si="4"/>
        <v>411.05</v>
      </c>
      <c r="I165">
        <f t="shared" si="5"/>
        <v>-12.78</v>
      </c>
    </row>
    <row r="166" spans="1:9" x14ac:dyDescent="0.25">
      <c r="A166" s="2">
        <v>45090</v>
      </c>
      <c r="B166" t="s">
        <v>14</v>
      </c>
      <c r="C166" t="s">
        <v>8</v>
      </c>
      <c r="D166" t="s">
        <v>12</v>
      </c>
      <c r="E166">
        <v>13.12</v>
      </c>
      <c r="F166">
        <v>390.48</v>
      </c>
      <c r="H166">
        <f t="shared" si="4"/>
        <v>390.48</v>
      </c>
      <c r="I166">
        <f t="shared" si="5"/>
        <v>-13.12</v>
      </c>
    </row>
    <row r="167" spans="1:9" x14ac:dyDescent="0.25">
      <c r="A167" s="2">
        <v>45089</v>
      </c>
      <c r="B167" t="s">
        <v>25</v>
      </c>
      <c r="C167" t="s">
        <v>15</v>
      </c>
      <c r="D167" t="s">
        <v>13</v>
      </c>
      <c r="E167">
        <v>12.85</v>
      </c>
      <c r="F167">
        <v>290.8</v>
      </c>
      <c r="H167">
        <f t="shared" si="4"/>
        <v>290.8</v>
      </c>
      <c r="I167">
        <f t="shared" si="5"/>
        <v>-12.85</v>
      </c>
    </row>
    <row r="168" spans="1:9" x14ac:dyDescent="0.25">
      <c r="A168" s="2">
        <v>45089</v>
      </c>
      <c r="B168" t="s">
        <v>25</v>
      </c>
      <c r="C168" t="s">
        <v>19</v>
      </c>
      <c r="D168" t="s">
        <v>12</v>
      </c>
      <c r="E168">
        <v>13.33</v>
      </c>
      <c r="F168">
        <v>432.91</v>
      </c>
      <c r="H168">
        <f t="shared" si="4"/>
        <v>432.91</v>
      </c>
      <c r="I168">
        <f t="shared" si="5"/>
        <v>-13.33</v>
      </c>
    </row>
    <row r="169" spans="1:9" x14ac:dyDescent="0.25">
      <c r="A169" s="2">
        <v>45089</v>
      </c>
      <c r="B169" t="s">
        <v>30</v>
      </c>
      <c r="C169" t="s">
        <v>16</v>
      </c>
      <c r="D169" t="s">
        <v>13</v>
      </c>
      <c r="E169">
        <v>12.79</v>
      </c>
      <c r="F169">
        <v>313.55</v>
      </c>
      <c r="H169">
        <f t="shared" si="4"/>
        <v>313.55</v>
      </c>
      <c r="I169">
        <f t="shared" si="5"/>
        <v>-12.79</v>
      </c>
    </row>
    <row r="170" spans="1:9" x14ac:dyDescent="0.25">
      <c r="A170" s="2">
        <v>45089</v>
      </c>
      <c r="B170" t="s">
        <v>31</v>
      </c>
      <c r="C170" t="s">
        <v>15</v>
      </c>
      <c r="D170" t="s">
        <v>12</v>
      </c>
      <c r="E170">
        <v>13.34</v>
      </c>
      <c r="F170">
        <v>421.96</v>
      </c>
      <c r="H170">
        <f t="shared" si="4"/>
        <v>421.96</v>
      </c>
      <c r="I170">
        <f t="shared" si="5"/>
        <v>-13.34</v>
      </c>
    </row>
    <row r="171" spans="1:9" x14ac:dyDescent="0.25">
      <c r="A171" s="2">
        <v>45091</v>
      </c>
      <c r="B171" t="s">
        <v>23</v>
      </c>
      <c r="C171" t="s">
        <v>16</v>
      </c>
      <c r="D171" t="s">
        <v>13</v>
      </c>
      <c r="E171">
        <v>13.1</v>
      </c>
      <c r="F171">
        <v>316.5</v>
      </c>
      <c r="H171">
        <f t="shared" si="4"/>
        <v>316.5</v>
      </c>
      <c r="I171">
        <f t="shared" si="5"/>
        <v>-13.1</v>
      </c>
    </row>
    <row r="172" spans="1:9" x14ac:dyDescent="0.25">
      <c r="A172" s="2">
        <v>45089</v>
      </c>
      <c r="B172" t="s">
        <v>7</v>
      </c>
      <c r="C172" t="s">
        <v>16</v>
      </c>
      <c r="D172" t="s">
        <v>13</v>
      </c>
      <c r="E172">
        <v>12.77</v>
      </c>
      <c r="F172">
        <v>348</v>
      </c>
      <c r="H172">
        <f t="shared" si="4"/>
        <v>348</v>
      </c>
      <c r="I172">
        <f t="shared" si="5"/>
        <v>-12.77</v>
      </c>
    </row>
    <row r="173" spans="1:9" x14ac:dyDescent="0.25">
      <c r="A173" s="2">
        <v>45091</v>
      </c>
      <c r="B173" t="s">
        <v>23</v>
      </c>
      <c r="C173" t="s">
        <v>19</v>
      </c>
      <c r="D173" t="s">
        <v>12</v>
      </c>
      <c r="E173">
        <v>12.94</v>
      </c>
      <c r="F173">
        <v>336.46</v>
      </c>
      <c r="G173">
        <v>261.98</v>
      </c>
      <c r="H173">
        <f t="shared" si="4"/>
        <v>74.479999999999961</v>
      </c>
      <c r="I173">
        <f t="shared" si="5"/>
        <v>249.04000000000002</v>
      </c>
    </row>
    <row r="174" spans="1:9" x14ac:dyDescent="0.25">
      <c r="A174" s="2">
        <v>45089</v>
      </c>
      <c r="B174" t="s">
        <v>26</v>
      </c>
      <c r="C174" t="s">
        <v>8</v>
      </c>
      <c r="D174" t="s">
        <v>12</v>
      </c>
      <c r="E174">
        <v>13.21</v>
      </c>
      <c r="F174">
        <v>468.81</v>
      </c>
      <c r="G174">
        <v>358.31</v>
      </c>
      <c r="H174">
        <f t="shared" si="4"/>
        <v>110.5</v>
      </c>
      <c r="I174">
        <f t="shared" si="5"/>
        <v>345.1</v>
      </c>
    </row>
    <row r="175" spans="1:9" x14ac:dyDescent="0.25">
      <c r="A175" s="2">
        <v>45090</v>
      </c>
      <c r="B175" t="s">
        <v>24</v>
      </c>
      <c r="C175" t="s">
        <v>15</v>
      </c>
      <c r="D175" t="s">
        <v>12</v>
      </c>
      <c r="E175">
        <v>12.96</v>
      </c>
      <c r="F175">
        <v>400.6</v>
      </c>
      <c r="G175">
        <v>326.63</v>
      </c>
      <c r="H175">
        <f t="shared" si="4"/>
        <v>73.970000000000027</v>
      </c>
      <c r="I175">
        <f t="shared" si="5"/>
        <v>313.67</v>
      </c>
    </row>
    <row r="176" spans="1:9" x14ac:dyDescent="0.25">
      <c r="A176" s="2">
        <v>45090</v>
      </c>
      <c r="B176" t="s">
        <v>28</v>
      </c>
      <c r="C176" t="s">
        <v>8</v>
      </c>
      <c r="D176" t="s">
        <v>13</v>
      </c>
      <c r="E176">
        <v>13.32</v>
      </c>
      <c r="F176">
        <v>395.03</v>
      </c>
      <c r="G176">
        <v>313.23</v>
      </c>
      <c r="H176">
        <f t="shared" si="4"/>
        <v>81.799999999999955</v>
      </c>
      <c r="I176">
        <f t="shared" si="5"/>
        <v>299.91000000000003</v>
      </c>
    </row>
    <row r="177" spans="1:9" x14ac:dyDescent="0.25">
      <c r="A177" s="2">
        <v>45089</v>
      </c>
      <c r="B177" t="s">
        <v>31</v>
      </c>
      <c r="C177" t="s">
        <v>8</v>
      </c>
      <c r="D177" t="s">
        <v>12</v>
      </c>
      <c r="E177">
        <v>12.78</v>
      </c>
      <c r="F177">
        <v>427.51</v>
      </c>
      <c r="H177">
        <f t="shared" si="4"/>
        <v>427.51</v>
      </c>
      <c r="I177">
        <f t="shared" si="5"/>
        <v>-12.78</v>
      </c>
    </row>
    <row r="178" spans="1:9" x14ac:dyDescent="0.25">
      <c r="A178" s="2">
        <v>45089</v>
      </c>
      <c r="B178" t="s">
        <v>7</v>
      </c>
      <c r="C178" t="s">
        <v>11</v>
      </c>
      <c r="D178" t="s">
        <v>13</v>
      </c>
      <c r="E178">
        <v>12.84</v>
      </c>
      <c r="F178">
        <v>353.46</v>
      </c>
      <c r="H178">
        <f t="shared" si="4"/>
        <v>353.46</v>
      </c>
      <c r="I178">
        <f t="shared" si="5"/>
        <v>-12.84</v>
      </c>
    </row>
    <row r="179" spans="1:9" x14ac:dyDescent="0.25">
      <c r="A179" s="2">
        <v>45089</v>
      </c>
      <c r="B179" t="s">
        <v>25</v>
      </c>
      <c r="C179" t="s">
        <v>15</v>
      </c>
      <c r="D179" t="s">
        <v>12</v>
      </c>
      <c r="E179">
        <v>12.84</v>
      </c>
      <c r="F179">
        <v>480.97</v>
      </c>
      <c r="H179">
        <f t="shared" si="4"/>
        <v>480.97</v>
      </c>
      <c r="I179">
        <f t="shared" si="5"/>
        <v>-12.84</v>
      </c>
    </row>
    <row r="180" spans="1:9" x14ac:dyDescent="0.25">
      <c r="A180" s="2">
        <v>45089</v>
      </c>
      <c r="B180" t="s">
        <v>7</v>
      </c>
      <c r="C180" t="s">
        <v>19</v>
      </c>
      <c r="D180" t="s">
        <v>12</v>
      </c>
      <c r="E180">
        <v>12.84</v>
      </c>
      <c r="F180">
        <v>429.11</v>
      </c>
      <c r="H180">
        <f t="shared" si="4"/>
        <v>429.11</v>
      </c>
      <c r="I180">
        <f t="shared" si="5"/>
        <v>-12.84</v>
      </c>
    </row>
    <row r="181" spans="1:9" x14ac:dyDescent="0.25">
      <c r="A181" s="2">
        <v>45089</v>
      </c>
      <c r="B181" t="s">
        <v>7</v>
      </c>
      <c r="C181" t="s">
        <v>19</v>
      </c>
      <c r="D181" t="s">
        <v>13</v>
      </c>
      <c r="E181">
        <v>12.85</v>
      </c>
      <c r="F181">
        <v>339.24</v>
      </c>
      <c r="G181">
        <v>271.47000000000003</v>
      </c>
      <c r="H181">
        <f t="shared" si="4"/>
        <v>67.769999999999982</v>
      </c>
      <c r="I181">
        <f t="shared" si="5"/>
        <v>258.62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B40C7-183D-4717-A576-32B4837DE30E}">
  <dimension ref="A1:Z91"/>
  <sheetViews>
    <sheetView tabSelected="1" zoomScale="55" zoomScaleNormal="55" workbookViewId="0">
      <selection sqref="A1:Z91"/>
    </sheetView>
  </sheetViews>
  <sheetFormatPr defaultRowHeight="15" x14ac:dyDescent="0.25"/>
  <sheetData>
    <row r="1" spans="1:26" x14ac:dyDescent="0.25">
      <c r="A1" t="s">
        <v>62</v>
      </c>
      <c r="B1" t="s">
        <v>3</v>
      </c>
      <c r="C1" t="s">
        <v>63</v>
      </c>
      <c r="D1" t="s">
        <v>82</v>
      </c>
      <c r="E1" t="s">
        <v>83</v>
      </c>
      <c r="F1" t="s">
        <v>84</v>
      </c>
      <c r="G1" t="s">
        <v>85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86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59</v>
      </c>
    </row>
    <row r="2" spans="1:26" x14ac:dyDescent="0.25">
      <c r="A2">
        <v>1</v>
      </c>
      <c r="B2" t="s">
        <v>27</v>
      </c>
      <c r="C2" t="s">
        <v>8</v>
      </c>
      <c r="D2">
        <v>43</v>
      </c>
      <c r="E2">
        <v>42</v>
      </c>
      <c r="F2">
        <v>15</v>
      </c>
      <c r="G2" t="s">
        <v>87</v>
      </c>
      <c r="H2">
        <v>7.7</v>
      </c>
      <c r="I2">
        <v>121</v>
      </c>
      <c r="J2">
        <v>76</v>
      </c>
      <c r="K2">
        <v>6672</v>
      </c>
      <c r="L2">
        <v>574</v>
      </c>
      <c r="M2">
        <v>5.7</v>
      </c>
      <c r="N2">
        <v>158</v>
      </c>
      <c r="O2">
        <v>8.1</v>
      </c>
      <c r="P2">
        <v>1</v>
      </c>
      <c r="Q2">
        <v>38.299999999999997</v>
      </c>
      <c r="R2">
        <v>0.5</v>
      </c>
      <c r="S2">
        <v>87.1</v>
      </c>
      <c r="T2">
        <v>12.5</v>
      </c>
      <c r="U2">
        <v>0</v>
      </c>
      <c r="V2">
        <v>0.2</v>
      </c>
      <c r="W2">
        <v>33.4</v>
      </c>
      <c r="X2">
        <v>4.8</v>
      </c>
      <c r="Y2">
        <v>0</v>
      </c>
    </row>
    <row r="3" spans="1:26" x14ac:dyDescent="0.25">
      <c r="A3">
        <v>2</v>
      </c>
      <c r="B3" t="s">
        <v>27</v>
      </c>
      <c r="C3" t="s">
        <v>16</v>
      </c>
      <c r="D3">
        <v>31</v>
      </c>
      <c r="E3">
        <v>48</v>
      </c>
      <c r="F3">
        <v>21</v>
      </c>
      <c r="G3" t="s">
        <v>87</v>
      </c>
      <c r="H3">
        <v>7.7</v>
      </c>
      <c r="I3">
        <v>125</v>
      </c>
      <c r="J3">
        <v>71</v>
      </c>
      <c r="K3">
        <v>6431</v>
      </c>
      <c r="L3">
        <v>562</v>
      </c>
      <c r="M3">
        <v>5.2</v>
      </c>
      <c r="N3">
        <v>148</v>
      </c>
      <c r="O3">
        <v>7.2</v>
      </c>
      <c r="P3">
        <v>1</v>
      </c>
      <c r="Q3">
        <v>37</v>
      </c>
      <c r="R3">
        <v>0.5</v>
      </c>
      <c r="S3">
        <v>86.9</v>
      </c>
      <c r="T3">
        <v>12.7</v>
      </c>
      <c r="U3">
        <v>0</v>
      </c>
      <c r="V3">
        <v>0.2</v>
      </c>
      <c r="W3">
        <v>32.200000000000003</v>
      </c>
      <c r="X3">
        <v>4.7</v>
      </c>
      <c r="Y3">
        <v>0</v>
      </c>
    </row>
    <row r="4" spans="1:26" x14ac:dyDescent="0.25">
      <c r="A4">
        <v>3</v>
      </c>
      <c r="B4" t="s">
        <v>14</v>
      </c>
      <c r="C4" t="s">
        <v>16</v>
      </c>
      <c r="D4">
        <v>45</v>
      </c>
      <c r="E4">
        <v>38</v>
      </c>
      <c r="F4">
        <v>17</v>
      </c>
      <c r="G4" t="s">
        <v>87</v>
      </c>
      <c r="H4">
        <v>7.7</v>
      </c>
      <c r="I4">
        <v>117</v>
      </c>
      <c r="J4">
        <v>90</v>
      </c>
      <c r="K4">
        <v>7090</v>
      </c>
      <c r="L4">
        <v>614</v>
      </c>
      <c r="M4">
        <v>5.7</v>
      </c>
      <c r="N4">
        <v>158</v>
      </c>
      <c r="O4">
        <v>9.3000000000000007</v>
      </c>
      <c r="P4">
        <v>1</v>
      </c>
      <c r="Q4">
        <v>40.799999999999997</v>
      </c>
      <c r="R4">
        <v>0.6</v>
      </c>
      <c r="S4">
        <v>86.9</v>
      </c>
      <c r="T4">
        <v>12.5</v>
      </c>
      <c r="U4">
        <v>0</v>
      </c>
      <c r="V4">
        <v>0.2</v>
      </c>
      <c r="W4">
        <v>35.5</v>
      </c>
      <c r="X4">
        <v>5.0999999999999996</v>
      </c>
      <c r="Y4">
        <v>0</v>
      </c>
      <c r="Z4" t="s">
        <v>81</v>
      </c>
    </row>
    <row r="5" spans="1:26" x14ac:dyDescent="0.25">
      <c r="A5">
        <v>4</v>
      </c>
      <c r="B5" t="s">
        <v>20</v>
      </c>
      <c r="C5" t="s">
        <v>19</v>
      </c>
      <c r="D5">
        <v>35</v>
      </c>
      <c r="E5">
        <v>48</v>
      </c>
      <c r="F5">
        <v>17</v>
      </c>
      <c r="G5" t="s">
        <v>87</v>
      </c>
      <c r="H5">
        <v>7.6</v>
      </c>
      <c r="I5">
        <v>113</v>
      </c>
      <c r="J5">
        <v>98</v>
      </c>
      <c r="K5">
        <v>7205</v>
      </c>
      <c r="L5">
        <v>609</v>
      </c>
      <c r="M5">
        <v>6.8</v>
      </c>
      <c r="N5">
        <v>180</v>
      </c>
      <c r="O5">
        <v>17</v>
      </c>
      <c r="P5">
        <v>1.6</v>
      </c>
      <c r="Q5">
        <v>41.4</v>
      </c>
      <c r="R5">
        <v>0.6</v>
      </c>
      <c r="S5">
        <v>87</v>
      </c>
      <c r="T5">
        <v>12.3</v>
      </c>
      <c r="U5">
        <v>0</v>
      </c>
      <c r="V5">
        <v>0.3</v>
      </c>
      <c r="W5">
        <v>36</v>
      </c>
      <c r="X5">
        <v>5.0999999999999996</v>
      </c>
      <c r="Y5">
        <v>0</v>
      </c>
      <c r="Z5" t="s">
        <v>81</v>
      </c>
    </row>
    <row r="6" spans="1:26" x14ac:dyDescent="0.25">
      <c r="A6">
        <v>5</v>
      </c>
      <c r="B6" t="s">
        <v>25</v>
      </c>
      <c r="C6" t="s">
        <v>15</v>
      </c>
      <c r="D6">
        <v>49</v>
      </c>
      <c r="E6">
        <v>36</v>
      </c>
      <c r="F6">
        <v>15</v>
      </c>
      <c r="G6" t="s">
        <v>87</v>
      </c>
      <c r="H6">
        <v>7.6</v>
      </c>
      <c r="I6">
        <v>121</v>
      </c>
      <c r="J6">
        <v>99</v>
      </c>
      <c r="K6">
        <v>7470</v>
      </c>
      <c r="L6">
        <v>692</v>
      </c>
      <c r="M6">
        <v>6.6</v>
      </c>
      <c r="N6">
        <v>176</v>
      </c>
      <c r="O6">
        <v>8</v>
      </c>
      <c r="P6">
        <v>1</v>
      </c>
      <c r="Q6">
        <v>43.4</v>
      </c>
      <c r="R6">
        <v>0.6</v>
      </c>
      <c r="S6">
        <v>86.1</v>
      </c>
      <c r="T6">
        <v>13.3</v>
      </c>
      <c r="U6">
        <v>0</v>
      </c>
      <c r="V6">
        <v>0.3</v>
      </c>
      <c r="W6">
        <v>37.4</v>
      </c>
      <c r="X6">
        <v>5.8</v>
      </c>
      <c r="Y6">
        <v>0</v>
      </c>
      <c r="Z6" t="s">
        <v>81</v>
      </c>
    </row>
    <row r="7" spans="1:26" x14ac:dyDescent="0.25">
      <c r="A7">
        <v>6</v>
      </c>
      <c r="B7" t="s">
        <v>30</v>
      </c>
      <c r="C7" t="s">
        <v>19</v>
      </c>
      <c r="D7">
        <v>37</v>
      </c>
      <c r="E7">
        <v>44</v>
      </c>
      <c r="F7">
        <v>19</v>
      </c>
      <c r="G7" t="s">
        <v>87</v>
      </c>
      <c r="H7">
        <v>7.6</v>
      </c>
      <c r="I7">
        <v>98</v>
      </c>
      <c r="J7">
        <v>74</v>
      </c>
      <c r="K7">
        <v>5765</v>
      </c>
      <c r="L7">
        <v>623</v>
      </c>
      <c r="M7">
        <v>6.9</v>
      </c>
      <c r="N7">
        <v>182</v>
      </c>
      <c r="O7">
        <v>11.5</v>
      </c>
      <c r="P7">
        <v>1</v>
      </c>
      <c r="Q7">
        <v>34.200000000000003</v>
      </c>
      <c r="R7">
        <v>0.6</v>
      </c>
      <c r="S7">
        <v>84.3</v>
      </c>
      <c r="T7">
        <v>15.2</v>
      </c>
      <c r="U7">
        <v>0</v>
      </c>
      <c r="V7">
        <v>0.2</v>
      </c>
      <c r="W7">
        <v>28.8</v>
      </c>
      <c r="X7">
        <v>5.2</v>
      </c>
      <c r="Y7">
        <v>0</v>
      </c>
    </row>
    <row r="8" spans="1:26" x14ac:dyDescent="0.25">
      <c r="A8">
        <v>7</v>
      </c>
      <c r="B8" t="s">
        <v>14</v>
      </c>
      <c r="C8" t="s">
        <v>19</v>
      </c>
      <c r="D8">
        <v>47</v>
      </c>
      <c r="E8">
        <v>36</v>
      </c>
      <c r="F8">
        <v>17</v>
      </c>
      <c r="G8" t="s">
        <v>87</v>
      </c>
      <c r="H8">
        <v>7.8</v>
      </c>
      <c r="I8">
        <v>127</v>
      </c>
      <c r="J8">
        <v>83</v>
      </c>
      <c r="K8">
        <v>7184</v>
      </c>
      <c r="L8">
        <v>644</v>
      </c>
      <c r="M8">
        <v>5.2</v>
      </c>
      <c r="N8">
        <v>148</v>
      </c>
      <c r="O8">
        <v>7.6</v>
      </c>
      <c r="P8">
        <v>1</v>
      </c>
      <c r="Q8">
        <v>41.5</v>
      </c>
      <c r="R8">
        <v>0.5</v>
      </c>
      <c r="S8">
        <v>86.6</v>
      </c>
      <c r="T8">
        <v>12.9</v>
      </c>
      <c r="U8">
        <v>0</v>
      </c>
      <c r="V8">
        <v>0.2</v>
      </c>
      <c r="W8">
        <v>35.9</v>
      </c>
      <c r="X8">
        <v>5.4</v>
      </c>
      <c r="Y8">
        <v>0</v>
      </c>
      <c r="Z8" t="s">
        <v>81</v>
      </c>
    </row>
    <row r="9" spans="1:26" x14ac:dyDescent="0.25">
      <c r="A9">
        <v>8</v>
      </c>
      <c r="B9" t="s">
        <v>14</v>
      </c>
      <c r="C9" t="s">
        <v>11</v>
      </c>
      <c r="D9">
        <v>39</v>
      </c>
      <c r="E9">
        <v>40</v>
      </c>
      <c r="F9">
        <v>21</v>
      </c>
      <c r="G9" t="s">
        <v>87</v>
      </c>
      <c r="H9">
        <v>7.8</v>
      </c>
      <c r="I9">
        <v>118</v>
      </c>
      <c r="J9">
        <v>109</v>
      </c>
      <c r="K9">
        <v>6526</v>
      </c>
      <c r="L9">
        <v>560</v>
      </c>
      <c r="M9">
        <v>5.8</v>
      </c>
      <c r="N9">
        <v>160</v>
      </c>
      <c r="O9">
        <v>9.4</v>
      </c>
      <c r="P9">
        <v>1.3</v>
      </c>
      <c r="Q9">
        <v>37.6</v>
      </c>
      <c r="R9">
        <v>0.7</v>
      </c>
      <c r="S9">
        <v>86.8</v>
      </c>
      <c r="T9">
        <v>12.4</v>
      </c>
      <c r="U9">
        <v>0</v>
      </c>
      <c r="V9">
        <v>0.3</v>
      </c>
      <c r="W9">
        <v>32.6</v>
      </c>
      <c r="X9">
        <v>4.7</v>
      </c>
      <c r="Y9">
        <v>0</v>
      </c>
    </row>
    <row r="10" spans="1:26" x14ac:dyDescent="0.25">
      <c r="A10">
        <v>9</v>
      </c>
      <c r="B10" t="s">
        <v>30</v>
      </c>
      <c r="C10" t="s">
        <v>8</v>
      </c>
      <c r="D10">
        <v>45</v>
      </c>
      <c r="E10">
        <v>40</v>
      </c>
      <c r="F10">
        <v>15</v>
      </c>
      <c r="G10" t="s">
        <v>87</v>
      </c>
      <c r="H10">
        <v>7.8</v>
      </c>
      <c r="I10">
        <v>83</v>
      </c>
      <c r="J10">
        <v>52</v>
      </c>
      <c r="K10">
        <v>6197</v>
      </c>
      <c r="L10">
        <v>675</v>
      </c>
      <c r="M10">
        <v>5.7</v>
      </c>
      <c r="N10">
        <v>158</v>
      </c>
      <c r="O10">
        <v>9.4</v>
      </c>
      <c r="P10">
        <v>1</v>
      </c>
      <c r="Q10">
        <v>36.700000000000003</v>
      </c>
      <c r="R10">
        <v>0.4</v>
      </c>
      <c r="S10">
        <v>84.4</v>
      </c>
      <c r="T10">
        <v>15.3</v>
      </c>
      <c r="U10">
        <v>0</v>
      </c>
      <c r="V10">
        <v>0.1</v>
      </c>
      <c r="W10">
        <v>31</v>
      </c>
      <c r="X10">
        <v>5.6</v>
      </c>
      <c r="Y10">
        <v>0</v>
      </c>
    </row>
    <row r="11" spans="1:26" x14ac:dyDescent="0.25">
      <c r="A11">
        <v>10</v>
      </c>
      <c r="B11" t="s">
        <v>30</v>
      </c>
      <c r="C11" t="s">
        <v>15</v>
      </c>
      <c r="D11">
        <v>35</v>
      </c>
      <c r="E11">
        <v>50</v>
      </c>
      <c r="F11">
        <v>15</v>
      </c>
      <c r="G11" t="s">
        <v>88</v>
      </c>
      <c r="H11">
        <v>7.3</v>
      </c>
      <c r="I11">
        <v>74</v>
      </c>
      <c r="J11">
        <v>43</v>
      </c>
      <c r="K11">
        <v>6859</v>
      </c>
      <c r="L11">
        <v>570</v>
      </c>
      <c r="M11">
        <v>6.1</v>
      </c>
      <c r="N11">
        <v>166</v>
      </c>
      <c r="O11">
        <v>8.8000000000000007</v>
      </c>
      <c r="P11">
        <v>1</v>
      </c>
      <c r="Q11">
        <v>39.299999999999997</v>
      </c>
      <c r="R11">
        <v>0.3</v>
      </c>
      <c r="S11">
        <v>87.3</v>
      </c>
      <c r="T11">
        <v>12.1</v>
      </c>
      <c r="U11">
        <v>0.3</v>
      </c>
      <c r="V11">
        <v>0.1</v>
      </c>
      <c r="W11">
        <v>34.299999999999997</v>
      </c>
      <c r="X11">
        <v>4.8</v>
      </c>
      <c r="Y11">
        <v>0.1</v>
      </c>
    </row>
    <row r="12" spans="1:26" x14ac:dyDescent="0.25">
      <c r="A12">
        <v>11</v>
      </c>
      <c r="B12" t="s">
        <v>28</v>
      </c>
      <c r="C12" t="s">
        <v>19</v>
      </c>
      <c r="D12">
        <v>45</v>
      </c>
      <c r="E12">
        <v>36</v>
      </c>
      <c r="F12">
        <v>19</v>
      </c>
      <c r="G12" t="s">
        <v>87</v>
      </c>
      <c r="H12">
        <v>7.6</v>
      </c>
      <c r="I12">
        <v>118</v>
      </c>
      <c r="J12">
        <v>81</v>
      </c>
      <c r="K12">
        <v>6472</v>
      </c>
      <c r="L12">
        <v>556</v>
      </c>
      <c r="M12">
        <v>5.8</v>
      </c>
      <c r="N12">
        <v>160</v>
      </c>
      <c r="O12">
        <v>6.6</v>
      </c>
      <c r="P12">
        <v>1</v>
      </c>
      <c r="Q12">
        <v>37.200000000000003</v>
      </c>
      <c r="R12">
        <v>0.6</v>
      </c>
      <c r="S12">
        <v>87</v>
      </c>
      <c r="T12">
        <v>12.5</v>
      </c>
      <c r="U12">
        <v>0</v>
      </c>
      <c r="V12">
        <v>0.2</v>
      </c>
      <c r="W12">
        <v>32.4</v>
      </c>
      <c r="X12">
        <v>4.5999999999999996</v>
      </c>
      <c r="Y12">
        <v>0</v>
      </c>
    </row>
    <row r="13" spans="1:26" x14ac:dyDescent="0.25">
      <c r="A13">
        <v>12</v>
      </c>
      <c r="B13" t="s">
        <v>14</v>
      </c>
      <c r="C13" t="s">
        <v>8</v>
      </c>
      <c r="D13">
        <v>35</v>
      </c>
      <c r="E13">
        <v>42</v>
      </c>
      <c r="F13">
        <v>23</v>
      </c>
      <c r="G13" t="s">
        <v>87</v>
      </c>
      <c r="H13">
        <v>7.5</v>
      </c>
      <c r="I13">
        <v>124</v>
      </c>
      <c r="J13">
        <v>100</v>
      </c>
      <c r="K13">
        <v>6705</v>
      </c>
      <c r="L13">
        <v>518</v>
      </c>
      <c r="M13">
        <v>5.5</v>
      </c>
      <c r="N13">
        <v>154</v>
      </c>
      <c r="O13">
        <v>15.1</v>
      </c>
      <c r="P13">
        <v>1</v>
      </c>
      <c r="Q13">
        <v>38.1</v>
      </c>
      <c r="R13">
        <v>0.7</v>
      </c>
      <c r="S13">
        <v>88</v>
      </c>
      <c r="T13">
        <v>11.3</v>
      </c>
      <c r="U13">
        <v>0</v>
      </c>
      <c r="V13">
        <v>0.3</v>
      </c>
      <c r="W13">
        <v>33.5</v>
      </c>
      <c r="X13">
        <v>4.3</v>
      </c>
      <c r="Y13">
        <v>0</v>
      </c>
    </row>
    <row r="14" spans="1:26" x14ac:dyDescent="0.25">
      <c r="A14">
        <v>13</v>
      </c>
      <c r="B14" t="s">
        <v>30</v>
      </c>
      <c r="C14" t="s">
        <v>11</v>
      </c>
      <c r="D14">
        <v>45</v>
      </c>
      <c r="E14">
        <v>40</v>
      </c>
      <c r="F14">
        <v>15</v>
      </c>
      <c r="G14" t="s">
        <v>87</v>
      </c>
      <c r="H14">
        <v>7.4</v>
      </c>
      <c r="I14">
        <v>68</v>
      </c>
      <c r="J14">
        <v>47</v>
      </c>
      <c r="K14">
        <v>7006</v>
      </c>
      <c r="L14">
        <v>580</v>
      </c>
      <c r="M14">
        <v>6.5</v>
      </c>
      <c r="N14">
        <v>174</v>
      </c>
      <c r="O14">
        <v>11.5</v>
      </c>
      <c r="P14">
        <v>1</v>
      </c>
      <c r="Q14">
        <v>40</v>
      </c>
      <c r="R14">
        <v>0.3</v>
      </c>
      <c r="S14">
        <v>87.6</v>
      </c>
      <c r="T14">
        <v>12.1</v>
      </c>
      <c r="U14">
        <v>0</v>
      </c>
      <c r="V14">
        <v>0.1</v>
      </c>
      <c r="W14">
        <v>35</v>
      </c>
      <c r="X14">
        <v>4.8</v>
      </c>
      <c r="Y14">
        <v>0</v>
      </c>
      <c r="Z14" t="s">
        <v>81</v>
      </c>
    </row>
    <row r="15" spans="1:26" x14ac:dyDescent="0.25">
      <c r="A15">
        <v>14</v>
      </c>
      <c r="B15" t="s">
        <v>26</v>
      </c>
      <c r="C15" t="s">
        <v>8</v>
      </c>
      <c r="D15">
        <v>41</v>
      </c>
      <c r="E15">
        <v>42</v>
      </c>
      <c r="F15">
        <v>17</v>
      </c>
      <c r="G15" t="s">
        <v>87</v>
      </c>
      <c r="H15">
        <v>7.5</v>
      </c>
      <c r="I15">
        <v>69</v>
      </c>
      <c r="J15">
        <v>45</v>
      </c>
      <c r="K15">
        <v>7462</v>
      </c>
      <c r="L15">
        <v>594</v>
      </c>
      <c r="M15">
        <v>6.5</v>
      </c>
      <c r="N15">
        <v>174</v>
      </c>
      <c r="O15">
        <v>15.1</v>
      </c>
      <c r="P15">
        <v>1</v>
      </c>
      <c r="Q15">
        <v>42.4</v>
      </c>
      <c r="R15">
        <v>0.3</v>
      </c>
      <c r="S15">
        <v>88</v>
      </c>
      <c r="T15">
        <v>11.7</v>
      </c>
      <c r="U15">
        <v>0</v>
      </c>
      <c r="V15">
        <v>0.1</v>
      </c>
      <c r="W15">
        <v>37.299999999999997</v>
      </c>
      <c r="X15">
        <v>5</v>
      </c>
      <c r="Y15">
        <v>0</v>
      </c>
      <c r="Z15" t="s">
        <v>81</v>
      </c>
    </row>
    <row r="16" spans="1:26" x14ac:dyDescent="0.25">
      <c r="A16">
        <v>15</v>
      </c>
      <c r="B16" t="s">
        <v>26</v>
      </c>
      <c r="C16" t="s">
        <v>15</v>
      </c>
      <c r="D16">
        <v>55</v>
      </c>
      <c r="E16">
        <v>28</v>
      </c>
      <c r="F16">
        <v>17</v>
      </c>
      <c r="G16" t="s">
        <v>89</v>
      </c>
      <c r="H16">
        <v>7.3</v>
      </c>
      <c r="I16">
        <v>88</v>
      </c>
      <c r="J16">
        <v>89</v>
      </c>
      <c r="K16">
        <v>5516</v>
      </c>
      <c r="L16">
        <v>774</v>
      </c>
      <c r="M16">
        <v>6.1</v>
      </c>
      <c r="N16">
        <v>166</v>
      </c>
      <c r="O16">
        <v>7.8</v>
      </c>
      <c r="P16">
        <v>1</v>
      </c>
      <c r="Q16">
        <v>34.4</v>
      </c>
      <c r="R16">
        <v>0.7</v>
      </c>
      <c r="S16">
        <v>80.2</v>
      </c>
      <c r="T16">
        <v>18.8</v>
      </c>
      <c r="U16">
        <v>0.3</v>
      </c>
      <c r="V16">
        <v>0.2</v>
      </c>
      <c r="W16">
        <v>27.6</v>
      </c>
      <c r="X16">
        <v>6.5</v>
      </c>
      <c r="Y16">
        <v>0.1</v>
      </c>
    </row>
    <row r="17" spans="1:26" x14ac:dyDescent="0.25">
      <c r="A17">
        <v>16</v>
      </c>
      <c r="B17" t="s">
        <v>25</v>
      </c>
      <c r="C17" t="s">
        <v>11</v>
      </c>
      <c r="D17">
        <v>43</v>
      </c>
      <c r="E17">
        <v>38</v>
      </c>
      <c r="F17">
        <v>19</v>
      </c>
      <c r="G17" t="s">
        <v>87</v>
      </c>
      <c r="H17">
        <v>7.5</v>
      </c>
      <c r="I17">
        <v>105</v>
      </c>
      <c r="J17">
        <v>122</v>
      </c>
      <c r="K17">
        <v>6472</v>
      </c>
      <c r="L17">
        <v>578</v>
      </c>
      <c r="M17">
        <v>6.5</v>
      </c>
      <c r="N17">
        <v>174</v>
      </c>
      <c r="O17">
        <v>11.9</v>
      </c>
      <c r="P17">
        <v>1</v>
      </c>
      <c r="Q17">
        <v>37.5</v>
      </c>
      <c r="R17">
        <v>0.8</v>
      </c>
      <c r="S17">
        <v>86.3</v>
      </c>
      <c r="T17">
        <v>12.8</v>
      </c>
      <c r="U17">
        <v>0</v>
      </c>
      <c r="V17">
        <v>0.3</v>
      </c>
      <c r="W17">
        <v>32.4</v>
      </c>
      <c r="X17">
        <v>4.8</v>
      </c>
      <c r="Y17">
        <v>0</v>
      </c>
    </row>
    <row r="18" spans="1:26" x14ac:dyDescent="0.25">
      <c r="A18">
        <v>17</v>
      </c>
      <c r="B18" t="s">
        <v>14</v>
      </c>
      <c r="C18" t="s">
        <v>15</v>
      </c>
      <c r="D18">
        <v>45</v>
      </c>
      <c r="E18">
        <v>38</v>
      </c>
      <c r="F18">
        <v>17</v>
      </c>
      <c r="G18" t="s">
        <v>87</v>
      </c>
      <c r="H18">
        <v>7.7</v>
      </c>
      <c r="I18">
        <v>126</v>
      </c>
      <c r="J18">
        <v>85</v>
      </c>
      <c r="K18">
        <v>6671</v>
      </c>
      <c r="L18">
        <v>528</v>
      </c>
      <c r="M18">
        <v>5.5</v>
      </c>
      <c r="N18">
        <v>154</v>
      </c>
      <c r="O18">
        <v>9.4</v>
      </c>
      <c r="P18">
        <v>1</v>
      </c>
      <c r="Q18">
        <v>38</v>
      </c>
      <c r="R18">
        <v>0.6</v>
      </c>
      <c r="S18">
        <v>87.8</v>
      </c>
      <c r="T18">
        <v>11.6</v>
      </c>
      <c r="U18">
        <v>0</v>
      </c>
      <c r="V18">
        <v>0.2</v>
      </c>
      <c r="W18">
        <v>33.4</v>
      </c>
      <c r="X18">
        <v>4.4000000000000004</v>
      </c>
      <c r="Y18">
        <v>0</v>
      </c>
    </row>
    <row r="19" spans="1:26" x14ac:dyDescent="0.25">
      <c r="A19">
        <v>18</v>
      </c>
      <c r="B19" t="s">
        <v>26</v>
      </c>
      <c r="C19" t="s">
        <v>19</v>
      </c>
      <c r="D19">
        <v>51</v>
      </c>
      <c r="E19">
        <v>30</v>
      </c>
      <c r="F19">
        <v>19</v>
      </c>
      <c r="G19" t="s">
        <v>87</v>
      </c>
      <c r="H19">
        <v>7.5</v>
      </c>
      <c r="I19">
        <v>84</v>
      </c>
      <c r="J19">
        <v>126</v>
      </c>
      <c r="K19">
        <v>4994</v>
      </c>
      <c r="L19">
        <v>907</v>
      </c>
      <c r="M19">
        <v>5.9</v>
      </c>
      <c r="N19">
        <v>162</v>
      </c>
      <c r="O19">
        <v>7</v>
      </c>
      <c r="P19">
        <v>1</v>
      </c>
      <c r="Q19">
        <v>32.9</v>
      </c>
      <c r="R19">
        <v>1</v>
      </c>
      <c r="S19">
        <v>75.900000000000006</v>
      </c>
      <c r="T19">
        <v>23</v>
      </c>
      <c r="U19">
        <v>0</v>
      </c>
      <c r="V19">
        <v>0.3</v>
      </c>
      <c r="W19">
        <v>25</v>
      </c>
      <c r="X19">
        <v>7.6</v>
      </c>
      <c r="Y19">
        <v>0</v>
      </c>
    </row>
    <row r="20" spans="1:26" x14ac:dyDescent="0.25">
      <c r="A20">
        <v>19</v>
      </c>
      <c r="B20" t="s">
        <v>27</v>
      </c>
      <c r="C20" t="s">
        <v>19</v>
      </c>
      <c r="D20">
        <v>47</v>
      </c>
      <c r="E20">
        <v>38</v>
      </c>
      <c r="F20">
        <v>15</v>
      </c>
      <c r="G20" t="s">
        <v>87</v>
      </c>
      <c r="H20">
        <v>7.5</v>
      </c>
      <c r="I20">
        <v>93</v>
      </c>
      <c r="J20">
        <v>63</v>
      </c>
      <c r="K20">
        <v>7717</v>
      </c>
      <c r="L20">
        <v>561</v>
      </c>
      <c r="M20">
        <v>5.8</v>
      </c>
      <c r="N20">
        <v>160</v>
      </c>
      <c r="O20">
        <v>14.5</v>
      </c>
      <c r="P20">
        <v>1</v>
      </c>
      <c r="Q20">
        <v>43.4</v>
      </c>
      <c r="R20">
        <v>0.4</v>
      </c>
      <c r="S20">
        <v>88.9</v>
      </c>
      <c r="T20">
        <v>10.8</v>
      </c>
      <c r="U20">
        <v>0</v>
      </c>
      <c r="V20">
        <v>0.2</v>
      </c>
      <c r="W20">
        <v>38.6</v>
      </c>
      <c r="X20">
        <v>4.7</v>
      </c>
      <c r="Y20">
        <v>0</v>
      </c>
      <c r="Z20" t="s">
        <v>81</v>
      </c>
    </row>
    <row r="21" spans="1:26" x14ac:dyDescent="0.25">
      <c r="A21">
        <v>20</v>
      </c>
      <c r="B21" t="s">
        <v>25</v>
      </c>
      <c r="C21" t="s">
        <v>19</v>
      </c>
      <c r="D21">
        <v>45</v>
      </c>
      <c r="E21">
        <v>38</v>
      </c>
      <c r="F21">
        <v>17</v>
      </c>
      <c r="G21" t="s">
        <v>87</v>
      </c>
      <c r="H21">
        <v>7.4</v>
      </c>
      <c r="I21">
        <v>96</v>
      </c>
      <c r="J21">
        <v>71</v>
      </c>
      <c r="K21">
        <v>7406</v>
      </c>
      <c r="L21">
        <v>562</v>
      </c>
      <c r="M21">
        <v>7</v>
      </c>
      <c r="N21">
        <v>184</v>
      </c>
      <c r="O21">
        <v>11</v>
      </c>
      <c r="P21">
        <v>1</v>
      </c>
      <c r="Q21">
        <v>41.9</v>
      </c>
      <c r="R21">
        <v>0.4</v>
      </c>
      <c r="S21">
        <v>88.4</v>
      </c>
      <c r="T21">
        <v>11.2</v>
      </c>
      <c r="U21">
        <v>0</v>
      </c>
      <c r="V21">
        <v>0.2</v>
      </c>
      <c r="W21">
        <v>37</v>
      </c>
      <c r="X21">
        <v>4.7</v>
      </c>
      <c r="Y21">
        <v>0</v>
      </c>
      <c r="Z21" t="s">
        <v>81</v>
      </c>
    </row>
    <row r="22" spans="1:26" x14ac:dyDescent="0.25">
      <c r="A22">
        <v>21</v>
      </c>
      <c r="B22" t="s">
        <v>20</v>
      </c>
      <c r="C22" t="s">
        <v>16</v>
      </c>
      <c r="D22">
        <v>45</v>
      </c>
      <c r="E22">
        <v>42</v>
      </c>
      <c r="F22">
        <v>13</v>
      </c>
      <c r="G22" t="s">
        <v>87</v>
      </c>
      <c r="H22">
        <v>7.4</v>
      </c>
      <c r="I22">
        <v>87</v>
      </c>
      <c r="J22">
        <v>55</v>
      </c>
      <c r="K22">
        <v>7561</v>
      </c>
      <c r="L22">
        <v>468</v>
      </c>
      <c r="M22">
        <v>5.2</v>
      </c>
      <c r="N22">
        <v>148</v>
      </c>
      <c r="O22">
        <v>9.5</v>
      </c>
      <c r="P22">
        <v>1</v>
      </c>
      <c r="Q22">
        <v>41.8</v>
      </c>
      <c r="R22">
        <v>0.3</v>
      </c>
      <c r="S22">
        <v>90.4</v>
      </c>
      <c r="T22">
        <v>9.3000000000000007</v>
      </c>
      <c r="U22">
        <v>0</v>
      </c>
      <c r="V22">
        <v>0.1</v>
      </c>
      <c r="W22">
        <v>37.799999999999997</v>
      </c>
      <c r="X22">
        <v>3.9</v>
      </c>
      <c r="Y22">
        <v>0</v>
      </c>
      <c r="Z22" t="s">
        <v>81</v>
      </c>
    </row>
    <row r="23" spans="1:26" x14ac:dyDescent="0.25">
      <c r="A23">
        <v>22</v>
      </c>
      <c r="B23" t="s">
        <v>28</v>
      </c>
      <c r="C23" t="s">
        <v>15</v>
      </c>
      <c r="D23">
        <v>37</v>
      </c>
      <c r="E23">
        <v>44</v>
      </c>
      <c r="F23">
        <v>19</v>
      </c>
      <c r="G23" t="s">
        <v>87</v>
      </c>
      <c r="H23">
        <v>7.6</v>
      </c>
      <c r="I23">
        <v>113</v>
      </c>
      <c r="J23">
        <v>75</v>
      </c>
      <c r="K23">
        <v>6669</v>
      </c>
      <c r="L23">
        <v>489</v>
      </c>
      <c r="M23">
        <v>5.9</v>
      </c>
      <c r="N23">
        <v>162</v>
      </c>
      <c r="O23">
        <v>7.9</v>
      </c>
      <c r="P23">
        <v>1</v>
      </c>
      <c r="Q23">
        <v>37.6</v>
      </c>
      <c r="R23">
        <v>0.5</v>
      </c>
      <c r="S23">
        <v>88.7</v>
      </c>
      <c r="T23">
        <v>10.8</v>
      </c>
      <c r="U23">
        <v>0</v>
      </c>
      <c r="V23">
        <v>0.2</v>
      </c>
      <c r="W23">
        <v>33.299999999999997</v>
      </c>
      <c r="X23">
        <v>4.0999999999999996</v>
      </c>
      <c r="Y23">
        <v>0</v>
      </c>
    </row>
    <row r="24" spans="1:26" x14ac:dyDescent="0.25">
      <c r="A24">
        <v>23</v>
      </c>
      <c r="B24" t="s">
        <v>31</v>
      </c>
      <c r="C24" t="s">
        <v>8</v>
      </c>
      <c r="D24">
        <v>51</v>
      </c>
      <c r="E24">
        <v>36</v>
      </c>
      <c r="F24">
        <v>13</v>
      </c>
      <c r="G24" t="s">
        <v>87</v>
      </c>
      <c r="H24">
        <v>7.6</v>
      </c>
      <c r="I24">
        <v>75</v>
      </c>
      <c r="J24">
        <v>46</v>
      </c>
      <c r="K24">
        <v>6489</v>
      </c>
      <c r="L24">
        <v>632</v>
      </c>
      <c r="M24">
        <v>6.6</v>
      </c>
      <c r="N24">
        <v>176</v>
      </c>
      <c r="O24">
        <v>11.1</v>
      </c>
      <c r="P24">
        <v>1</v>
      </c>
      <c r="Q24">
        <v>37.799999999999997</v>
      </c>
      <c r="R24">
        <v>0.3</v>
      </c>
      <c r="S24">
        <v>85.8</v>
      </c>
      <c r="T24">
        <v>13.9</v>
      </c>
      <c r="U24">
        <v>0</v>
      </c>
      <c r="V24">
        <v>0.1</v>
      </c>
      <c r="W24">
        <v>32.4</v>
      </c>
      <c r="X24">
        <v>5.3</v>
      </c>
      <c r="Y24">
        <v>0</v>
      </c>
    </row>
    <row r="25" spans="1:26" x14ac:dyDescent="0.25">
      <c r="A25">
        <v>24</v>
      </c>
      <c r="B25" t="s">
        <v>23</v>
      </c>
      <c r="C25" t="s">
        <v>19</v>
      </c>
      <c r="D25">
        <v>39</v>
      </c>
      <c r="E25">
        <v>44</v>
      </c>
      <c r="F25">
        <v>17</v>
      </c>
      <c r="G25" t="s">
        <v>87</v>
      </c>
      <c r="H25">
        <v>7.4</v>
      </c>
      <c r="I25">
        <v>91</v>
      </c>
      <c r="J25">
        <v>65</v>
      </c>
      <c r="K25">
        <v>6607</v>
      </c>
      <c r="L25">
        <v>533</v>
      </c>
      <c r="M25">
        <v>5</v>
      </c>
      <c r="N25">
        <v>144</v>
      </c>
      <c r="O25">
        <v>8.6</v>
      </c>
      <c r="P25">
        <v>1</v>
      </c>
      <c r="Q25">
        <v>37.6</v>
      </c>
      <c r="R25">
        <v>0.4</v>
      </c>
      <c r="S25">
        <v>87.9</v>
      </c>
      <c r="T25">
        <v>11.8</v>
      </c>
      <c r="U25">
        <v>0</v>
      </c>
      <c r="V25">
        <v>0.2</v>
      </c>
      <c r="W25">
        <v>33</v>
      </c>
      <c r="X25">
        <v>4.4000000000000004</v>
      </c>
      <c r="Y25">
        <v>0</v>
      </c>
    </row>
    <row r="26" spans="1:26" x14ac:dyDescent="0.25">
      <c r="A26">
        <v>25</v>
      </c>
      <c r="B26" t="s">
        <v>23</v>
      </c>
      <c r="C26" t="s">
        <v>11</v>
      </c>
      <c r="D26">
        <v>42</v>
      </c>
      <c r="E26">
        <v>39</v>
      </c>
      <c r="F26">
        <v>19</v>
      </c>
      <c r="G26" t="s">
        <v>87</v>
      </c>
      <c r="H26">
        <v>7.6</v>
      </c>
      <c r="I26">
        <v>129</v>
      </c>
      <c r="J26">
        <v>85</v>
      </c>
      <c r="K26">
        <v>6794</v>
      </c>
      <c r="L26">
        <v>543</v>
      </c>
      <c r="M26">
        <v>5.3</v>
      </c>
      <c r="N26">
        <v>150</v>
      </c>
      <c r="O26">
        <v>15.4</v>
      </c>
      <c r="P26">
        <v>1</v>
      </c>
      <c r="Q26">
        <v>38.700000000000003</v>
      </c>
      <c r="R26">
        <v>0.6</v>
      </c>
      <c r="S26">
        <v>87.8</v>
      </c>
      <c r="T26">
        <v>11.7</v>
      </c>
      <c r="U26">
        <v>0</v>
      </c>
      <c r="V26">
        <v>0.2</v>
      </c>
      <c r="W26">
        <v>34</v>
      </c>
      <c r="X26">
        <v>4.5</v>
      </c>
      <c r="Y26">
        <v>0</v>
      </c>
    </row>
    <row r="27" spans="1:26" x14ac:dyDescent="0.25">
      <c r="A27">
        <v>26</v>
      </c>
      <c r="B27" t="s">
        <v>20</v>
      </c>
      <c r="C27" t="s">
        <v>8</v>
      </c>
      <c r="D27">
        <v>34</v>
      </c>
      <c r="E27">
        <v>53</v>
      </c>
      <c r="F27">
        <v>13</v>
      </c>
      <c r="G27" t="s">
        <v>88</v>
      </c>
      <c r="H27">
        <v>7.7</v>
      </c>
      <c r="I27">
        <v>85</v>
      </c>
      <c r="J27">
        <v>73</v>
      </c>
      <c r="K27">
        <v>8608</v>
      </c>
      <c r="L27">
        <v>463</v>
      </c>
      <c r="M27">
        <v>4.5</v>
      </c>
      <c r="N27">
        <v>134</v>
      </c>
      <c r="O27">
        <v>16.2</v>
      </c>
      <c r="P27">
        <v>1</v>
      </c>
      <c r="Q27">
        <v>47.1</v>
      </c>
      <c r="R27">
        <v>0.4</v>
      </c>
      <c r="S27">
        <v>91.4</v>
      </c>
      <c r="T27">
        <v>8.1999999999999993</v>
      </c>
      <c r="U27">
        <v>0</v>
      </c>
      <c r="V27">
        <v>0.2</v>
      </c>
      <c r="W27">
        <v>43</v>
      </c>
      <c r="X27">
        <v>3.9</v>
      </c>
      <c r="Y27">
        <v>0</v>
      </c>
      <c r="Z27" t="s">
        <v>81</v>
      </c>
    </row>
    <row r="28" spans="1:26" x14ac:dyDescent="0.25">
      <c r="A28">
        <v>27</v>
      </c>
      <c r="B28" t="s">
        <v>31</v>
      </c>
      <c r="C28" t="s">
        <v>16</v>
      </c>
      <c r="D28">
        <v>42</v>
      </c>
      <c r="E28">
        <v>45</v>
      </c>
      <c r="F28">
        <v>13</v>
      </c>
      <c r="G28" t="s">
        <v>87</v>
      </c>
      <c r="H28">
        <v>7.5</v>
      </c>
      <c r="I28">
        <v>80</v>
      </c>
      <c r="J28">
        <v>58</v>
      </c>
      <c r="K28">
        <v>5889</v>
      </c>
      <c r="L28">
        <v>658</v>
      </c>
      <c r="M28">
        <v>5.4</v>
      </c>
      <c r="N28">
        <v>152</v>
      </c>
      <c r="O28">
        <v>11.4</v>
      </c>
      <c r="P28">
        <v>1</v>
      </c>
      <c r="Q28">
        <v>35.1</v>
      </c>
      <c r="R28">
        <v>0.4</v>
      </c>
      <c r="S28">
        <v>83.9</v>
      </c>
      <c r="T28">
        <v>15.6</v>
      </c>
      <c r="U28">
        <v>0</v>
      </c>
      <c r="V28">
        <v>0.1</v>
      </c>
      <c r="W28">
        <v>29.4</v>
      </c>
      <c r="X28">
        <v>5.5</v>
      </c>
      <c r="Y28">
        <v>0</v>
      </c>
    </row>
    <row r="29" spans="1:26" x14ac:dyDescent="0.25">
      <c r="A29">
        <v>28</v>
      </c>
      <c r="B29" t="s">
        <v>28</v>
      </c>
      <c r="C29" t="s">
        <v>16</v>
      </c>
      <c r="D29">
        <v>36</v>
      </c>
      <c r="E29">
        <v>49</v>
      </c>
      <c r="F29">
        <v>15</v>
      </c>
      <c r="G29" t="s">
        <v>87</v>
      </c>
      <c r="H29">
        <v>7.6</v>
      </c>
      <c r="I29">
        <v>102</v>
      </c>
      <c r="J29">
        <v>75</v>
      </c>
      <c r="K29">
        <v>6636</v>
      </c>
      <c r="L29">
        <v>552</v>
      </c>
      <c r="M29">
        <v>5.9</v>
      </c>
      <c r="N29">
        <v>162</v>
      </c>
      <c r="O29">
        <v>10.1</v>
      </c>
      <c r="P29">
        <v>1</v>
      </c>
      <c r="Q29">
        <v>38</v>
      </c>
      <c r="R29">
        <v>0.5</v>
      </c>
      <c r="S29">
        <v>87.3</v>
      </c>
      <c r="T29">
        <v>12.1</v>
      </c>
      <c r="U29">
        <v>0</v>
      </c>
      <c r="V29">
        <v>0.2</v>
      </c>
      <c r="W29">
        <v>33.200000000000003</v>
      </c>
      <c r="X29">
        <v>4.5999999999999996</v>
      </c>
      <c r="Y29">
        <v>0</v>
      </c>
    </row>
    <row r="30" spans="1:26" x14ac:dyDescent="0.25">
      <c r="A30">
        <v>29</v>
      </c>
      <c r="B30" t="s">
        <v>23</v>
      </c>
      <c r="C30" t="s">
        <v>8</v>
      </c>
      <c r="D30">
        <v>40</v>
      </c>
      <c r="E30">
        <v>43</v>
      </c>
      <c r="F30">
        <v>17</v>
      </c>
      <c r="G30" t="s">
        <v>87</v>
      </c>
      <c r="H30">
        <v>7.7</v>
      </c>
      <c r="I30">
        <v>110</v>
      </c>
      <c r="J30">
        <v>60</v>
      </c>
      <c r="K30">
        <v>6597</v>
      </c>
      <c r="L30">
        <v>525</v>
      </c>
      <c r="M30">
        <v>5</v>
      </c>
      <c r="N30">
        <v>144</v>
      </c>
      <c r="O30">
        <v>8.4</v>
      </c>
      <c r="P30">
        <v>1</v>
      </c>
      <c r="Q30">
        <v>37.5</v>
      </c>
      <c r="R30">
        <v>0.4</v>
      </c>
      <c r="S30">
        <v>88</v>
      </c>
      <c r="T30">
        <v>11.7</v>
      </c>
      <c r="U30">
        <v>0</v>
      </c>
      <c r="V30">
        <v>0.2</v>
      </c>
      <c r="W30">
        <v>33</v>
      </c>
      <c r="X30">
        <v>4.4000000000000004</v>
      </c>
      <c r="Y30">
        <v>0</v>
      </c>
    </row>
    <row r="31" spans="1:26" x14ac:dyDescent="0.25">
      <c r="A31">
        <v>30</v>
      </c>
      <c r="B31" t="s">
        <v>27</v>
      </c>
      <c r="C31" t="s">
        <v>15</v>
      </c>
      <c r="D31">
        <v>38</v>
      </c>
      <c r="E31">
        <v>45</v>
      </c>
      <c r="F31">
        <v>17</v>
      </c>
      <c r="G31" t="s">
        <v>87</v>
      </c>
      <c r="H31">
        <v>7.5</v>
      </c>
      <c r="I31">
        <v>102</v>
      </c>
      <c r="J31">
        <v>59</v>
      </c>
      <c r="K31">
        <v>7012</v>
      </c>
      <c r="L31">
        <v>550</v>
      </c>
      <c r="M31">
        <v>6.3</v>
      </c>
      <c r="N31">
        <v>170</v>
      </c>
      <c r="O31">
        <v>7.8</v>
      </c>
      <c r="P31">
        <v>1</v>
      </c>
      <c r="Q31">
        <v>39.799999999999997</v>
      </c>
      <c r="R31">
        <v>0.4</v>
      </c>
      <c r="S31">
        <v>88.1</v>
      </c>
      <c r="T31">
        <v>11.5</v>
      </c>
      <c r="U31">
        <v>0</v>
      </c>
      <c r="V31">
        <v>0.2</v>
      </c>
      <c r="W31">
        <v>35.1</v>
      </c>
      <c r="X31">
        <v>4.5999999999999996</v>
      </c>
      <c r="Y31">
        <v>0</v>
      </c>
      <c r="Z31" t="s">
        <v>81</v>
      </c>
    </row>
    <row r="32" spans="1:26" x14ac:dyDescent="0.25">
      <c r="A32">
        <v>31</v>
      </c>
      <c r="B32" t="s">
        <v>30</v>
      </c>
      <c r="C32" t="s">
        <v>16</v>
      </c>
      <c r="D32">
        <v>40</v>
      </c>
      <c r="E32">
        <v>43</v>
      </c>
      <c r="F32">
        <v>17</v>
      </c>
      <c r="G32" t="s">
        <v>87</v>
      </c>
      <c r="H32">
        <v>7.9</v>
      </c>
      <c r="I32">
        <v>76</v>
      </c>
      <c r="J32">
        <v>38</v>
      </c>
      <c r="K32">
        <v>6012</v>
      </c>
      <c r="L32">
        <v>622</v>
      </c>
      <c r="M32">
        <v>6.4</v>
      </c>
      <c r="N32">
        <v>172</v>
      </c>
      <c r="O32">
        <v>8</v>
      </c>
      <c r="P32">
        <v>1</v>
      </c>
      <c r="Q32">
        <v>35.299999999999997</v>
      </c>
      <c r="R32">
        <v>0.3</v>
      </c>
      <c r="S32">
        <v>85.2</v>
      </c>
      <c r="T32">
        <v>14.7</v>
      </c>
      <c r="U32">
        <v>0</v>
      </c>
      <c r="V32">
        <v>0.1</v>
      </c>
      <c r="W32">
        <v>30.1</v>
      </c>
      <c r="X32">
        <v>5.2</v>
      </c>
      <c r="Y32">
        <v>0</v>
      </c>
    </row>
    <row r="33" spans="1:26" x14ac:dyDescent="0.25">
      <c r="A33">
        <v>32</v>
      </c>
      <c r="B33" t="s">
        <v>31</v>
      </c>
      <c r="C33" t="s">
        <v>11</v>
      </c>
      <c r="D33">
        <v>42</v>
      </c>
      <c r="E33">
        <v>39</v>
      </c>
      <c r="F33">
        <v>19</v>
      </c>
      <c r="G33" t="s">
        <v>87</v>
      </c>
      <c r="H33">
        <v>7.6</v>
      </c>
      <c r="I33">
        <v>93</v>
      </c>
      <c r="J33">
        <v>47</v>
      </c>
      <c r="K33">
        <v>5255</v>
      </c>
      <c r="L33">
        <v>687</v>
      </c>
      <c r="M33">
        <v>6.6</v>
      </c>
      <c r="N33">
        <v>176</v>
      </c>
      <c r="O33">
        <v>9.1</v>
      </c>
      <c r="P33">
        <v>1</v>
      </c>
      <c r="Q33">
        <v>32.1</v>
      </c>
      <c r="R33">
        <v>0.4</v>
      </c>
      <c r="S33">
        <v>81.900000000000006</v>
      </c>
      <c r="T33">
        <v>17.8</v>
      </c>
      <c r="U33">
        <v>0</v>
      </c>
      <c r="V33">
        <v>0.1</v>
      </c>
      <c r="W33">
        <v>26.3</v>
      </c>
      <c r="X33">
        <v>5.7</v>
      </c>
      <c r="Y33">
        <v>0</v>
      </c>
    </row>
    <row r="34" spans="1:26" x14ac:dyDescent="0.25">
      <c r="A34">
        <v>33</v>
      </c>
      <c r="B34" t="s">
        <v>31</v>
      </c>
      <c r="C34" t="s">
        <v>19</v>
      </c>
      <c r="D34">
        <v>50</v>
      </c>
      <c r="E34">
        <v>35</v>
      </c>
      <c r="F34">
        <v>15</v>
      </c>
      <c r="G34" t="s">
        <v>87</v>
      </c>
      <c r="H34">
        <v>7.6</v>
      </c>
      <c r="I34">
        <v>79</v>
      </c>
      <c r="J34">
        <v>46</v>
      </c>
      <c r="K34">
        <v>5747</v>
      </c>
      <c r="L34">
        <v>626</v>
      </c>
      <c r="M34">
        <v>6.8</v>
      </c>
      <c r="N34">
        <v>180</v>
      </c>
      <c r="O34">
        <v>11.3</v>
      </c>
      <c r="P34">
        <v>1</v>
      </c>
      <c r="Q34">
        <v>34.1</v>
      </c>
      <c r="R34">
        <v>0.3</v>
      </c>
      <c r="S34">
        <v>84.3</v>
      </c>
      <c r="T34">
        <v>15.3</v>
      </c>
      <c r="U34">
        <v>0</v>
      </c>
      <c r="V34">
        <v>0.1</v>
      </c>
      <c r="W34">
        <v>28.7</v>
      </c>
      <c r="X34">
        <v>5.2</v>
      </c>
      <c r="Y34">
        <v>0</v>
      </c>
    </row>
    <row r="35" spans="1:26" x14ac:dyDescent="0.25">
      <c r="A35">
        <v>34</v>
      </c>
      <c r="B35" t="s">
        <v>28</v>
      </c>
      <c r="C35" t="s">
        <v>11</v>
      </c>
      <c r="D35">
        <v>36</v>
      </c>
      <c r="E35">
        <v>43</v>
      </c>
      <c r="F35">
        <v>21</v>
      </c>
      <c r="G35" t="s">
        <v>87</v>
      </c>
      <c r="H35">
        <v>7.7</v>
      </c>
      <c r="I35">
        <v>130</v>
      </c>
      <c r="J35">
        <v>80</v>
      </c>
      <c r="K35">
        <v>6067</v>
      </c>
      <c r="L35">
        <v>510</v>
      </c>
      <c r="M35">
        <v>5.2</v>
      </c>
      <c r="N35">
        <v>148</v>
      </c>
      <c r="O35">
        <v>7.6</v>
      </c>
      <c r="P35">
        <v>1</v>
      </c>
      <c r="Q35">
        <v>34.799999999999997</v>
      </c>
      <c r="R35">
        <v>0.6</v>
      </c>
      <c r="S35">
        <v>87.2</v>
      </c>
      <c r="T35">
        <v>12.2</v>
      </c>
      <c r="U35">
        <v>0</v>
      </c>
      <c r="V35">
        <v>0.2</v>
      </c>
      <c r="W35">
        <v>30.3</v>
      </c>
      <c r="X35">
        <v>4.3</v>
      </c>
      <c r="Y35">
        <v>0</v>
      </c>
    </row>
    <row r="36" spans="1:26" x14ac:dyDescent="0.25">
      <c r="A36">
        <v>35</v>
      </c>
      <c r="B36" t="s">
        <v>26</v>
      </c>
      <c r="C36" t="s">
        <v>16</v>
      </c>
      <c r="D36">
        <v>48</v>
      </c>
      <c r="E36">
        <v>35</v>
      </c>
      <c r="F36">
        <v>17</v>
      </c>
      <c r="G36" t="s">
        <v>87</v>
      </c>
      <c r="H36">
        <v>7.7</v>
      </c>
      <c r="I36">
        <v>90</v>
      </c>
      <c r="J36">
        <v>48</v>
      </c>
      <c r="K36">
        <v>5523</v>
      </c>
      <c r="L36">
        <v>669</v>
      </c>
      <c r="M36">
        <v>5.0999999999999996</v>
      </c>
      <c r="N36">
        <v>146</v>
      </c>
      <c r="O36">
        <v>4.0999999999999996</v>
      </c>
      <c r="P36">
        <v>1</v>
      </c>
      <c r="Q36">
        <v>33.299999999999997</v>
      </c>
      <c r="R36">
        <v>0.4</v>
      </c>
      <c r="S36">
        <v>82.9</v>
      </c>
      <c r="T36">
        <v>16.7</v>
      </c>
      <c r="U36">
        <v>0</v>
      </c>
      <c r="V36">
        <v>0.1</v>
      </c>
      <c r="W36">
        <v>27.6</v>
      </c>
      <c r="X36">
        <v>5.6</v>
      </c>
      <c r="Y36">
        <v>0</v>
      </c>
    </row>
    <row r="37" spans="1:26" x14ac:dyDescent="0.25">
      <c r="A37">
        <v>36</v>
      </c>
      <c r="B37" t="s">
        <v>27</v>
      </c>
      <c r="C37" t="s">
        <v>11</v>
      </c>
      <c r="D37">
        <v>38</v>
      </c>
      <c r="E37">
        <v>43</v>
      </c>
      <c r="F37">
        <v>19</v>
      </c>
      <c r="G37" t="s">
        <v>87</v>
      </c>
      <c r="H37">
        <v>7.8</v>
      </c>
      <c r="I37">
        <v>105</v>
      </c>
      <c r="J37">
        <v>65</v>
      </c>
      <c r="K37">
        <v>6950</v>
      </c>
      <c r="L37">
        <v>523</v>
      </c>
      <c r="M37">
        <v>5.9</v>
      </c>
      <c r="N37">
        <v>162</v>
      </c>
      <c r="O37">
        <v>7.8</v>
      </c>
      <c r="P37">
        <v>1</v>
      </c>
      <c r="Q37">
        <v>39.299999999999997</v>
      </c>
      <c r="R37">
        <v>0.4</v>
      </c>
      <c r="S37">
        <v>88.4</v>
      </c>
      <c r="T37">
        <v>11.1</v>
      </c>
      <c r="U37">
        <v>0</v>
      </c>
      <c r="V37">
        <v>0.2</v>
      </c>
      <c r="W37">
        <v>34.799999999999997</v>
      </c>
      <c r="X37">
        <v>4.4000000000000004</v>
      </c>
      <c r="Y37">
        <v>0</v>
      </c>
    </row>
    <row r="38" spans="1:26" x14ac:dyDescent="0.25">
      <c r="A38">
        <v>37</v>
      </c>
      <c r="B38" t="s">
        <v>26</v>
      </c>
      <c r="C38" t="s">
        <v>11</v>
      </c>
      <c r="D38">
        <v>54</v>
      </c>
      <c r="E38">
        <v>29</v>
      </c>
      <c r="F38">
        <v>17</v>
      </c>
      <c r="G38" t="s">
        <v>89</v>
      </c>
      <c r="H38">
        <v>7.4</v>
      </c>
      <c r="I38">
        <v>89</v>
      </c>
      <c r="J38">
        <v>132</v>
      </c>
      <c r="K38">
        <v>5507</v>
      </c>
      <c r="L38">
        <v>782</v>
      </c>
      <c r="M38">
        <v>5.9</v>
      </c>
      <c r="N38">
        <v>162</v>
      </c>
      <c r="O38">
        <v>13.7</v>
      </c>
      <c r="P38">
        <v>2.6</v>
      </c>
      <c r="Q38">
        <v>34.4</v>
      </c>
      <c r="R38">
        <v>1</v>
      </c>
      <c r="S38">
        <v>80</v>
      </c>
      <c r="T38">
        <v>18.899999999999999</v>
      </c>
      <c r="U38">
        <v>0</v>
      </c>
      <c r="V38">
        <v>0.3</v>
      </c>
      <c r="W38">
        <v>27.5</v>
      </c>
      <c r="X38">
        <v>6.5</v>
      </c>
      <c r="Y38">
        <v>0</v>
      </c>
    </row>
    <row r="39" spans="1:26" x14ac:dyDescent="0.25">
      <c r="A39">
        <v>38</v>
      </c>
      <c r="B39" t="s">
        <v>20</v>
      </c>
      <c r="C39" t="s">
        <v>11</v>
      </c>
      <c r="D39">
        <v>36</v>
      </c>
      <c r="E39">
        <v>47</v>
      </c>
      <c r="F39">
        <v>17</v>
      </c>
      <c r="G39" t="s">
        <v>87</v>
      </c>
      <c r="H39">
        <v>7.7</v>
      </c>
      <c r="I39">
        <v>117</v>
      </c>
      <c r="J39">
        <v>100</v>
      </c>
      <c r="K39">
        <v>7207</v>
      </c>
      <c r="L39">
        <v>586</v>
      </c>
      <c r="M39">
        <v>5.6</v>
      </c>
      <c r="N39">
        <v>156</v>
      </c>
      <c r="O39">
        <v>7.7</v>
      </c>
      <c r="P39">
        <v>1.5</v>
      </c>
      <c r="Q39">
        <v>41.2</v>
      </c>
      <c r="R39">
        <v>0.6</v>
      </c>
      <c r="S39">
        <v>87.5</v>
      </c>
      <c r="T39">
        <v>11.9</v>
      </c>
      <c r="U39">
        <v>0</v>
      </c>
      <c r="V39">
        <v>0.3</v>
      </c>
      <c r="W39">
        <v>36</v>
      </c>
      <c r="X39">
        <v>4.9000000000000004</v>
      </c>
      <c r="Y39">
        <v>0</v>
      </c>
      <c r="Z39" t="s">
        <v>81</v>
      </c>
    </row>
    <row r="40" spans="1:26" x14ac:dyDescent="0.25">
      <c r="A40">
        <v>39</v>
      </c>
      <c r="B40" t="s">
        <v>31</v>
      </c>
      <c r="C40" t="s">
        <v>15</v>
      </c>
      <c r="D40">
        <v>48</v>
      </c>
      <c r="E40">
        <v>37</v>
      </c>
      <c r="F40">
        <v>15</v>
      </c>
      <c r="G40" t="s">
        <v>87</v>
      </c>
      <c r="H40">
        <v>6.8</v>
      </c>
      <c r="I40">
        <v>76</v>
      </c>
      <c r="J40">
        <v>54</v>
      </c>
      <c r="K40">
        <v>6194</v>
      </c>
      <c r="L40">
        <v>639</v>
      </c>
      <c r="M40">
        <v>6.9</v>
      </c>
      <c r="N40">
        <v>182</v>
      </c>
      <c r="O40">
        <v>11.5</v>
      </c>
      <c r="P40">
        <v>1</v>
      </c>
      <c r="Q40">
        <v>37.5</v>
      </c>
      <c r="R40">
        <v>0.4</v>
      </c>
      <c r="S40">
        <v>82.6</v>
      </c>
      <c r="T40">
        <v>14.2</v>
      </c>
      <c r="U40">
        <v>2.9</v>
      </c>
      <c r="V40">
        <v>0.1</v>
      </c>
      <c r="W40">
        <v>31</v>
      </c>
      <c r="X40">
        <v>5.3</v>
      </c>
      <c r="Y40">
        <v>1.1000000000000001</v>
      </c>
    </row>
    <row r="41" spans="1:26" x14ac:dyDescent="0.25">
      <c r="A41">
        <v>40</v>
      </c>
      <c r="B41" t="s">
        <v>20</v>
      </c>
      <c r="C41" t="s">
        <v>15</v>
      </c>
      <c r="D41">
        <v>38</v>
      </c>
      <c r="E41">
        <v>47</v>
      </c>
      <c r="F41">
        <v>15</v>
      </c>
      <c r="G41" t="s">
        <v>87</v>
      </c>
      <c r="H41">
        <v>7.6</v>
      </c>
      <c r="I41">
        <v>86</v>
      </c>
      <c r="J41">
        <v>69</v>
      </c>
      <c r="K41">
        <v>8263</v>
      </c>
      <c r="L41">
        <v>518</v>
      </c>
      <c r="M41">
        <v>5.8</v>
      </c>
      <c r="N41">
        <v>160</v>
      </c>
      <c r="O41">
        <v>8.3000000000000007</v>
      </c>
      <c r="P41">
        <v>1</v>
      </c>
      <c r="Q41">
        <v>45.8</v>
      </c>
      <c r="R41">
        <v>0.4</v>
      </c>
      <c r="S41">
        <v>90.2</v>
      </c>
      <c r="T41">
        <v>9.4</v>
      </c>
      <c r="U41">
        <v>0</v>
      </c>
      <c r="V41">
        <v>0.2</v>
      </c>
      <c r="W41">
        <v>41.3</v>
      </c>
      <c r="X41">
        <v>4.3</v>
      </c>
      <c r="Y41">
        <v>0</v>
      </c>
      <c r="Z41" t="s">
        <v>81</v>
      </c>
    </row>
    <row r="42" spans="1:26" x14ac:dyDescent="0.25">
      <c r="A42">
        <v>41</v>
      </c>
      <c r="B42" t="s">
        <v>25</v>
      </c>
      <c r="C42" t="s">
        <v>16</v>
      </c>
      <c r="D42">
        <v>44</v>
      </c>
      <c r="E42">
        <v>39</v>
      </c>
      <c r="F42">
        <v>17</v>
      </c>
      <c r="G42" t="s">
        <v>87</v>
      </c>
      <c r="H42">
        <v>7.5</v>
      </c>
      <c r="I42">
        <v>106</v>
      </c>
      <c r="J42">
        <v>86</v>
      </c>
      <c r="K42">
        <v>7171</v>
      </c>
      <c r="L42">
        <v>584</v>
      </c>
      <c r="M42">
        <v>6.1</v>
      </c>
      <c r="N42">
        <v>166</v>
      </c>
      <c r="O42">
        <v>15</v>
      </c>
      <c r="P42">
        <v>1</v>
      </c>
      <c r="Q42">
        <v>40.9</v>
      </c>
      <c r="R42">
        <v>0.5</v>
      </c>
      <c r="S42">
        <v>87.7</v>
      </c>
      <c r="T42">
        <v>11.9</v>
      </c>
      <c r="U42">
        <v>0</v>
      </c>
      <c r="V42">
        <v>0.2</v>
      </c>
      <c r="W42">
        <v>35.9</v>
      </c>
      <c r="X42">
        <v>4.9000000000000004</v>
      </c>
      <c r="Y42">
        <v>0</v>
      </c>
      <c r="Z42" t="s">
        <v>81</v>
      </c>
    </row>
    <row r="43" spans="1:26" x14ac:dyDescent="0.25">
      <c r="A43">
        <v>42</v>
      </c>
      <c r="B43" t="s">
        <v>21</v>
      </c>
      <c r="C43" t="s">
        <v>11</v>
      </c>
      <c r="D43">
        <v>34</v>
      </c>
      <c r="E43">
        <v>45</v>
      </c>
      <c r="F43">
        <v>21</v>
      </c>
      <c r="G43" t="s">
        <v>87</v>
      </c>
      <c r="H43">
        <v>7.6</v>
      </c>
      <c r="I43">
        <v>135</v>
      </c>
      <c r="J43">
        <v>111</v>
      </c>
      <c r="K43">
        <v>6511</v>
      </c>
      <c r="L43">
        <v>614</v>
      </c>
      <c r="M43">
        <v>5.5</v>
      </c>
      <c r="N43">
        <v>154</v>
      </c>
      <c r="O43">
        <v>7.3</v>
      </c>
      <c r="P43">
        <v>2.4</v>
      </c>
      <c r="Q43">
        <v>38</v>
      </c>
      <c r="R43">
        <v>0.7</v>
      </c>
      <c r="S43">
        <v>85.7</v>
      </c>
      <c r="T43">
        <v>13.5</v>
      </c>
      <c r="U43">
        <v>0</v>
      </c>
      <c r="V43">
        <v>0.3</v>
      </c>
      <c r="W43">
        <v>32.6</v>
      </c>
      <c r="X43">
        <v>5.0999999999999996</v>
      </c>
      <c r="Y43">
        <v>0</v>
      </c>
    </row>
    <row r="44" spans="1:26" x14ac:dyDescent="0.25">
      <c r="A44">
        <v>43</v>
      </c>
      <c r="B44" t="s">
        <v>24</v>
      </c>
      <c r="C44" t="s">
        <v>16</v>
      </c>
      <c r="D44">
        <v>36</v>
      </c>
      <c r="E44">
        <v>43</v>
      </c>
      <c r="F44">
        <v>21</v>
      </c>
      <c r="G44" t="s">
        <v>87</v>
      </c>
      <c r="H44">
        <v>7.7</v>
      </c>
      <c r="I44">
        <v>125</v>
      </c>
      <c r="J44">
        <v>65</v>
      </c>
      <c r="K44">
        <v>6215</v>
      </c>
      <c r="L44">
        <v>564</v>
      </c>
      <c r="M44">
        <v>5.4</v>
      </c>
      <c r="N44">
        <v>152</v>
      </c>
      <c r="O44">
        <v>6.2</v>
      </c>
      <c r="P44">
        <v>1</v>
      </c>
      <c r="Q44">
        <v>35.9</v>
      </c>
      <c r="R44">
        <v>0.5</v>
      </c>
      <c r="S44">
        <v>86.6</v>
      </c>
      <c r="T44">
        <v>13.1</v>
      </c>
      <c r="U44">
        <v>0</v>
      </c>
      <c r="V44">
        <v>0.2</v>
      </c>
      <c r="W44">
        <v>31.1</v>
      </c>
      <c r="X44">
        <v>4.7</v>
      </c>
      <c r="Y44">
        <v>0</v>
      </c>
    </row>
    <row r="45" spans="1:26" x14ac:dyDescent="0.25">
      <c r="A45">
        <v>44</v>
      </c>
      <c r="B45" t="s">
        <v>22</v>
      </c>
      <c r="C45" t="s">
        <v>19</v>
      </c>
      <c r="D45">
        <v>36</v>
      </c>
      <c r="E45">
        <v>45</v>
      </c>
      <c r="F45">
        <v>19</v>
      </c>
      <c r="G45" t="s">
        <v>87</v>
      </c>
      <c r="H45">
        <v>7.7</v>
      </c>
      <c r="I45">
        <v>101</v>
      </c>
      <c r="J45">
        <v>67</v>
      </c>
      <c r="K45">
        <v>7349</v>
      </c>
      <c r="L45">
        <v>510</v>
      </c>
      <c r="M45">
        <v>6.6</v>
      </c>
      <c r="N45">
        <v>176</v>
      </c>
      <c r="O45">
        <v>11.8</v>
      </c>
      <c r="P45">
        <v>1</v>
      </c>
      <c r="Q45">
        <v>41.2</v>
      </c>
      <c r="R45">
        <v>0.4</v>
      </c>
      <c r="S45">
        <v>89.2</v>
      </c>
      <c r="T45">
        <v>10.3</v>
      </c>
      <c r="U45">
        <v>0</v>
      </c>
      <c r="V45">
        <v>0.2</v>
      </c>
      <c r="W45">
        <v>36.700000000000003</v>
      </c>
      <c r="X45">
        <v>4.3</v>
      </c>
      <c r="Y45">
        <v>0</v>
      </c>
      <c r="Z45" t="s">
        <v>81</v>
      </c>
    </row>
    <row r="46" spans="1:26" x14ac:dyDescent="0.25">
      <c r="A46">
        <v>45</v>
      </c>
      <c r="B46" t="s">
        <v>21</v>
      </c>
      <c r="C46" t="s">
        <v>15</v>
      </c>
      <c r="D46">
        <v>40</v>
      </c>
      <c r="E46">
        <v>41</v>
      </c>
      <c r="F46">
        <v>19</v>
      </c>
      <c r="G46" t="s">
        <v>87</v>
      </c>
      <c r="H46">
        <v>7.7</v>
      </c>
      <c r="I46">
        <v>118</v>
      </c>
      <c r="J46">
        <v>78</v>
      </c>
      <c r="K46">
        <v>5792</v>
      </c>
      <c r="L46">
        <v>520</v>
      </c>
      <c r="M46">
        <v>5</v>
      </c>
      <c r="N46">
        <v>144</v>
      </c>
      <c r="O46">
        <v>8.9</v>
      </c>
      <c r="P46">
        <v>1.1000000000000001</v>
      </c>
      <c r="Q46">
        <v>33.5</v>
      </c>
      <c r="R46">
        <v>0.6</v>
      </c>
      <c r="S46">
        <v>86.4</v>
      </c>
      <c r="T46">
        <v>12.9</v>
      </c>
      <c r="U46">
        <v>0</v>
      </c>
      <c r="V46">
        <v>0.2</v>
      </c>
      <c r="W46">
        <v>29</v>
      </c>
      <c r="X46">
        <v>4.3</v>
      </c>
      <c r="Y46">
        <v>0</v>
      </c>
    </row>
    <row r="47" spans="1:26" x14ac:dyDescent="0.25">
      <c r="A47">
        <v>46</v>
      </c>
      <c r="B47" t="s">
        <v>17</v>
      </c>
      <c r="C47" t="s">
        <v>19</v>
      </c>
      <c r="D47">
        <v>38</v>
      </c>
      <c r="E47">
        <v>43</v>
      </c>
      <c r="F47">
        <v>19</v>
      </c>
      <c r="G47" t="s">
        <v>87</v>
      </c>
      <c r="H47">
        <v>7.7</v>
      </c>
      <c r="I47">
        <v>145</v>
      </c>
      <c r="J47">
        <v>119</v>
      </c>
      <c r="K47">
        <v>8262</v>
      </c>
      <c r="L47">
        <v>811</v>
      </c>
      <c r="M47">
        <v>5.4</v>
      </c>
      <c r="N47">
        <v>152</v>
      </c>
      <c r="O47">
        <v>8.1</v>
      </c>
      <c r="P47">
        <v>1</v>
      </c>
      <c r="Q47">
        <v>48.4</v>
      </c>
      <c r="R47">
        <v>0.6</v>
      </c>
      <c r="S47">
        <v>85.4</v>
      </c>
      <c r="T47">
        <v>14</v>
      </c>
      <c r="U47">
        <v>0</v>
      </c>
      <c r="V47">
        <v>0.3</v>
      </c>
      <c r="W47">
        <v>41.3</v>
      </c>
      <c r="X47">
        <v>6.8</v>
      </c>
      <c r="Y47">
        <v>0</v>
      </c>
      <c r="Z47" t="s">
        <v>81</v>
      </c>
    </row>
    <row r="48" spans="1:26" x14ac:dyDescent="0.25">
      <c r="A48">
        <v>47</v>
      </c>
      <c r="B48" t="s">
        <v>29</v>
      </c>
      <c r="C48" t="s">
        <v>16</v>
      </c>
      <c r="D48">
        <v>44</v>
      </c>
      <c r="E48">
        <v>39</v>
      </c>
      <c r="F48">
        <v>17</v>
      </c>
      <c r="G48" t="s">
        <v>87</v>
      </c>
      <c r="H48">
        <v>7.8</v>
      </c>
      <c r="I48">
        <v>108</v>
      </c>
      <c r="J48">
        <v>68</v>
      </c>
      <c r="K48">
        <v>6295</v>
      </c>
      <c r="L48">
        <v>581</v>
      </c>
      <c r="M48">
        <v>5.4</v>
      </c>
      <c r="N48">
        <v>152</v>
      </c>
      <c r="O48">
        <v>8</v>
      </c>
      <c r="P48">
        <v>1</v>
      </c>
      <c r="Q48">
        <v>36.5</v>
      </c>
      <c r="R48">
        <v>0.5</v>
      </c>
      <c r="S48">
        <v>86.2</v>
      </c>
      <c r="T48">
        <v>13.3</v>
      </c>
      <c r="U48">
        <v>0</v>
      </c>
      <c r="V48">
        <v>0.2</v>
      </c>
      <c r="W48">
        <v>31.5</v>
      </c>
      <c r="X48">
        <v>4.8</v>
      </c>
      <c r="Y48">
        <v>0</v>
      </c>
    </row>
    <row r="49" spans="1:26" x14ac:dyDescent="0.25">
      <c r="A49">
        <v>48</v>
      </c>
      <c r="B49" t="s">
        <v>29</v>
      </c>
      <c r="C49" t="s">
        <v>15</v>
      </c>
      <c r="D49">
        <v>36</v>
      </c>
      <c r="E49">
        <v>43</v>
      </c>
      <c r="F49">
        <v>21</v>
      </c>
      <c r="G49" t="s">
        <v>87</v>
      </c>
      <c r="H49">
        <v>7.6</v>
      </c>
      <c r="I49">
        <v>119</v>
      </c>
      <c r="J49">
        <v>61</v>
      </c>
      <c r="K49">
        <v>6075</v>
      </c>
      <c r="L49">
        <v>518</v>
      </c>
      <c r="M49">
        <v>4.4000000000000004</v>
      </c>
      <c r="N49">
        <v>132</v>
      </c>
      <c r="O49">
        <v>6.9</v>
      </c>
      <c r="P49">
        <v>1</v>
      </c>
      <c r="Q49">
        <v>34.799999999999997</v>
      </c>
      <c r="R49">
        <v>0.4</v>
      </c>
      <c r="S49">
        <v>87.3</v>
      </c>
      <c r="T49">
        <v>12.4</v>
      </c>
      <c r="U49">
        <v>0</v>
      </c>
      <c r="V49">
        <v>0.2</v>
      </c>
      <c r="W49">
        <v>30.4</v>
      </c>
      <c r="X49">
        <v>4.3</v>
      </c>
      <c r="Y49">
        <v>0</v>
      </c>
    </row>
    <row r="50" spans="1:26" x14ac:dyDescent="0.25">
      <c r="A50">
        <v>49</v>
      </c>
      <c r="B50" t="s">
        <v>17</v>
      </c>
      <c r="C50" t="s">
        <v>16</v>
      </c>
      <c r="D50">
        <v>42</v>
      </c>
      <c r="E50">
        <v>43</v>
      </c>
      <c r="F50">
        <v>15</v>
      </c>
      <c r="G50" t="s">
        <v>87</v>
      </c>
      <c r="H50">
        <v>7.9</v>
      </c>
      <c r="I50">
        <v>112</v>
      </c>
      <c r="J50">
        <v>69</v>
      </c>
      <c r="K50">
        <v>7214</v>
      </c>
      <c r="L50">
        <v>544</v>
      </c>
      <c r="M50">
        <v>6</v>
      </c>
      <c r="N50">
        <v>164</v>
      </c>
      <c r="O50">
        <v>9.6</v>
      </c>
      <c r="P50">
        <v>1</v>
      </c>
      <c r="Q50">
        <v>40.799999999999997</v>
      </c>
      <c r="R50">
        <v>0.4</v>
      </c>
      <c r="S50">
        <v>88.4</v>
      </c>
      <c r="T50">
        <v>11.1</v>
      </c>
      <c r="U50">
        <v>0</v>
      </c>
      <c r="V50">
        <v>0.2</v>
      </c>
      <c r="W50">
        <v>36.1</v>
      </c>
      <c r="X50">
        <v>4.5</v>
      </c>
      <c r="Y50">
        <v>0</v>
      </c>
      <c r="Z50" t="s">
        <v>81</v>
      </c>
    </row>
    <row r="51" spans="1:26" x14ac:dyDescent="0.25">
      <c r="A51">
        <v>50</v>
      </c>
      <c r="B51" t="s">
        <v>24</v>
      </c>
      <c r="C51" t="s">
        <v>15</v>
      </c>
      <c r="D51">
        <v>38</v>
      </c>
      <c r="E51">
        <v>45</v>
      </c>
      <c r="F51">
        <v>17</v>
      </c>
      <c r="G51" t="s">
        <v>87</v>
      </c>
      <c r="H51">
        <v>7.8</v>
      </c>
      <c r="I51">
        <v>121</v>
      </c>
      <c r="J51">
        <v>50</v>
      </c>
      <c r="K51">
        <v>5829</v>
      </c>
      <c r="L51">
        <v>558</v>
      </c>
      <c r="M51">
        <v>5.3</v>
      </c>
      <c r="N51">
        <v>150</v>
      </c>
      <c r="O51">
        <v>7.5</v>
      </c>
      <c r="P51">
        <v>1</v>
      </c>
      <c r="Q51">
        <v>33.9</v>
      </c>
      <c r="R51">
        <v>0.4</v>
      </c>
      <c r="S51">
        <v>86</v>
      </c>
      <c r="T51">
        <v>13.7</v>
      </c>
      <c r="U51">
        <v>0</v>
      </c>
      <c r="V51">
        <v>0.1</v>
      </c>
      <c r="W51">
        <v>29.1</v>
      </c>
      <c r="X51">
        <v>4.7</v>
      </c>
      <c r="Y51">
        <v>0</v>
      </c>
    </row>
    <row r="52" spans="1:26" x14ac:dyDescent="0.25">
      <c r="A52">
        <v>51</v>
      </c>
      <c r="B52" t="s">
        <v>21</v>
      </c>
      <c r="C52" t="s">
        <v>8</v>
      </c>
      <c r="D52">
        <v>40</v>
      </c>
      <c r="E52">
        <v>43</v>
      </c>
      <c r="F52">
        <v>17</v>
      </c>
      <c r="G52" t="s">
        <v>87</v>
      </c>
      <c r="H52">
        <v>7.7</v>
      </c>
      <c r="I52">
        <v>113</v>
      </c>
      <c r="J52">
        <v>55</v>
      </c>
      <c r="K52">
        <v>6286</v>
      </c>
      <c r="L52">
        <v>511</v>
      </c>
      <c r="M52">
        <v>5.5</v>
      </c>
      <c r="N52">
        <v>154</v>
      </c>
      <c r="O52">
        <v>7.9</v>
      </c>
      <c r="P52">
        <v>1</v>
      </c>
      <c r="Q52">
        <v>35.799999999999997</v>
      </c>
      <c r="R52">
        <v>0.4</v>
      </c>
      <c r="S52">
        <v>87.8</v>
      </c>
      <c r="T52">
        <v>11.9</v>
      </c>
      <c r="U52">
        <v>0</v>
      </c>
      <c r="V52">
        <v>0.1</v>
      </c>
      <c r="W52">
        <v>31.4</v>
      </c>
      <c r="X52">
        <v>4.3</v>
      </c>
      <c r="Y52">
        <v>0</v>
      </c>
    </row>
    <row r="53" spans="1:26" x14ac:dyDescent="0.25">
      <c r="A53">
        <v>52</v>
      </c>
      <c r="B53" t="s">
        <v>28</v>
      </c>
      <c r="C53" t="s">
        <v>8</v>
      </c>
      <c r="D53">
        <v>36</v>
      </c>
      <c r="E53">
        <v>47</v>
      </c>
      <c r="F53">
        <v>17</v>
      </c>
      <c r="G53" t="s">
        <v>87</v>
      </c>
      <c r="H53">
        <v>7.8</v>
      </c>
      <c r="I53">
        <v>121</v>
      </c>
      <c r="J53">
        <v>114</v>
      </c>
      <c r="K53">
        <v>6800</v>
      </c>
      <c r="L53">
        <v>497</v>
      </c>
      <c r="M53">
        <v>5.6</v>
      </c>
      <c r="N53">
        <v>156</v>
      </c>
      <c r="O53">
        <v>7.9</v>
      </c>
      <c r="P53">
        <v>1</v>
      </c>
      <c r="Q53">
        <v>38.4</v>
      </c>
      <c r="R53">
        <v>0.8</v>
      </c>
      <c r="S53">
        <v>88.5</v>
      </c>
      <c r="T53">
        <v>10.8</v>
      </c>
      <c r="U53">
        <v>0</v>
      </c>
      <c r="V53">
        <v>0.3</v>
      </c>
      <c r="W53">
        <v>34</v>
      </c>
      <c r="X53">
        <v>4.0999999999999996</v>
      </c>
      <c r="Y53">
        <v>0</v>
      </c>
    </row>
    <row r="54" spans="1:26" x14ac:dyDescent="0.25">
      <c r="A54">
        <v>53</v>
      </c>
      <c r="B54" t="s">
        <v>10</v>
      </c>
      <c r="C54" t="s">
        <v>19</v>
      </c>
      <c r="D54">
        <v>42</v>
      </c>
      <c r="E54">
        <v>43</v>
      </c>
      <c r="F54">
        <v>15</v>
      </c>
      <c r="G54" t="s">
        <v>87</v>
      </c>
      <c r="H54">
        <v>7.9</v>
      </c>
      <c r="I54">
        <v>89</v>
      </c>
      <c r="J54">
        <v>51</v>
      </c>
      <c r="K54">
        <v>6890</v>
      </c>
      <c r="L54">
        <v>533</v>
      </c>
      <c r="M54">
        <v>5.7</v>
      </c>
      <c r="N54">
        <v>158</v>
      </c>
      <c r="O54">
        <v>8</v>
      </c>
      <c r="P54">
        <v>1</v>
      </c>
      <c r="Q54">
        <v>39</v>
      </c>
      <c r="R54">
        <v>0.3</v>
      </c>
      <c r="S54">
        <v>88.3</v>
      </c>
      <c r="T54">
        <v>11.4</v>
      </c>
      <c r="U54">
        <v>0</v>
      </c>
      <c r="V54">
        <v>0.1</v>
      </c>
      <c r="W54">
        <v>34.5</v>
      </c>
      <c r="X54">
        <v>4.4000000000000004</v>
      </c>
      <c r="Y54">
        <v>0</v>
      </c>
    </row>
    <row r="55" spans="1:26" x14ac:dyDescent="0.25">
      <c r="A55">
        <v>54</v>
      </c>
      <c r="B55" t="s">
        <v>24</v>
      </c>
      <c r="C55" t="s">
        <v>8</v>
      </c>
      <c r="D55">
        <v>38</v>
      </c>
      <c r="E55">
        <v>45</v>
      </c>
      <c r="F55">
        <v>17</v>
      </c>
      <c r="G55" t="s">
        <v>87</v>
      </c>
      <c r="H55">
        <v>7.8</v>
      </c>
      <c r="I55">
        <v>107</v>
      </c>
      <c r="J55">
        <v>48</v>
      </c>
      <c r="K55">
        <v>5473</v>
      </c>
      <c r="L55">
        <v>544</v>
      </c>
      <c r="M55">
        <v>5.4</v>
      </c>
      <c r="N55">
        <v>152</v>
      </c>
      <c r="O55">
        <v>4.0999999999999996</v>
      </c>
      <c r="P55">
        <v>1</v>
      </c>
      <c r="Q55">
        <v>32</v>
      </c>
      <c r="R55">
        <v>0.4</v>
      </c>
      <c r="S55">
        <v>85.5</v>
      </c>
      <c r="T55">
        <v>14.2</v>
      </c>
      <c r="U55">
        <v>0</v>
      </c>
      <c r="V55">
        <v>0.1</v>
      </c>
      <c r="W55">
        <v>27.4</v>
      </c>
      <c r="X55">
        <v>4.5</v>
      </c>
      <c r="Y55">
        <v>0</v>
      </c>
    </row>
    <row r="56" spans="1:26" x14ac:dyDescent="0.25">
      <c r="A56">
        <v>55</v>
      </c>
      <c r="B56" t="s">
        <v>25</v>
      </c>
      <c r="C56" t="s">
        <v>8</v>
      </c>
      <c r="D56">
        <v>48</v>
      </c>
      <c r="E56">
        <v>37</v>
      </c>
      <c r="F56">
        <v>15</v>
      </c>
      <c r="G56" t="s">
        <v>87</v>
      </c>
      <c r="H56">
        <v>7.5</v>
      </c>
      <c r="I56">
        <v>57</v>
      </c>
      <c r="J56">
        <v>21</v>
      </c>
      <c r="K56">
        <v>3610</v>
      </c>
      <c r="L56">
        <v>128</v>
      </c>
      <c r="M56">
        <v>5.2</v>
      </c>
      <c r="N56">
        <v>148</v>
      </c>
      <c r="O56">
        <v>8.6999999999999993</v>
      </c>
      <c r="P56">
        <v>1.1000000000000001</v>
      </c>
      <c r="Q56">
        <v>19.2</v>
      </c>
      <c r="R56">
        <v>0.3</v>
      </c>
      <c r="S56">
        <v>94</v>
      </c>
      <c r="T56">
        <v>5.6</v>
      </c>
      <c r="U56">
        <v>0</v>
      </c>
      <c r="V56">
        <v>0.1</v>
      </c>
      <c r="W56">
        <v>18.100000000000001</v>
      </c>
      <c r="X56">
        <v>1.1000000000000001</v>
      </c>
      <c r="Y56">
        <v>0</v>
      </c>
    </row>
    <row r="57" spans="1:26" x14ac:dyDescent="0.25">
      <c r="A57">
        <v>56</v>
      </c>
      <c r="B57" t="s">
        <v>10</v>
      </c>
      <c r="C57" t="s">
        <v>16</v>
      </c>
      <c r="D57">
        <v>34</v>
      </c>
      <c r="E57">
        <v>49</v>
      </c>
      <c r="F57">
        <v>17</v>
      </c>
      <c r="G57" t="s">
        <v>87</v>
      </c>
      <c r="H57">
        <v>7.7</v>
      </c>
      <c r="I57">
        <v>102</v>
      </c>
      <c r="J57">
        <v>57</v>
      </c>
      <c r="K57">
        <v>6228</v>
      </c>
      <c r="L57">
        <v>559</v>
      </c>
      <c r="M57">
        <v>5.3</v>
      </c>
      <c r="N57">
        <v>150</v>
      </c>
      <c r="O57">
        <v>7</v>
      </c>
      <c r="P57">
        <v>1</v>
      </c>
      <c r="Q57">
        <v>35.9</v>
      </c>
      <c r="R57">
        <v>0.4</v>
      </c>
      <c r="S57">
        <v>86.7</v>
      </c>
      <c r="T57">
        <v>13</v>
      </c>
      <c r="U57">
        <v>0</v>
      </c>
      <c r="V57">
        <v>0.1</v>
      </c>
      <c r="W57">
        <v>31.1</v>
      </c>
      <c r="X57">
        <v>4.7</v>
      </c>
      <c r="Y57">
        <v>0</v>
      </c>
    </row>
    <row r="58" spans="1:26" x14ac:dyDescent="0.25">
      <c r="A58">
        <v>57</v>
      </c>
      <c r="B58" t="s">
        <v>29</v>
      </c>
      <c r="C58" t="s">
        <v>8</v>
      </c>
      <c r="D58">
        <v>42</v>
      </c>
      <c r="E58">
        <v>41</v>
      </c>
      <c r="F58">
        <v>17</v>
      </c>
      <c r="G58" t="s">
        <v>87</v>
      </c>
      <c r="H58">
        <v>7.5</v>
      </c>
      <c r="I58">
        <v>118</v>
      </c>
      <c r="J58">
        <v>61</v>
      </c>
      <c r="K58">
        <v>6083</v>
      </c>
      <c r="L58">
        <v>524</v>
      </c>
      <c r="M58">
        <v>4.9000000000000004</v>
      </c>
      <c r="N58">
        <v>142</v>
      </c>
      <c r="O58">
        <v>7.3</v>
      </c>
      <c r="P58">
        <v>1</v>
      </c>
      <c r="Q58">
        <v>34.9</v>
      </c>
      <c r="R58">
        <v>0.4</v>
      </c>
      <c r="S58">
        <v>87.1</v>
      </c>
      <c r="T58">
        <v>12.5</v>
      </c>
      <c r="U58">
        <v>0</v>
      </c>
      <c r="V58">
        <v>0.1</v>
      </c>
      <c r="W58">
        <v>30.4</v>
      </c>
      <c r="X58">
        <v>4.4000000000000004</v>
      </c>
      <c r="Y58">
        <v>0</v>
      </c>
    </row>
    <row r="59" spans="1:26" x14ac:dyDescent="0.25">
      <c r="A59">
        <v>58</v>
      </c>
      <c r="B59" t="s">
        <v>6</v>
      </c>
      <c r="C59" t="s">
        <v>8</v>
      </c>
      <c r="D59">
        <v>40</v>
      </c>
      <c r="E59">
        <v>45</v>
      </c>
      <c r="F59">
        <v>15</v>
      </c>
      <c r="G59" t="s">
        <v>87</v>
      </c>
      <c r="H59">
        <v>7.6</v>
      </c>
      <c r="I59">
        <v>94</v>
      </c>
      <c r="J59">
        <v>47</v>
      </c>
      <c r="K59">
        <v>7115</v>
      </c>
      <c r="L59">
        <v>458</v>
      </c>
      <c r="M59">
        <v>4.4000000000000004</v>
      </c>
      <c r="N59">
        <v>132</v>
      </c>
      <c r="O59">
        <v>9.8000000000000007</v>
      </c>
      <c r="P59">
        <v>1</v>
      </c>
      <c r="Q59">
        <v>39.5</v>
      </c>
      <c r="R59">
        <v>0.3</v>
      </c>
      <c r="S59">
        <v>90.1</v>
      </c>
      <c r="T59">
        <v>9.6999999999999993</v>
      </c>
      <c r="U59">
        <v>0</v>
      </c>
      <c r="V59">
        <v>0.1</v>
      </c>
      <c r="W59">
        <v>35.6</v>
      </c>
      <c r="X59">
        <v>3.8</v>
      </c>
      <c r="Y59">
        <v>0</v>
      </c>
      <c r="Z59" t="s">
        <v>81</v>
      </c>
    </row>
    <row r="60" spans="1:26" x14ac:dyDescent="0.25">
      <c r="A60">
        <v>59</v>
      </c>
      <c r="B60" t="s">
        <v>6</v>
      </c>
      <c r="C60" t="s">
        <v>16</v>
      </c>
      <c r="D60">
        <v>32</v>
      </c>
      <c r="E60">
        <v>53</v>
      </c>
      <c r="F60">
        <v>15</v>
      </c>
      <c r="G60" t="s">
        <v>88</v>
      </c>
      <c r="H60">
        <v>7.7</v>
      </c>
      <c r="I60">
        <v>85</v>
      </c>
      <c r="J60">
        <v>40</v>
      </c>
      <c r="K60">
        <v>6986</v>
      </c>
      <c r="L60">
        <v>380</v>
      </c>
      <c r="M60">
        <v>4</v>
      </c>
      <c r="N60">
        <v>124</v>
      </c>
      <c r="O60">
        <v>10.199999999999999</v>
      </c>
      <c r="P60">
        <v>1</v>
      </c>
      <c r="Q60">
        <v>38.200000000000003</v>
      </c>
      <c r="R60">
        <v>0.3</v>
      </c>
      <c r="S60">
        <v>91.4</v>
      </c>
      <c r="T60">
        <v>8.3000000000000007</v>
      </c>
      <c r="U60">
        <v>0</v>
      </c>
      <c r="V60">
        <v>0.1</v>
      </c>
      <c r="W60">
        <v>34.9</v>
      </c>
      <c r="X60">
        <v>3.2</v>
      </c>
      <c r="Y60">
        <v>0</v>
      </c>
    </row>
    <row r="61" spans="1:26" x14ac:dyDescent="0.25">
      <c r="A61">
        <v>60</v>
      </c>
      <c r="B61" t="s">
        <v>17</v>
      </c>
      <c r="C61" t="s">
        <v>11</v>
      </c>
      <c r="D61">
        <v>38</v>
      </c>
      <c r="E61">
        <v>45</v>
      </c>
      <c r="F61">
        <v>17</v>
      </c>
      <c r="G61" t="s">
        <v>87</v>
      </c>
      <c r="H61">
        <v>7.8</v>
      </c>
      <c r="I61">
        <v>97</v>
      </c>
      <c r="J61">
        <v>53</v>
      </c>
      <c r="K61">
        <v>6810</v>
      </c>
      <c r="L61">
        <v>534</v>
      </c>
      <c r="M61">
        <v>6.1</v>
      </c>
      <c r="N61">
        <v>166</v>
      </c>
      <c r="O61">
        <v>7.7</v>
      </c>
      <c r="P61">
        <v>1</v>
      </c>
      <c r="Q61">
        <v>38.6</v>
      </c>
      <c r="R61">
        <v>0.4</v>
      </c>
      <c r="S61">
        <v>88.2</v>
      </c>
      <c r="T61">
        <v>11.5</v>
      </c>
      <c r="U61">
        <v>0</v>
      </c>
      <c r="V61">
        <v>0.1</v>
      </c>
      <c r="W61">
        <v>34.1</v>
      </c>
      <c r="X61">
        <v>4.5</v>
      </c>
      <c r="Y61">
        <v>0</v>
      </c>
    </row>
    <row r="62" spans="1:26" x14ac:dyDescent="0.25">
      <c r="A62">
        <v>61</v>
      </c>
      <c r="B62" t="s">
        <v>7</v>
      </c>
      <c r="C62" t="s">
        <v>16</v>
      </c>
      <c r="D62">
        <v>48</v>
      </c>
      <c r="E62">
        <v>39</v>
      </c>
      <c r="F62">
        <v>13</v>
      </c>
      <c r="G62" t="s">
        <v>87</v>
      </c>
      <c r="H62">
        <v>7.7</v>
      </c>
      <c r="I62">
        <v>94</v>
      </c>
      <c r="J62">
        <v>58</v>
      </c>
      <c r="K62">
        <v>8084</v>
      </c>
      <c r="L62">
        <v>529</v>
      </c>
      <c r="M62">
        <v>5.8</v>
      </c>
      <c r="N62">
        <v>160</v>
      </c>
      <c r="O62">
        <v>9.1999999999999993</v>
      </c>
      <c r="P62">
        <v>1</v>
      </c>
      <c r="Q62">
        <v>45</v>
      </c>
      <c r="R62">
        <v>0.3</v>
      </c>
      <c r="S62">
        <v>89.8</v>
      </c>
      <c r="T62">
        <v>9.8000000000000007</v>
      </c>
      <c r="U62">
        <v>0</v>
      </c>
      <c r="V62">
        <v>0.1</v>
      </c>
      <c r="W62">
        <v>40.4</v>
      </c>
      <c r="X62">
        <v>4.4000000000000004</v>
      </c>
      <c r="Y62">
        <v>0</v>
      </c>
      <c r="Z62" t="s">
        <v>81</v>
      </c>
    </row>
    <row r="63" spans="1:26" x14ac:dyDescent="0.25">
      <c r="A63">
        <v>62</v>
      </c>
      <c r="B63" t="s">
        <v>7</v>
      </c>
      <c r="C63" t="s">
        <v>15</v>
      </c>
      <c r="D63">
        <v>40</v>
      </c>
      <c r="E63">
        <v>45</v>
      </c>
      <c r="F63">
        <v>15</v>
      </c>
      <c r="G63" t="s">
        <v>87</v>
      </c>
      <c r="H63">
        <v>7.8</v>
      </c>
      <c r="I63">
        <v>115</v>
      </c>
      <c r="J63">
        <v>51</v>
      </c>
      <c r="K63">
        <v>6435</v>
      </c>
      <c r="L63">
        <v>456</v>
      </c>
      <c r="M63">
        <v>5.0999999999999996</v>
      </c>
      <c r="N63">
        <v>146</v>
      </c>
      <c r="O63">
        <v>10.6</v>
      </c>
      <c r="P63">
        <v>1</v>
      </c>
      <c r="Q63">
        <v>36.1</v>
      </c>
      <c r="R63">
        <v>0.4</v>
      </c>
      <c r="S63">
        <v>89.1</v>
      </c>
      <c r="T63">
        <v>10.5</v>
      </c>
      <c r="U63">
        <v>0</v>
      </c>
      <c r="V63">
        <v>0.1</v>
      </c>
      <c r="W63">
        <v>32.200000000000003</v>
      </c>
      <c r="X63">
        <v>3.8</v>
      </c>
      <c r="Y63">
        <v>0</v>
      </c>
    </row>
    <row r="64" spans="1:26" x14ac:dyDescent="0.25">
      <c r="A64">
        <v>63</v>
      </c>
      <c r="B64" t="s">
        <v>7</v>
      </c>
      <c r="C64" t="s">
        <v>19</v>
      </c>
      <c r="D64">
        <v>44</v>
      </c>
      <c r="E64">
        <v>41</v>
      </c>
      <c r="F64">
        <v>15</v>
      </c>
      <c r="G64" t="s">
        <v>87</v>
      </c>
      <c r="H64">
        <v>7.8</v>
      </c>
      <c r="I64">
        <v>112</v>
      </c>
      <c r="J64">
        <v>54</v>
      </c>
      <c r="K64">
        <v>6092</v>
      </c>
      <c r="L64">
        <v>558</v>
      </c>
      <c r="M64">
        <v>4.5999999999999996</v>
      </c>
      <c r="N64">
        <v>136</v>
      </c>
      <c r="O64">
        <v>6.6</v>
      </c>
      <c r="P64">
        <v>1</v>
      </c>
      <c r="Q64">
        <v>35.200000000000003</v>
      </c>
      <c r="R64">
        <v>0.4</v>
      </c>
      <c r="S64">
        <v>86.5</v>
      </c>
      <c r="T64">
        <v>13.2</v>
      </c>
      <c r="U64">
        <v>0</v>
      </c>
      <c r="V64">
        <v>0.1</v>
      </c>
      <c r="W64">
        <v>30.5</v>
      </c>
      <c r="X64">
        <v>4.7</v>
      </c>
      <c r="Y64">
        <v>0</v>
      </c>
    </row>
    <row r="65" spans="1:26" x14ac:dyDescent="0.25">
      <c r="A65">
        <v>64</v>
      </c>
      <c r="B65" t="s">
        <v>7</v>
      </c>
      <c r="C65" t="s">
        <v>11</v>
      </c>
      <c r="D65">
        <v>40</v>
      </c>
      <c r="E65">
        <v>45</v>
      </c>
      <c r="F65">
        <v>15</v>
      </c>
      <c r="G65" t="s">
        <v>87</v>
      </c>
      <c r="H65">
        <v>7.4</v>
      </c>
      <c r="I65">
        <v>108</v>
      </c>
      <c r="J65">
        <v>50</v>
      </c>
      <c r="K65">
        <v>6461</v>
      </c>
      <c r="L65">
        <v>557</v>
      </c>
      <c r="M65">
        <v>4.5999999999999996</v>
      </c>
      <c r="N65">
        <v>136</v>
      </c>
      <c r="O65">
        <v>8.1</v>
      </c>
      <c r="P65">
        <v>1</v>
      </c>
      <c r="Q65">
        <v>37.1</v>
      </c>
      <c r="R65">
        <v>0.3</v>
      </c>
      <c r="S65">
        <v>87.1</v>
      </c>
      <c r="T65">
        <v>12.5</v>
      </c>
      <c r="U65">
        <v>0</v>
      </c>
      <c r="V65">
        <v>0.1</v>
      </c>
      <c r="W65">
        <v>32.299999999999997</v>
      </c>
      <c r="X65">
        <v>4.5999999999999996</v>
      </c>
      <c r="Y65">
        <v>0</v>
      </c>
    </row>
    <row r="66" spans="1:26" x14ac:dyDescent="0.25">
      <c r="A66">
        <v>65</v>
      </c>
      <c r="B66" t="s">
        <v>18</v>
      </c>
      <c r="C66" t="s">
        <v>11</v>
      </c>
      <c r="D66">
        <v>40</v>
      </c>
      <c r="E66">
        <v>43</v>
      </c>
      <c r="F66">
        <v>17</v>
      </c>
      <c r="G66" t="s">
        <v>87</v>
      </c>
      <c r="H66">
        <v>7.8</v>
      </c>
      <c r="I66">
        <v>118</v>
      </c>
      <c r="J66">
        <v>50</v>
      </c>
      <c r="K66">
        <v>6296</v>
      </c>
      <c r="L66">
        <v>520</v>
      </c>
      <c r="M66">
        <v>6.3</v>
      </c>
      <c r="N66">
        <v>170</v>
      </c>
      <c r="O66">
        <v>6.5</v>
      </c>
      <c r="P66">
        <v>1</v>
      </c>
      <c r="Q66">
        <v>35.9</v>
      </c>
      <c r="R66">
        <v>0.4</v>
      </c>
      <c r="S66">
        <v>87.7</v>
      </c>
      <c r="T66">
        <v>12.1</v>
      </c>
      <c r="U66">
        <v>0</v>
      </c>
      <c r="V66">
        <v>0.1</v>
      </c>
      <c r="W66">
        <v>31.5</v>
      </c>
      <c r="X66">
        <v>4.3</v>
      </c>
      <c r="Y66">
        <v>0</v>
      </c>
    </row>
    <row r="67" spans="1:26" x14ac:dyDescent="0.25">
      <c r="A67">
        <v>66</v>
      </c>
      <c r="B67" t="s">
        <v>18</v>
      </c>
      <c r="C67" t="s">
        <v>15</v>
      </c>
      <c r="D67">
        <v>30</v>
      </c>
      <c r="E67">
        <v>51</v>
      </c>
      <c r="F67">
        <v>19</v>
      </c>
      <c r="G67" t="s">
        <v>88</v>
      </c>
      <c r="H67">
        <v>7.6</v>
      </c>
      <c r="I67">
        <v>127</v>
      </c>
      <c r="J67">
        <v>47</v>
      </c>
      <c r="K67">
        <v>5793</v>
      </c>
      <c r="L67">
        <v>503</v>
      </c>
      <c r="M67">
        <v>3.9</v>
      </c>
      <c r="N67">
        <v>122</v>
      </c>
      <c r="O67">
        <v>5.8</v>
      </c>
      <c r="P67">
        <v>1</v>
      </c>
      <c r="Q67">
        <v>33.299999999999997</v>
      </c>
      <c r="R67">
        <v>0.4</v>
      </c>
      <c r="S67">
        <v>87</v>
      </c>
      <c r="T67">
        <v>12.6</v>
      </c>
      <c r="U67">
        <v>0</v>
      </c>
      <c r="V67">
        <v>0.1</v>
      </c>
      <c r="W67">
        <v>29</v>
      </c>
      <c r="X67">
        <v>4.2</v>
      </c>
      <c r="Y67">
        <v>0</v>
      </c>
    </row>
    <row r="68" spans="1:26" x14ac:dyDescent="0.25">
      <c r="A68">
        <v>67</v>
      </c>
      <c r="B68" t="s">
        <v>18</v>
      </c>
      <c r="C68" t="s">
        <v>8</v>
      </c>
      <c r="D68">
        <v>42</v>
      </c>
      <c r="E68">
        <v>41</v>
      </c>
      <c r="F68">
        <v>17</v>
      </c>
      <c r="G68" t="s">
        <v>87</v>
      </c>
      <c r="H68">
        <v>7.5</v>
      </c>
      <c r="I68">
        <v>109</v>
      </c>
      <c r="J68">
        <v>46</v>
      </c>
      <c r="K68">
        <v>6331</v>
      </c>
      <c r="L68">
        <v>560</v>
      </c>
      <c r="M68">
        <v>4.7</v>
      </c>
      <c r="N68">
        <v>138</v>
      </c>
      <c r="O68">
        <v>9.4</v>
      </c>
      <c r="P68">
        <v>1</v>
      </c>
      <c r="Q68">
        <v>36.4</v>
      </c>
      <c r="R68">
        <v>0.3</v>
      </c>
      <c r="S68">
        <v>87</v>
      </c>
      <c r="T68">
        <v>12.8</v>
      </c>
      <c r="U68">
        <v>0</v>
      </c>
      <c r="V68">
        <v>0.1</v>
      </c>
      <c r="W68">
        <v>31.7</v>
      </c>
      <c r="X68">
        <v>4.7</v>
      </c>
      <c r="Y68">
        <v>0</v>
      </c>
    </row>
    <row r="69" spans="1:26" x14ac:dyDescent="0.25">
      <c r="A69">
        <v>68</v>
      </c>
      <c r="B69" t="s">
        <v>18</v>
      </c>
      <c r="C69" t="s">
        <v>16</v>
      </c>
      <c r="D69">
        <v>38</v>
      </c>
      <c r="E69">
        <v>43</v>
      </c>
      <c r="F69">
        <v>19</v>
      </c>
      <c r="G69" t="s">
        <v>87</v>
      </c>
      <c r="H69">
        <v>7.7</v>
      </c>
      <c r="I69">
        <v>95</v>
      </c>
      <c r="J69">
        <v>50</v>
      </c>
      <c r="K69">
        <v>6590</v>
      </c>
      <c r="L69">
        <v>556</v>
      </c>
      <c r="M69">
        <v>6.5</v>
      </c>
      <c r="N69">
        <v>174</v>
      </c>
      <c r="O69">
        <v>8.4</v>
      </c>
      <c r="P69">
        <v>1</v>
      </c>
      <c r="Q69">
        <v>37.700000000000003</v>
      </c>
      <c r="R69">
        <v>0.3</v>
      </c>
      <c r="S69">
        <v>87.4</v>
      </c>
      <c r="T69">
        <v>12.3</v>
      </c>
      <c r="U69">
        <v>0</v>
      </c>
      <c r="V69">
        <v>0.1</v>
      </c>
      <c r="W69">
        <v>33</v>
      </c>
      <c r="X69">
        <v>4.5999999999999996</v>
      </c>
      <c r="Y69">
        <v>0</v>
      </c>
    </row>
    <row r="70" spans="1:26" x14ac:dyDescent="0.25">
      <c r="A70">
        <v>69</v>
      </c>
      <c r="B70" t="s">
        <v>22</v>
      </c>
      <c r="C70" t="s">
        <v>11</v>
      </c>
      <c r="D70">
        <v>42</v>
      </c>
      <c r="E70">
        <v>43</v>
      </c>
      <c r="F70">
        <v>15</v>
      </c>
      <c r="G70" t="s">
        <v>87</v>
      </c>
      <c r="H70">
        <v>7.6</v>
      </c>
      <c r="I70">
        <v>112</v>
      </c>
      <c r="J70">
        <v>83</v>
      </c>
      <c r="K70">
        <v>7323</v>
      </c>
      <c r="L70">
        <v>597</v>
      </c>
      <c r="M70">
        <v>5.8</v>
      </c>
      <c r="N70">
        <v>160</v>
      </c>
      <c r="O70">
        <v>9.6999999999999993</v>
      </c>
      <c r="P70">
        <v>1</v>
      </c>
      <c r="Q70">
        <v>41.8</v>
      </c>
      <c r="R70">
        <v>0.5</v>
      </c>
      <c r="S70">
        <v>87.6</v>
      </c>
      <c r="T70">
        <v>11.9</v>
      </c>
      <c r="U70">
        <v>0</v>
      </c>
      <c r="V70">
        <v>0.2</v>
      </c>
      <c r="W70">
        <v>36.6</v>
      </c>
      <c r="X70">
        <v>5</v>
      </c>
      <c r="Y70">
        <v>0</v>
      </c>
      <c r="Z70" t="s">
        <v>81</v>
      </c>
    </row>
    <row r="71" spans="1:26" x14ac:dyDescent="0.25">
      <c r="A71">
        <v>70</v>
      </c>
      <c r="B71" t="s">
        <v>22</v>
      </c>
      <c r="C71" t="s">
        <v>15</v>
      </c>
      <c r="D71">
        <v>40</v>
      </c>
      <c r="E71">
        <v>45</v>
      </c>
      <c r="F71">
        <v>15</v>
      </c>
      <c r="G71" t="s">
        <v>87</v>
      </c>
      <c r="H71">
        <v>7.6</v>
      </c>
      <c r="I71">
        <v>122</v>
      </c>
      <c r="J71">
        <v>62</v>
      </c>
      <c r="K71">
        <v>7340</v>
      </c>
      <c r="L71">
        <v>536</v>
      </c>
      <c r="M71">
        <v>5</v>
      </c>
      <c r="N71">
        <v>144</v>
      </c>
      <c r="O71">
        <v>8.4</v>
      </c>
      <c r="P71">
        <v>1</v>
      </c>
      <c r="Q71">
        <v>41.3</v>
      </c>
      <c r="R71">
        <v>0.4</v>
      </c>
      <c r="S71">
        <v>88.9</v>
      </c>
      <c r="T71">
        <v>10.8</v>
      </c>
      <c r="U71">
        <v>0</v>
      </c>
      <c r="V71">
        <v>0.2</v>
      </c>
      <c r="W71">
        <v>36.700000000000003</v>
      </c>
      <c r="X71">
        <v>4.5</v>
      </c>
      <c r="Y71">
        <v>0</v>
      </c>
      <c r="Z71" t="s">
        <v>81</v>
      </c>
    </row>
    <row r="72" spans="1:26" x14ac:dyDescent="0.25">
      <c r="A72">
        <v>71</v>
      </c>
      <c r="B72" t="s">
        <v>23</v>
      </c>
      <c r="C72" t="s">
        <v>15</v>
      </c>
      <c r="D72">
        <v>44</v>
      </c>
      <c r="E72">
        <v>39</v>
      </c>
      <c r="F72">
        <v>17</v>
      </c>
      <c r="G72" t="s">
        <v>87</v>
      </c>
      <c r="H72">
        <v>7.6</v>
      </c>
      <c r="I72">
        <v>123</v>
      </c>
      <c r="J72">
        <v>100</v>
      </c>
      <c r="K72">
        <v>6824</v>
      </c>
      <c r="L72">
        <v>528</v>
      </c>
      <c r="M72">
        <v>6.6</v>
      </c>
      <c r="N72">
        <v>176</v>
      </c>
      <c r="O72">
        <v>9.8000000000000007</v>
      </c>
      <c r="P72">
        <v>1.1000000000000001</v>
      </c>
      <c r="Q72">
        <v>38.799999999999997</v>
      </c>
      <c r="R72">
        <v>0.7</v>
      </c>
      <c r="S72">
        <v>87.9</v>
      </c>
      <c r="T72">
        <v>11.3</v>
      </c>
      <c r="U72">
        <v>0</v>
      </c>
      <c r="V72">
        <v>0.3</v>
      </c>
      <c r="W72">
        <v>34.1</v>
      </c>
      <c r="X72">
        <v>4.4000000000000004</v>
      </c>
      <c r="Y72">
        <v>0</v>
      </c>
    </row>
    <row r="73" spans="1:26" x14ac:dyDescent="0.25">
      <c r="A73">
        <v>72</v>
      </c>
      <c r="B73" t="s">
        <v>23</v>
      </c>
      <c r="C73" t="s">
        <v>16</v>
      </c>
      <c r="D73">
        <v>38</v>
      </c>
      <c r="E73">
        <v>43</v>
      </c>
      <c r="F73">
        <v>19</v>
      </c>
      <c r="G73" t="s">
        <v>87</v>
      </c>
      <c r="H73">
        <v>7.7</v>
      </c>
      <c r="I73">
        <v>113</v>
      </c>
      <c r="J73">
        <v>100</v>
      </c>
      <c r="K73">
        <v>6436</v>
      </c>
      <c r="L73">
        <v>614</v>
      </c>
      <c r="M73">
        <v>5.3</v>
      </c>
      <c r="N73">
        <v>150</v>
      </c>
      <c r="O73">
        <v>13</v>
      </c>
      <c r="P73">
        <v>1</v>
      </c>
      <c r="Q73">
        <v>37.6</v>
      </c>
      <c r="R73">
        <v>0.7</v>
      </c>
      <c r="S73">
        <v>85.6</v>
      </c>
      <c r="T73">
        <v>13.6</v>
      </c>
      <c r="U73">
        <v>0</v>
      </c>
      <c r="V73">
        <v>0.3</v>
      </c>
      <c r="W73">
        <v>32.200000000000003</v>
      </c>
      <c r="X73">
        <v>5.0999999999999996</v>
      </c>
      <c r="Y73">
        <v>0</v>
      </c>
    </row>
    <row r="74" spans="1:26" x14ac:dyDescent="0.25">
      <c r="A74">
        <v>73</v>
      </c>
      <c r="B74" t="s">
        <v>17</v>
      </c>
      <c r="C74" t="s">
        <v>15</v>
      </c>
      <c r="D74">
        <v>43</v>
      </c>
      <c r="E74">
        <v>40</v>
      </c>
      <c r="F74">
        <v>17</v>
      </c>
      <c r="G74" t="s">
        <v>87</v>
      </c>
      <c r="H74">
        <v>7.8</v>
      </c>
      <c r="I74">
        <v>103</v>
      </c>
      <c r="J74">
        <v>60</v>
      </c>
      <c r="K74">
        <v>5904</v>
      </c>
      <c r="L74">
        <v>520</v>
      </c>
      <c r="M74">
        <v>5.9</v>
      </c>
      <c r="N74">
        <v>162</v>
      </c>
      <c r="O74">
        <v>8.1</v>
      </c>
      <c r="P74">
        <v>1</v>
      </c>
      <c r="Q74">
        <v>34</v>
      </c>
      <c r="R74">
        <v>0.5</v>
      </c>
      <c r="S74">
        <v>86.8</v>
      </c>
      <c r="T74">
        <v>12.7</v>
      </c>
      <c r="U74">
        <v>0</v>
      </c>
      <c r="V74">
        <v>0.2</v>
      </c>
      <c r="W74">
        <v>29.5</v>
      </c>
      <c r="X74">
        <v>4.3</v>
      </c>
      <c r="Y74">
        <v>0</v>
      </c>
    </row>
    <row r="75" spans="1:26" x14ac:dyDescent="0.25">
      <c r="A75">
        <v>74</v>
      </c>
      <c r="B75" t="s">
        <v>29</v>
      </c>
      <c r="C75" t="s">
        <v>11</v>
      </c>
      <c r="D75">
        <v>37</v>
      </c>
      <c r="E75">
        <v>44</v>
      </c>
      <c r="F75">
        <v>19</v>
      </c>
      <c r="G75" t="s">
        <v>87</v>
      </c>
      <c r="H75">
        <v>7.8</v>
      </c>
      <c r="I75">
        <v>114</v>
      </c>
      <c r="J75">
        <v>78</v>
      </c>
      <c r="K75">
        <v>6195</v>
      </c>
      <c r="L75">
        <v>582</v>
      </c>
      <c r="M75">
        <v>5.7</v>
      </c>
      <c r="N75">
        <v>158</v>
      </c>
      <c r="O75">
        <v>7.3</v>
      </c>
      <c r="P75">
        <v>2.1</v>
      </c>
      <c r="Q75">
        <v>36</v>
      </c>
      <c r="R75">
        <v>0.6</v>
      </c>
      <c r="S75">
        <v>86</v>
      </c>
      <c r="T75">
        <v>13.5</v>
      </c>
      <c r="U75">
        <v>0</v>
      </c>
      <c r="V75">
        <v>0.2</v>
      </c>
      <c r="W75">
        <v>31</v>
      </c>
      <c r="X75">
        <v>4.9000000000000004</v>
      </c>
      <c r="Y75">
        <v>0</v>
      </c>
    </row>
    <row r="76" spans="1:26" x14ac:dyDescent="0.25">
      <c r="A76">
        <v>75</v>
      </c>
      <c r="B76" t="s">
        <v>6</v>
      </c>
      <c r="C76" t="s">
        <v>15</v>
      </c>
      <c r="D76">
        <v>33</v>
      </c>
      <c r="E76">
        <v>46</v>
      </c>
      <c r="F76">
        <v>21</v>
      </c>
      <c r="G76" t="s">
        <v>87</v>
      </c>
      <c r="H76">
        <v>7.6</v>
      </c>
      <c r="I76">
        <v>130</v>
      </c>
      <c r="J76">
        <v>68</v>
      </c>
      <c r="K76">
        <v>5960</v>
      </c>
      <c r="L76">
        <v>513</v>
      </c>
      <c r="M76">
        <v>5</v>
      </c>
      <c r="N76">
        <v>144</v>
      </c>
      <c r="O76">
        <v>10.199999999999999</v>
      </c>
      <c r="P76">
        <v>1.9</v>
      </c>
      <c r="Q76">
        <v>34.200000000000003</v>
      </c>
      <c r="R76">
        <v>0.5</v>
      </c>
      <c r="S76">
        <v>87.1</v>
      </c>
      <c r="T76">
        <v>12.5</v>
      </c>
      <c r="U76">
        <v>0</v>
      </c>
      <c r="V76">
        <v>0.2</v>
      </c>
      <c r="W76">
        <v>29.8</v>
      </c>
      <c r="X76">
        <v>4.3</v>
      </c>
      <c r="Y76">
        <v>0</v>
      </c>
    </row>
    <row r="77" spans="1:26" x14ac:dyDescent="0.25">
      <c r="A77">
        <v>76</v>
      </c>
      <c r="B77" t="s">
        <v>6</v>
      </c>
      <c r="C77" t="s">
        <v>19</v>
      </c>
      <c r="D77">
        <v>33</v>
      </c>
      <c r="E77">
        <v>48</v>
      </c>
      <c r="F77">
        <v>19</v>
      </c>
      <c r="G77" t="s">
        <v>87</v>
      </c>
      <c r="H77">
        <v>7.8</v>
      </c>
      <c r="I77">
        <v>109</v>
      </c>
      <c r="J77">
        <v>56</v>
      </c>
      <c r="K77">
        <v>6114</v>
      </c>
      <c r="L77">
        <v>518</v>
      </c>
      <c r="M77">
        <v>5.6</v>
      </c>
      <c r="N77">
        <v>156</v>
      </c>
      <c r="O77">
        <v>11.8</v>
      </c>
      <c r="P77">
        <v>1</v>
      </c>
      <c r="Q77">
        <v>35</v>
      </c>
      <c r="R77">
        <v>0.4</v>
      </c>
      <c r="S77">
        <v>87.3</v>
      </c>
      <c r="T77">
        <v>12.3</v>
      </c>
      <c r="U77">
        <v>0</v>
      </c>
      <c r="V77">
        <v>0.1</v>
      </c>
      <c r="W77">
        <v>30.6</v>
      </c>
      <c r="X77">
        <v>4.3</v>
      </c>
      <c r="Y77">
        <v>0</v>
      </c>
    </row>
    <row r="78" spans="1:26" x14ac:dyDescent="0.25">
      <c r="A78">
        <v>77</v>
      </c>
      <c r="B78" t="s">
        <v>6</v>
      </c>
      <c r="C78" t="s">
        <v>11</v>
      </c>
      <c r="D78">
        <v>39</v>
      </c>
      <c r="E78">
        <v>42</v>
      </c>
      <c r="F78">
        <v>19</v>
      </c>
      <c r="G78" t="s">
        <v>87</v>
      </c>
      <c r="H78">
        <v>7.7</v>
      </c>
      <c r="I78">
        <v>121</v>
      </c>
      <c r="J78">
        <v>60</v>
      </c>
      <c r="K78">
        <v>6077</v>
      </c>
      <c r="L78">
        <v>505</v>
      </c>
      <c r="M78">
        <v>4.7</v>
      </c>
      <c r="N78">
        <v>138</v>
      </c>
      <c r="O78">
        <v>7.5</v>
      </c>
      <c r="P78">
        <v>1.2</v>
      </c>
      <c r="Q78">
        <v>34.700000000000003</v>
      </c>
      <c r="R78">
        <v>0.4</v>
      </c>
      <c r="S78">
        <v>87.6</v>
      </c>
      <c r="T78">
        <v>12.1</v>
      </c>
      <c r="U78">
        <v>0</v>
      </c>
      <c r="V78">
        <v>0.2</v>
      </c>
      <c r="W78">
        <v>30.4</v>
      </c>
      <c r="X78">
        <v>4.2</v>
      </c>
      <c r="Y78">
        <v>0</v>
      </c>
    </row>
    <row r="79" spans="1:26" x14ac:dyDescent="0.25">
      <c r="A79">
        <v>78</v>
      </c>
      <c r="B79" t="s">
        <v>22</v>
      </c>
      <c r="C79" t="s">
        <v>16</v>
      </c>
      <c r="D79">
        <v>37</v>
      </c>
      <c r="E79">
        <v>48</v>
      </c>
      <c r="F79">
        <v>15</v>
      </c>
      <c r="G79" t="s">
        <v>87</v>
      </c>
      <c r="H79">
        <v>7.8</v>
      </c>
      <c r="I79">
        <v>118</v>
      </c>
      <c r="J79">
        <v>53</v>
      </c>
      <c r="K79">
        <v>7652</v>
      </c>
      <c r="L79">
        <v>505</v>
      </c>
      <c r="M79">
        <v>5.0999999999999996</v>
      </c>
      <c r="N79">
        <v>146</v>
      </c>
      <c r="O79">
        <v>9.6999999999999993</v>
      </c>
      <c r="P79">
        <v>1</v>
      </c>
      <c r="Q79">
        <v>42.6</v>
      </c>
      <c r="R79">
        <v>0.3</v>
      </c>
      <c r="S79">
        <v>89.8</v>
      </c>
      <c r="T79">
        <v>9.9</v>
      </c>
      <c r="U79">
        <v>0</v>
      </c>
      <c r="V79">
        <v>0.1</v>
      </c>
      <c r="W79">
        <v>38.299999999999997</v>
      </c>
      <c r="X79">
        <v>4.2</v>
      </c>
      <c r="Y79">
        <v>0</v>
      </c>
      <c r="Z79" t="s">
        <v>81</v>
      </c>
    </row>
    <row r="80" spans="1:26" x14ac:dyDescent="0.25">
      <c r="A80">
        <v>79</v>
      </c>
      <c r="B80" t="s">
        <v>22</v>
      </c>
      <c r="C80" t="s">
        <v>8</v>
      </c>
      <c r="D80">
        <v>41</v>
      </c>
      <c r="E80">
        <v>42</v>
      </c>
      <c r="F80">
        <v>17</v>
      </c>
      <c r="G80" t="s">
        <v>87</v>
      </c>
      <c r="H80">
        <v>7.7</v>
      </c>
      <c r="I80">
        <v>101</v>
      </c>
      <c r="J80">
        <v>76</v>
      </c>
      <c r="K80">
        <v>7797</v>
      </c>
      <c r="L80">
        <v>471</v>
      </c>
      <c r="M80">
        <v>5.0999999999999996</v>
      </c>
      <c r="N80">
        <v>146</v>
      </c>
      <c r="O80">
        <v>23.1</v>
      </c>
      <c r="P80">
        <v>1</v>
      </c>
      <c r="Q80">
        <v>43.1</v>
      </c>
      <c r="R80">
        <v>0.5</v>
      </c>
      <c r="S80">
        <v>90.5</v>
      </c>
      <c r="T80">
        <v>9.1</v>
      </c>
      <c r="U80">
        <v>0</v>
      </c>
      <c r="V80">
        <v>0.2</v>
      </c>
      <c r="W80">
        <v>39</v>
      </c>
      <c r="X80">
        <v>3.9</v>
      </c>
      <c r="Y80">
        <v>0</v>
      </c>
      <c r="Z80" t="s">
        <v>81</v>
      </c>
    </row>
    <row r="81" spans="1:25" x14ac:dyDescent="0.25">
      <c r="A81">
        <v>80</v>
      </c>
      <c r="B81" t="s">
        <v>18</v>
      </c>
      <c r="C81" t="s">
        <v>19</v>
      </c>
      <c r="D81">
        <v>39</v>
      </c>
      <c r="E81">
        <v>44</v>
      </c>
      <c r="F81">
        <v>17</v>
      </c>
      <c r="G81" t="s">
        <v>87</v>
      </c>
      <c r="H81">
        <v>7.7</v>
      </c>
      <c r="I81">
        <v>121</v>
      </c>
      <c r="J81">
        <v>57</v>
      </c>
      <c r="K81">
        <v>6301</v>
      </c>
      <c r="L81">
        <v>558</v>
      </c>
      <c r="M81">
        <v>5.0999999999999996</v>
      </c>
      <c r="N81">
        <v>146</v>
      </c>
      <c r="O81">
        <v>6.3</v>
      </c>
      <c r="P81">
        <v>1</v>
      </c>
      <c r="Q81">
        <v>36.299999999999997</v>
      </c>
      <c r="R81">
        <v>0.4</v>
      </c>
      <c r="S81">
        <v>86.8</v>
      </c>
      <c r="T81">
        <v>12.8</v>
      </c>
      <c r="U81">
        <v>0</v>
      </c>
      <c r="V81">
        <v>0.1</v>
      </c>
      <c r="W81">
        <v>31.5</v>
      </c>
      <c r="X81">
        <v>4.7</v>
      </c>
      <c r="Y81">
        <v>0</v>
      </c>
    </row>
    <row r="82" spans="1:25" x14ac:dyDescent="0.25">
      <c r="A82">
        <v>81</v>
      </c>
      <c r="B82" t="s">
        <v>10</v>
      </c>
      <c r="C82" t="s">
        <v>11</v>
      </c>
      <c r="D82">
        <v>39</v>
      </c>
      <c r="E82">
        <v>42</v>
      </c>
      <c r="F82">
        <v>19</v>
      </c>
      <c r="G82" t="s">
        <v>87</v>
      </c>
      <c r="H82">
        <v>7.9</v>
      </c>
      <c r="I82">
        <v>112</v>
      </c>
      <c r="J82">
        <v>49</v>
      </c>
      <c r="K82">
        <v>6004</v>
      </c>
      <c r="L82">
        <v>525</v>
      </c>
      <c r="M82">
        <v>6.3</v>
      </c>
      <c r="N82">
        <v>170</v>
      </c>
      <c r="O82">
        <v>6.4</v>
      </c>
      <c r="P82">
        <v>1</v>
      </c>
      <c r="Q82">
        <v>34.5</v>
      </c>
      <c r="R82">
        <v>0.4</v>
      </c>
      <c r="S82">
        <v>87</v>
      </c>
      <c r="T82">
        <v>12.7</v>
      </c>
      <c r="U82">
        <v>0</v>
      </c>
      <c r="V82">
        <v>0.1</v>
      </c>
      <c r="W82">
        <v>30</v>
      </c>
      <c r="X82">
        <v>4.4000000000000004</v>
      </c>
      <c r="Y82">
        <v>0</v>
      </c>
    </row>
    <row r="83" spans="1:25" x14ac:dyDescent="0.25">
      <c r="A83">
        <v>82</v>
      </c>
      <c r="B83" t="s">
        <v>10</v>
      </c>
      <c r="C83" t="s">
        <v>15</v>
      </c>
      <c r="D83">
        <v>39</v>
      </c>
      <c r="E83">
        <v>40</v>
      </c>
      <c r="F83">
        <v>21</v>
      </c>
      <c r="G83" t="s">
        <v>87</v>
      </c>
      <c r="H83">
        <v>7.6</v>
      </c>
      <c r="I83">
        <v>115</v>
      </c>
      <c r="J83">
        <v>53</v>
      </c>
      <c r="K83">
        <v>5867</v>
      </c>
      <c r="L83">
        <v>543</v>
      </c>
      <c r="M83">
        <v>5.6</v>
      </c>
      <c r="N83">
        <v>156</v>
      </c>
      <c r="O83">
        <v>6.7</v>
      </c>
      <c r="P83">
        <v>1</v>
      </c>
      <c r="Q83">
        <v>34</v>
      </c>
      <c r="R83">
        <v>0.4</v>
      </c>
      <c r="S83">
        <v>86.3</v>
      </c>
      <c r="T83">
        <v>13.3</v>
      </c>
      <c r="U83">
        <v>0</v>
      </c>
      <c r="V83">
        <v>0.1</v>
      </c>
      <c r="W83">
        <v>29.3</v>
      </c>
      <c r="X83">
        <v>4.5</v>
      </c>
      <c r="Y83">
        <v>0</v>
      </c>
    </row>
    <row r="84" spans="1:25" x14ac:dyDescent="0.25">
      <c r="A84">
        <v>83</v>
      </c>
      <c r="B84" t="s">
        <v>21</v>
      </c>
      <c r="C84" t="s">
        <v>19</v>
      </c>
      <c r="D84">
        <v>43</v>
      </c>
      <c r="E84">
        <v>38</v>
      </c>
      <c r="F84">
        <v>19</v>
      </c>
      <c r="G84" t="s">
        <v>87</v>
      </c>
      <c r="H84">
        <v>7.8</v>
      </c>
      <c r="I84">
        <v>123</v>
      </c>
      <c r="J84">
        <v>50</v>
      </c>
      <c r="K84">
        <v>6008</v>
      </c>
      <c r="L84">
        <v>541</v>
      </c>
      <c r="M84">
        <v>5.5</v>
      </c>
      <c r="N84">
        <v>154</v>
      </c>
      <c r="O84">
        <v>4.5999999999999996</v>
      </c>
      <c r="P84">
        <v>1</v>
      </c>
      <c r="Q84">
        <v>34.700000000000003</v>
      </c>
      <c r="R84">
        <v>0.4</v>
      </c>
      <c r="S84">
        <v>86.6</v>
      </c>
      <c r="T84">
        <v>13</v>
      </c>
      <c r="U84">
        <v>0</v>
      </c>
      <c r="V84">
        <v>0.1</v>
      </c>
      <c r="W84">
        <v>30</v>
      </c>
      <c r="X84">
        <v>4.5</v>
      </c>
      <c r="Y84">
        <v>0</v>
      </c>
    </row>
    <row r="85" spans="1:25" x14ac:dyDescent="0.25">
      <c r="A85">
        <v>84</v>
      </c>
      <c r="B85" t="s">
        <v>10</v>
      </c>
      <c r="C85" t="s">
        <v>8</v>
      </c>
      <c r="D85">
        <v>39</v>
      </c>
      <c r="E85">
        <v>44</v>
      </c>
      <c r="F85">
        <v>17</v>
      </c>
      <c r="G85" t="s">
        <v>87</v>
      </c>
      <c r="H85">
        <v>7.5</v>
      </c>
      <c r="I85">
        <v>129</v>
      </c>
      <c r="J85">
        <v>66</v>
      </c>
      <c r="K85">
        <v>6146</v>
      </c>
      <c r="L85">
        <v>594</v>
      </c>
      <c r="M85">
        <v>5.3</v>
      </c>
      <c r="N85">
        <v>150</v>
      </c>
      <c r="O85">
        <v>6.7</v>
      </c>
      <c r="P85">
        <v>1.2</v>
      </c>
      <c r="Q85">
        <v>35.799999999999997</v>
      </c>
      <c r="R85">
        <v>0.5</v>
      </c>
      <c r="S85">
        <v>85.8</v>
      </c>
      <c r="T85">
        <v>13.8</v>
      </c>
      <c r="U85">
        <v>0</v>
      </c>
      <c r="V85">
        <v>0.2</v>
      </c>
      <c r="W85">
        <v>30.7</v>
      </c>
      <c r="X85">
        <v>5</v>
      </c>
      <c r="Y85">
        <v>0</v>
      </c>
    </row>
    <row r="86" spans="1:25" x14ac:dyDescent="0.25">
      <c r="A86">
        <v>85</v>
      </c>
      <c r="B86" t="s">
        <v>7</v>
      </c>
      <c r="C86" t="s">
        <v>8</v>
      </c>
      <c r="D86">
        <v>41</v>
      </c>
      <c r="E86">
        <v>44</v>
      </c>
      <c r="F86">
        <v>15</v>
      </c>
      <c r="G86" t="s">
        <v>87</v>
      </c>
      <c r="H86">
        <v>7.8</v>
      </c>
      <c r="I86">
        <v>108</v>
      </c>
      <c r="J86">
        <v>55</v>
      </c>
      <c r="K86">
        <v>6739</v>
      </c>
      <c r="L86">
        <v>521</v>
      </c>
      <c r="M86">
        <v>5.2</v>
      </c>
      <c r="N86">
        <v>148</v>
      </c>
      <c r="O86">
        <v>9.1</v>
      </c>
      <c r="P86">
        <v>1</v>
      </c>
      <c r="Q86">
        <v>38.200000000000003</v>
      </c>
      <c r="R86">
        <v>0.4</v>
      </c>
      <c r="S86">
        <v>88.2</v>
      </c>
      <c r="T86">
        <v>11.4</v>
      </c>
      <c r="U86">
        <v>0</v>
      </c>
      <c r="V86">
        <v>0.1</v>
      </c>
      <c r="W86">
        <v>33.700000000000003</v>
      </c>
      <c r="X86">
        <v>4.3</v>
      </c>
      <c r="Y86">
        <v>0</v>
      </c>
    </row>
    <row r="87" spans="1:25" x14ac:dyDescent="0.25">
      <c r="A87">
        <v>86</v>
      </c>
      <c r="B87" t="s">
        <v>17</v>
      </c>
      <c r="C87" t="s">
        <v>8</v>
      </c>
      <c r="D87">
        <v>37</v>
      </c>
      <c r="E87">
        <v>46</v>
      </c>
      <c r="F87">
        <v>17</v>
      </c>
      <c r="G87" t="s">
        <v>87</v>
      </c>
      <c r="H87">
        <v>7.7</v>
      </c>
      <c r="I87">
        <v>103</v>
      </c>
      <c r="J87">
        <v>52</v>
      </c>
      <c r="K87">
        <v>6239</v>
      </c>
      <c r="L87">
        <v>485</v>
      </c>
      <c r="M87">
        <v>5.3</v>
      </c>
      <c r="N87">
        <v>150</v>
      </c>
      <c r="O87">
        <v>8.1</v>
      </c>
      <c r="P87">
        <v>1</v>
      </c>
      <c r="Q87">
        <v>35.4</v>
      </c>
      <c r="R87">
        <v>0.4</v>
      </c>
      <c r="S87">
        <v>88.1</v>
      </c>
      <c r="T87">
        <v>11.4</v>
      </c>
      <c r="U87">
        <v>0</v>
      </c>
      <c r="V87">
        <v>0.1</v>
      </c>
      <c r="W87">
        <v>31.2</v>
      </c>
      <c r="X87">
        <v>4</v>
      </c>
      <c r="Y87">
        <v>0</v>
      </c>
    </row>
    <row r="88" spans="1:25" x14ac:dyDescent="0.25">
      <c r="A88">
        <v>87</v>
      </c>
      <c r="B88" t="s">
        <v>29</v>
      </c>
      <c r="C88" t="s">
        <v>19</v>
      </c>
      <c r="D88">
        <v>39</v>
      </c>
      <c r="E88">
        <v>44</v>
      </c>
      <c r="F88">
        <v>17</v>
      </c>
      <c r="G88" t="s">
        <v>87</v>
      </c>
      <c r="H88">
        <v>7.9</v>
      </c>
      <c r="I88">
        <v>119</v>
      </c>
      <c r="J88">
        <v>52</v>
      </c>
      <c r="K88">
        <v>6179</v>
      </c>
      <c r="L88">
        <v>527</v>
      </c>
      <c r="M88">
        <v>5.3</v>
      </c>
      <c r="N88">
        <v>150</v>
      </c>
      <c r="O88">
        <v>5.6</v>
      </c>
      <c r="P88">
        <v>1</v>
      </c>
      <c r="Q88">
        <v>35.4</v>
      </c>
      <c r="R88">
        <v>0.4</v>
      </c>
      <c r="S88">
        <v>87.3</v>
      </c>
      <c r="T88">
        <v>12.4</v>
      </c>
      <c r="U88">
        <v>0</v>
      </c>
      <c r="V88">
        <v>0.1</v>
      </c>
      <c r="W88">
        <v>30.9</v>
      </c>
      <c r="X88">
        <v>4.4000000000000004</v>
      </c>
      <c r="Y88">
        <v>0</v>
      </c>
    </row>
    <row r="89" spans="1:25" x14ac:dyDescent="0.25">
      <c r="A89">
        <v>88</v>
      </c>
      <c r="B89" t="s">
        <v>24</v>
      </c>
      <c r="C89" t="s">
        <v>19</v>
      </c>
      <c r="D89">
        <v>41</v>
      </c>
      <c r="E89">
        <v>40</v>
      </c>
      <c r="F89">
        <v>19</v>
      </c>
      <c r="G89" t="s">
        <v>87</v>
      </c>
      <c r="H89">
        <v>7.5</v>
      </c>
      <c r="I89">
        <v>111</v>
      </c>
      <c r="J89">
        <v>57</v>
      </c>
      <c r="K89">
        <v>6420</v>
      </c>
      <c r="L89">
        <v>572</v>
      </c>
      <c r="M89">
        <v>5.6</v>
      </c>
      <c r="N89">
        <v>156</v>
      </c>
      <c r="O89">
        <v>10.7</v>
      </c>
      <c r="P89">
        <v>1</v>
      </c>
      <c r="Q89">
        <v>37</v>
      </c>
      <c r="R89">
        <v>0.4</v>
      </c>
      <c r="S89">
        <v>86.8</v>
      </c>
      <c r="T89">
        <v>12.9</v>
      </c>
      <c r="U89">
        <v>0</v>
      </c>
      <c r="V89">
        <v>0.1</v>
      </c>
      <c r="W89">
        <v>32.1</v>
      </c>
      <c r="X89">
        <v>4.8</v>
      </c>
      <c r="Y89">
        <v>0</v>
      </c>
    </row>
    <row r="90" spans="1:25" x14ac:dyDescent="0.25">
      <c r="A90">
        <v>89</v>
      </c>
      <c r="B90" t="s">
        <v>21</v>
      </c>
      <c r="C90" t="s">
        <v>16</v>
      </c>
      <c r="D90">
        <v>43</v>
      </c>
      <c r="E90">
        <v>38</v>
      </c>
      <c r="F90">
        <v>19</v>
      </c>
      <c r="G90" t="s">
        <v>87</v>
      </c>
      <c r="H90">
        <v>7.8</v>
      </c>
      <c r="I90">
        <v>126</v>
      </c>
      <c r="J90">
        <v>56</v>
      </c>
      <c r="K90">
        <v>6232</v>
      </c>
      <c r="L90">
        <v>553</v>
      </c>
      <c r="M90">
        <v>5.2</v>
      </c>
      <c r="N90">
        <v>148</v>
      </c>
      <c r="O90">
        <v>6.6</v>
      </c>
      <c r="P90">
        <v>1</v>
      </c>
      <c r="Q90">
        <v>35.9</v>
      </c>
      <c r="R90">
        <v>0.4</v>
      </c>
      <c r="S90">
        <v>86.8</v>
      </c>
      <c r="T90">
        <v>12.8</v>
      </c>
      <c r="U90">
        <v>0</v>
      </c>
      <c r="V90">
        <v>0.1</v>
      </c>
      <c r="W90">
        <v>31.2</v>
      </c>
      <c r="X90">
        <v>4.5999999999999996</v>
      </c>
      <c r="Y90">
        <v>0</v>
      </c>
    </row>
    <row r="91" spans="1:25" x14ac:dyDescent="0.25">
      <c r="A91">
        <v>90</v>
      </c>
      <c r="B91" t="s">
        <v>24</v>
      </c>
      <c r="C91" t="s">
        <v>11</v>
      </c>
      <c r="D91">
        <v>47</v>
      </c>
      <c r="E91">
        <v>38</v>
      </c>
      <c r="F91">
        <v>15</v>
      </c>
      <c r="G91" t="s">
        <v>87</v>
      </c>
      <c r="H91">
        <v>7.2</v>
      </c>
      <c r="I91">
        <v>94</v>
      </c>
      <c r="J91">
        <v>73</v>
      </c>
      <c r="K91">
        <v>6476</v>
      </c>
      <c r="L91">
        <v>578</v>
      </c>
      <c r="M91">
        <v>6.5</v>
      </c>
      <c r="N91">
        <v>174</v>
      </c>
      <c r="O91">
        <v>14.3</v>
      </c>
      <c r="P91">
        <v>1.2</v>
      </c>
      <c r="Q91">
        <v>37.5</v>
      </c>
      <c r="R91">
        <v>0.5</v>
      </c>
      <c r="S91">
        <v>86.3</v>
      </c>
      <c r="T91">
        <v>12.8</v>
      </c>
      <c r="U91">
        <v>0.3</v>
      </c>
      <c r="V91">
        <v>0.2</v>
      </c>
      <c r="W91">
        <v>32.4</v>
      </c>
      <c r="X91">
        <v>4.8</v>
      </c>
      <c r="Y91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F49D-E156-4B7F-A12C-1EECB498F0F9}">
  <dimension ref="A1:V182"/>
  <sheetViews>
    <sheetView topLeftCell="A122" zoomScale="40" zoomScaleNormal="40" workbookViewId="0">
      <pane xSplit="1" topLeftCell="B1" activePane="topRight" state="frozen"/>
      <selection pane="topRight" activeCell="P138" sqref="P138"/>
    </sheetView>
  </sheetViews>
  <sheetFormatPr defaultRowHeight="15" x14ac:dyDescent="0.25"/>
  <cols>
    <col min="1" max="1" width="12.42578125" customWidth="1"/>
    <col min="2" max="2" width="4.28515625" bestFit="1" customWidth="1"/>
    <col min="3" max="3" width="8.7109375" customWidth="1"/>
    <col min="4" max="4" width="16.28515625" customWidth="1"/>
    <col min="5" max="5" width="16.5703125" bestFit="1" customWidth="1"/>
    <col min="6" max="6" width="21.5703125" customWidth="1"/>
    <col min="7" max="7" width="21.7109375" customWidth="1"/>
    <col min="8" max="8" width="16.140625" customWidth="1"/>
    <col min="9" max="9" width="20" customWidth="1"/>
    <col min="10" max="10" width="15.140625" customWidth="1"/>
    <col min="11" max="11" width="20.85546875" customWidth="1"/>
    <col min="12" max="12" width="14.42578125" customWidth="1"/>
    <col min="13" max="13" width="11.5703125" customWidth="1"/>
    <col min="14" max="14" width="16.42578125" customWidth="1"/>
    <col min="15" max="15" width="16.140625" customWidth="1"/>
    <col min="16" max="16" width="22" customWidth="1"/>
    <col min="17" max="17" width="21.42578125" customWidth="1"/>
    <col min="18" max="18" width="17.140625" customWidth="1"/>
    <col min="19" max="19" width="14.5703125" customWidth="1"/>
    <col min="20" max="20" width="19.7109375" customWidth="1"/>
    <col min="21" max="21" width="23.7109375" customWidth="1"/>
  </cols>
  <sheetData>
    <row r="1" spans="1:22" ht="45" x14ac:dyDescent="0.25">
      <c r="A1" s="3" t="s">
        <v>9</v>
      </c>
      <c r="B1" s="3" t="s">
        <v>3</v>
      </c>
      <c r="C1" s="3" t="s">
        <v>0</v>
      </c>
      <c r="D1" s="3" t="s">
        <v>1</v>
      </c>
      <c r="E1" s="3" t="s">
        <v>4</v>
      </c>
      <c r="F1" s="3" t="s">
        <v>45</v>
      </c>
      <c r="G1" s="3" t="s">
        <v>46</v>
      </c>
      <c r="H1" s="3" t="s">
        <v>2</v>
      </c>
      <c r="I1" s="3" t="s">
        <v>47</v>
      </c>
      <c r="J1" s="3" t="s">
        <v>44</v>
      </c>
      <c r="K1" s="3" t="s">
        <v>58</v>
      </c>
      <c r="L1" s="3" t="s">
        <v>48</v>
      </c>
      <c r="M1" s="3" t="s">
        <v>54</v>
      </c>
      <c r="N1" s="5" t="s">
        <v>49</v>
      </c>
      <c r="O1" s="3" t="s">
        <v>50</v>
      </c>
      <c r="P1" s="3" t="s">
        <v>51</v>
      </c>
      <c r="Q1" s="5" t="s">
        <v>52</v>
      </c>
      <c r="R1" s="3" t="s">
        <v>53</v>
      </c>
      <c r="S1" s="3" t="s">
        <v>55</v>
      </c>
      <c r="T1" s="3" t="s">
        <v>57</v>
      </c>
      <c r="U1" s="5" t="s">
        <v>56</v>
      </c>
      <c r="V1" s="5" t="s">
        <v>59</v>
      </c>
    </row>
    <row r="2" spans="1:22" x14ac:dyDescent="0.25">
      <c r="A2" s="2">
        <v>45090</v>
      </c>
      <c r="B2" t="s">
        <v>6</v>
      </c>
      <c r="C2" t="s">
        <v>16</v>
      </c>
      <c r="D2" t="s">
        <v>13</v>
      </c>
      <c r="E2" s="4">
        <v>12.85</v>
      </c>
      <c r="F2" s="4">
        <v>332.83</v>
      </c>
      <c r="G2" s="4">
        <v>263.43</v>
      </c>
      <c r="H2" s="4">
        <f>F2-G2</f>
        <v>69.399999999999977</v>
      </c>
      <c r="I2" s="4">
        <f>G2-E2</f>
        <v>250.58</v>
      </c>
      <c r="J2" s="7"/>
      <c r="K2" s="7"/>
      <c r="L2">
        <f>K2-J2</f>
        <v>0</v>
      </c>
      <c r="M2" s="4">
        <f>I2-L2</f>
        <v>250.58</v>
      </c>
      <c r="P2">
        <f>O2-N2</f>
        <v>0</v>
      </c>
      <c r="Q2" s="4">
        <f>15*PI()*(5.2/2)^2</f>
        <v>318.55749507400503</v>
      </c>
      <c r="R2" s="4">
        <f>Q2-P2</f>
        <v>318.55749507400503</v>
      </c>
      <c r="S2" s="6">
        <f>H2/M2</f>
        <v>0.27695745869582555</v>
      </c>
      <c r="T2" s="6">
        <f>H2/R2</f>
        <v>0.21785706214156869</v>
      </c>
      <c r="U2" s="6">
        <f>M2/R2</f>
        <v>0.78660839526562398</v>
      </c>
    </row>
    <row r="3" spans="1:22" x14ac:dyDescent="0.25">
      <c r="A3" s="2">
        <v>41438</v>
      </c>
      <c r="B3" t="s">
        <v>6</v>
      </c>
      <c r="C3" t="s">
        <v>16</v>
      </c>
      <c r="D3" t="s">
        <v>12</v>
      </c>
      <c r="E3" s="4">
        <v>12.85</v>
      </c>
      <c r="F3" s="4">
        <v>496.09</v>
      </c>
      <c r="G3" s="4">
        <v>385.36</v>
      </c>
      <c r="H3" s="4">
        <f t="shared" ref="H3:H66" si="0">F3-G3</f>
        <v>110.72999999999996</v>
      </c>
      <c r="I3" s="4">
        <f t="shared" ref="I3:I66" si="1">G3-E3</f>
        <v>372.51</v>
      </c>
      <c r="J3" s="7">
        <v>2.2162000000000002</v>
      </c>
      <c r="K3" s="7">
        <v>2.4706999999999999</v>
      </c>
      <c r="L3">
        <f t="shared" ref="L3:L66" si="2">K3-J3</f>
        <v>0.25449999999999973</v>
      </c>
      <c r="M3" s="4">
        <f t="shared" ref="M3:M66" si="3">I3-L3</f>
        <v>372.25549999999998</v>
      </c>
      <c r="N3">
        <v>15</v>
      </c>
      <c r="O3">
        <v>15.8</v>
      </c>
      <c r="P3">
        <f t="shared" ref="P3:P66" si="4">O3-N3</f>
        <v>0.80000000000000071</v>
      </c>
      <c r="Q3" s="4">
        <f t="shared" ref="Q3:Q66" si="5">15*PI()*(5.2/2)^2</f>
        <v>318.55749507400503</v>
      </c>
      <c r="R3" s="4">
        <f t="shared" ref="R3:R66" si="6">Q3-P3</f>
        <v>317.75749507400502</v>
      </c>
      <c r="S3" s="6">
        <f t="shared" ref="S3:S66" si="7">H3/M3</f>
        <v>0.29745698854684477</v>
      </c>
      <c r="T3" s="6">
        <f t="shared" ref="T3:T66" si="8">H3/R3</f>
        <v>0.34847329084782463</v>
      </c>
      <c r="U3" s="6">
        <f t="shared" ref="U3:U66" si="9">M3/R3</f>
        <v>1.1715081650971049</v>
      </c>
    </row>
    <row r="4" spans="1:22" x14ac:dyDescent="0.25">
      <c r="A4" s="2">
        <v>45090</v>
      </c>
      <c r="B4" t="s">
        <v>6</v>
      </c>
      <c r="C4" t="s">
        <v>8</v>
      </c>
      <c r="D4" t="s">
        <v>13</v>
      </c>
      <c r="E4" s="4">
        <v>12.8</v>
      </c>
      <c r="F4" s="4">
        <v>360.78</v>
      </c>
      <c r="G4" s="4">
        <v>277.99</v>
      </c>
      <c r="H4" s="4">
        <f t="shared" si="0"/>
        <v>82.789999999999964</v>
      </c>
      <c r="I4" s="4">
        <f t="shared" si="1"/>
        <v>265.19</v>
      </c>
      <c r="J4" s="7">
        <v>2.2162000000000002</v>
      </c>
      <c r="K4" s="7">
        <v>10.8893</v>
      </c>
      <c r="L4">
        <f t="shared" si="2"/>
        <v>8.6730999999999998</v>
      </c>
      <c r="M4" s="4">
        <f t="shared" si="3"/>
        <v>256.51690000000002</v>
      </c>
      <c r="N4">
        <v>80</v>
      </c>
      <c r="O4">
        <v>83.5</v>
      </c>
      <c r="P4">
        <f t="shared" si="4"/>
        <v>3.5</v>
      </c>
      <c r="Q4" s="4">
        <f t="shared" si="5"/>
        <v>318.55749507400503</v>
      </c>
      <c r="R4" s="4">
        <f t="shared" si="6"/>
        <v>315.05749507400503</v>
      </c>
      <c r="S4" s="6">
        <f t="shared" si="7"/>
        <v>0.32274676639238958</v>
      </c>
      <c r="T4" s="6">
        <f t="shared" si="8"/>
        <v>0.26277743362541844</v>
      </c>
      <c r="U4" s="6">
        <f t="shared" si="9"/>
        <v>0.81419075568967436</v>
      </c>
    </row>
    <row r="5" spans="1:22" x14ac:dyDescent="0.25">
      <c r="A5" s="2">
        <v>45090</v>
      </c>
      <c r="B5" t="s">
        <v>6</v>
      </c>
      <c r="C5" t="s">
        <v>8</v>
      </c>
      <c r="D5" t="s">
        <v>12</v>
      </c>
      <c r="E5" s="4">
        <v>12.83</v>
      </c>
      <c r="F5" s="4">
        <v>495.84</v>
      </c>
      <c r="G5" s="4">
        <v>387.02</v>
      </c>
      <c r="H5" s="4">
        <f t="shared" si="0"/>
        <v>108.82</v>
      </c>
      <c r="I5" s="4">
        <f t="shared" si="1"/>
        <v>374.19</v>
      </c>
      <c r="J5" s="7">
        <v>2.2162000000000002</v>
      </c>
      <c r="K5" s="7">
        <v>2.2412999999999998</v>
      </c>
      <c r="L5">
        <f t="shared" si="2"/>
        <v>2.5099999999999678E-2</v>
      </c>
      <c r="M5" s="4">
        <f t="shared" si="3"/>
        <v>374.16489999999999</v>
      </c>
      <c r="N5">
        <v>15</v>
      </c>
      <c r="O5">
        <v>15.2</v>
      </c>
      <c r="P5">
        <f t="shared" si="4"/>
        <v>0.19999999999999929</v>
      </c>
      <c r="Q5" s="4">
        <f t="shared" si="5"/>
        <v>318.55749507400503</v>
      </c>
      <c r="R5" s="4">
        <f t="shared" si="6"/>
        <v>318.35749507400504</v>
      </c>
      <c r="S5" s="6">
        <f t="shared" si="7"/>
        <v>0.29083433534251873</v>
      </c>
      <c r="T5" s="6">
        <f t="shared" si="8"/>
        <v>0.34181698776937486</v>
      </c>
      <c r="U5" s="6">
        <f t="shared" si="9"/>
        <v>1.1752979144185753</v>
      </c>
    </row>
    <row r="6" spans="1:22" x14ac:dyDescent="0.25">
      <c r="A6" s="2">
        <v>45090</v>
      </c>
      <c r="B6" t="s">
        <v>6</v>
      </c>
      <c r="C6" t="s">
        <v>15</v>
      </c>
      <c r="D6" t="s">
        <v>13</v>
      </c>
      <c r="E6" s="4">
        <v>12.85</v>
      </c>
      <c r="F6" s="4">
        <v>362.05</v>
      </c>
      <c r="G6" s="4">
        <v>281.13</v>
      </c>
      <c r="H6" s="4">
        <f t="shared" si="0"/>
        <v>80.920000000000016</v>
      </c>
      <c r="I6" s="4">
        <f t="shared" si="1"/>
        <v>268.27999999999997</v>
      </c>
      <c r="J6" s="7">
        <v>2.2162000000000002</v>
      </c>
      <c r="K6" s="7">
        <v>3.0034999999999998</v>
      </c>
      <c r="L6">
        <f t="shared" si="2"/>
        <v>0.78729999999999967</v>
      </c>
      <c r="M6" s="4">
        <f t="shared" si="3"/>
        <v>267.49269999999996</v>
      </c>
      <c r="N6">
        <v>80</v>
      </c>
      <c r="O6">
        <v>81.5</v>
      </c>
      <c r="P6">
        <f t="shared" si="4"/>
        <v>1.5</v>
      </c>
      <c r="Q6" s="4">
        <f t="shared" si="5"/>
        <v>318.55749507400503</v>
      </c>
      <c r="R6" s="4">
        <f t="shared" si="6"/>
        <v>317.05749507400503</v>
      </c>
      <c r="S6" s="6">
        <f t="shared" si="7"/>
        <v>0.30251292839019545</v>
      </c>
      <c r="T6" s="6">
        <f t="shared" si="8"/>
        <v>0.2552218485833691</v>
      </c>
      <c r="U6" s="6">
        <f t="shared" si="9"/>
        <v>0.8436725330765763</v>
      </c>
    </row>
    <row r="7" spans="1:22" x14ac:dyDescent="0.25">
      <c r="A7" s="2">
        <v>45090</v>
      </c>
      <c r="B7" t="s">
        <v>6</v>
      </c>
      <c r="C7" t="s">
        <v>15</v>
      </c>
      <c r="D7" t="s">
        <v>12</v>
      </c>
      <c r="E7" s="4">
        <v>12.91</v>
      </c>
      <c r="F7" s="4">
        <v>475.4</v>
      </c>
      <c r="G7" s="4">
        <v>376.66</v>
      </c>
      <c r="H7" s="4">
        <f t="shared" si="0"/>
        <v>98.739999999999952</v>
      </c>
      <c r="I7" s="4">
        <f t="shared" si="1"/>
        <v>363.75</v>
      </c>
      <c r="J7" s="7">
        <v>2.2162000000000002</v>
      </c>
      <c r="K7" s="7">
        <v>2.2408000000000001</v>
      </c>
      <c r="L7">
        <f t="shared" si="2"/>
        <v>2.4599999999999955E-2</v>
      </c>
      <c r="M7" s="4">
        <f t="shared" si="3"/>
        <v>363.72539999999998</v>
      </c>
      <c r="N7">
        <v>15</v>
      </c>
      <c r="O7">
        <v>15.1</v>
      </c>
      <c r="P7">
        <f t="shared" si="4"/>
        <v>9.9999999999999645E-2</v>
      </c>
      <c r="Q7" s="4">
        <f t="shared" si="5"/>
        <v>318.55749507400503</v>
      </c>
      <c r="R7" s="4">
        <f t="shared" si="6"/>
        <v>318.45749507400501</v>
      </c>
      <c r="S7" s="6">
        <f t="shared" si="7"/>
        <v>0.27146853093020162</v>
      </c>
      <c r="T7" s="6">
        <f t="shared" si="8"/>
        <v>0.31005707677583211</v>
      </c>
      <c r="U7" s="6">
        <f t="shared" si="9"/>
        <v>1.1421473999708356</v>
      </c>
    </row>
    <row r="8" spans="1:22" x14ac:dyDescent="0.25">
      <c r="A8" s="2">
        <v>45090</v>
      </c>
      <c r="B8" t="s">
        <v>6</v>
      </c>
      <c r="C8" t="s">
        <v>11</v>
      </c>
      <c r="D8" t="s">
        <v>13</v>
      </c>
      <c r="E8" s="4">
        <v>13.39</v>
      </c>
      <c r="F8" s="4">
        <v>367.11</v>
      </c>
      <c r="G8" s="4">
        <v>282.58</v>
      </c>
      <c r="H8" s="4">
        <f t="shared" si="0"/>
        <v>84.53000000000003</v>
      </c>
      <c r="I8" s="4">
        <f t="shared" si="1"/>
        <v>269.19</v>
      </c>
      <c r="J8" s="7">
        <v>2.2162000000000002</v>
      </c>
      <c r="K8" s="7">
        <v>2.2321</v>
      </c>
      <c r="L8">
        <f t="shared" si="2"/>
        <v>1.5899999999999803E-2</v>
      </c>
      <c r="M8" s="4">
        <f t="shared" si="3"/>
        <v>269.17410000000001</v>
      </c>
      <c r="N8">
        <v>15</v>
      </c>
      <c r="O8">
        <v>15.1</v>
      </c>
      <c r="P8">
        <f t="shared" si="4"/>
        <v>9.9999999999999645E-2</v>
      </c>
      <c r="Q8" s="4">
        <f t="shared" si="5"/>
        <v>318.55749507400503</v>
      </c>
      <c r="R8" s="4">
        <f t="shared" si="6"/>
        <v>318.45749507400501</v>
      </c>
      <c r="S8" s="6">
        <f t="shared" si="7"/>
        <v>0.31403467124065809</v>
      </c>
      <c r="T8" s="6">
        <f t="shared" si="8"/>
        <v>0.26543573728844555</v>
      </c>
      <c r="U8" s="6">
        <f t="shared" si="9"/>
        <v>0.84524341290019811</v>
      </c>
    </row>
    <row r="9" spans="1:22" x14ac:dyDescent="0.25">
      <c r="A9" s="2">
        <v>45090</v>
      </c>
      <c r="B9" t="s">
        <v>6</v>
      </c>
      <c r="C9" t="s">
        <v>11</v>
      </c>
      <c r="D9" t="s">
        <v>12</v>
      </c>
      <c r="E9" s="4">
        <v>12.94</v>
      </c>
      <c r="F9" s="4">
        <v>438.26</v>
      </c>
      <c r="G9" s="4">
        <v>349.94</v>
      </c>
      <c r="H9" s="4">
        <f t="shared" si="0"/>
        <v>88.32</v>
      </c>
      <c r="I9" s="4">
        <f t="shared" si="1"/>
        <v>337</v>
      </c>
      <c r="J9" s="7">
        <v>2.2162000000000002</v>
      </c>
      <c r="K9" s="7">
        <v>2.2315999999999998</v>
      </c>
      <c r="L9">
        <f t="shared" si="2"/>
        <v>1.5399999999999636E-2</v>
      </c>
      <c r="M9" s="4">
        <f t="shared" si="3"/>
        <v>336.9846</v>
      </c>
      <c r="N9">
        <v>15</v>
      </c>
      <c r="O9">
        <v>15.1</v>
      </c>
      <c r="P9">
        <f t="shared" si="4"/>
        <v>9.9999999999999645E-2</v>
      </c>
      <c r="Q9" s="4">
        <f t="shared" si="5"/>
        <v>318.55749507400503</v>
      </c>
      <c r="R9" s="4">
        <f t="shared" si="6"/>
        <v>318.45749507400501</v>
      </c>
      <c r="S9" s="6">
        <f t="shared" si="7"/>
        <v>0.2620891281085248</v>
      </c>
      <c r="T9" s="6">
        <f t="shared" si="8"/>
        <v>0.2773368545760736</v>
      </c>
      <c r="U9" s="6">
        <f t="shared" si="9"/>
        <v>1.0581776381858734</v>
      </c>
    </row>
    <row r="10" spans="1:22" x14ac:dyDescent="0.25">
      <c r="A10" s="2">
        <v>45090</v>
      </c>
      <c r="B10" t="s">
        <v>6</v>
      </c>
      <c r="C10" t="s">
        <v>19</v>
      </c>
      <c r="D10" t="s">
        <v>13</v>
      </c>
      <c r="E10" s="4">
        <v>12.89</v>
      </c>
      <c r="F10" s="4">
        <v>334</v>
      </c>
      <c r="G10" s="4">
        <v>271.14999999999998</v>
      </c>
      <c r="H10" s="4">
        <f t="shared" si="0"/>
        <v>62.850000000000023</v>
      </c>
      <c r="I10" s="4">
        <f t="shared" si="1"/>
        <v>258.26</v>
      </c>
      <c r="J10" s="7">
        <v>2.2162000000000002</v>
      </c>
      <c r="K10" s="7">
        <v>2.6246999999999998</v>
      </c>
      <c r="L10">
        <f t="shared" si="2"/>
        <v>0.40849999999999964</v>
      </c>
      <c r="M10" s="4">
        <f t="shared" si="3"/>
        <v>257.85149999999999</v>
      </c>
      <c r="N10">
        <v>80</v>
      </c>
      <c r="O10">
        <v>81</v>
      </c>
      <c r="P10">
        <f t="shared" si="4"/>
        <v>1</v>
      </c>
      <c r="Q10" s="4">
        <f t="shared" si="5"/>
        <v>318.55749507400503</v>
      </c>
      <c r="R10" s="4">
        <f t="shared" si="6"/>
        <v>317.55749507400503</v>
      </c>
      <c r="S10" s="6">
        <f t="shared" si="7"/>
        <v>0.24374494621904477</v>
      </c>
      <c r="T10" s="6">
        <f t="shared" si="8"/>
        <v>0.19791691575521836</v>
      </c>
      <c r="U10" s="6">
        <f t="shared" si="9"/>
        <v>0.81198366909875364</v>
      </c>
    </row>
    <row r="11" spans="1:22" x14ac:dyDescent="0.25">
      <c r="A11" s="2">
        <v>45090</v>
      </c>
      <c r="B11" t="s">
        <v>6</v>
      </c>
      <c r="C11" t="s">
        <v>19</v>
      </c>
      <c r="D11" t="s">
        <v>12</v>
      </c>
      <c r="E11" s="4">
        <v>12.77</v>
      </c>
      <c r="F11" s="4">
        <v>351.67</v>
      </c>
      <c r="G11" s="4">
        <v>283.73</v>
      </c>
      <c r="H11" s="4">
        <f t="shared" si="0"/>
        <v>67.94</v>
      </c>
      <c r="I11" s="4">
        <f t="shared" si="1"/>
        <v>270.96000000000004</v>
      </c>
      <c r="J11" s="7">
        <v>2.2162000000000002</v>
      </c>
      <c r="K11" s="7">
        <v>11.950200000000001</v>
      </c>
      <c r="L11">
        <f t="shared" si="2"/>
        <v>9.734</v>
      </c>
      <c r="M11" s="4">
        <f t="shared" si="3"/>
        <v>261.22600000000006</v>
      </c>
      <c r="N11">
        <v>180</v>
      </c>
      <c r="O11">
        <v>195</v>
      </c>
      <c r="P11">
        <f t="shared" si="4"/>
        <v>15</v>
      </c>
      <c r="Q11" s="4">
        <f t="shared" si="5"/>
        <v>318.55749507400503</v>
      </c>
      <c r="R11" s="4">
        <f t="shared" si="6"/>
        <v>303.55749507400503</v>
      </c>
      <c r="S11" s="6">
        <f t="shared" si="7"/>
        <v>0.26008130890493281</v>
      </c>
      <c r="T11" s="6">
        <f t="shared" si="8"/>
        <v>0.22381262562282225</v>
      </c>
      <c r="U11" s="6">
        <f t="shared" si="9"/>
        <v>0.86054867443254901</v>
      </c>
    </row>
    <row r="12" spans="1:22" x14ac:dyDescent="0.25">
      <c r="A12" s="2">
        <v>45090</v>
      </c>
      <c r="B12" t="s">
        <v>22</v>
      </c>
      <c r="C12" t="s">
        <v>16</v>
      </c>
      <c r="D12" t="s">
        <v>13</v>
      </c>
      <c r="E12" s="4">
        <v>13.16</v>
      </c>
      <c r="F12" s="4">
        <v>382.64</v>
      </c>
      <c r="G12" s="4">
        <v>315.82</v>
      </c>
      <c r="H12" s="4">
        <f t="shared" si="0"/>
        <v>66.819999999999993</v>
      </c>
      <c r="I12" s="4">
        <f t="shared" si="1"/>
        <v>302.65999999999997</v>
      </c>
      <c r="J12" s="7"/>
      <c r="K12" s="7"/>
      <c r="L12">
        <f t="shared" si="2"/>
        <v>0</v>
      </c>
      <c r="M12" s="4">
        <f t="shared" si="3"/>
        <v>302.65999999999997</v>
      </c>
      <c r="P12">
        <f t="shared" si="4"/>
        <v>0</v>
      </c>
      <c r="Q12" s="4">
        <f t="shared" si="5"/>
        <v>318.55749507400503</v>
      </c>
      <c r="R12" s="4">
        <f t="shared" si="6"/>
        <v>318.55749507400503</v>
      </c>
      <c r="S12" s="6">
        <f t="shared" si="7"/>
        <v>0.22077578801295183</v>
      </c>
      <c r="T12" s="6">
        <f t="shared" si="8"/>
        <v>0.2097580532031646</v>
      </c>
      <c r="U12" s="6">
        <f t="shared" si="9"/>
        <v>0.95009536639434</v>
      </c>
    </row>
    <row r="13" spans="1:22" x14ac:dyDescent="0.25">
      <c r="A13" s="2">
        <v>45090</v>
      </c>
      <c r="B13" t="s">
        <v>22</v>
      </c>
      <c r="C13" t="s">
        <v>16</v>
      </c>
      <c r="D13" t="s">
        <v>12</v>
      </c>
      <c r="E13" s="4">
        <v>12.87</v>
      </c>
      <c r="F13" s="4">
        <v>494.31</v>
      </c>
      <c r="G13" s="4">
        <v>397.95</v>
      </c>
      <c r="H13" s="4">
        <f t="shared" si="0"/>
        <v>96.360000000000014</v>
      </c>
      <c r="I13" s="4">
        <f t="shared" si="1"/>
        <v>385.08</v>
      </c>
      <c r="J13" s="7">
        <v>2.2162000000000002</v>
      </c>
      <c r="K13" s="7">
        <v>2.7753999999999999</v>
      </c>
      <c r="L13">
        <f t="shared" si="2"/>
        <v>0.5591999999999997</v>
      </c>
      <c r="M13" s="4">
        <f t="shared" si="3"/>
        <v>384.52080000000001</v>
      </c>
      <c r="N13">
        <v>80</v>
      </c>
      <c r="O13">
        <v>81.2</v>
      </c>
      <c r="P13">
        <f t="shared" si="4"/>
        <v>1.2000000000000028</v>
      </c>
      <c r="Q13" s="4">
        <f t="shared" si="5"/>
        <v>318.55749507400503</v>
      </c>
      <c r="R13" s="4">
        <f t="shared" si="6"/>
        <v>317.35749507400504</v>
      </c>
      <c r="S13" s="6">
        <f t="shared" si="7"/>
        <v>0.25059762696842408</v>
      </c>
      <c r="T13" s="6">
        <f t="shared" si="8"/>
        <v>0.30363234363672326</v>
      </c>
      <c r="U13" s="6">
        <f t="shared" si="9"/>
        <v>1.2116329564245303</v>
      </c>
    </row>
    <row r="14" spans="1:22" x14ac:dyDescent="0.25">
      <c r="A14" s="2">
        <v>45090</v>
      </c>
      <c r="B14" t="s">
        <v>22</v>
      </c>
      <c r="C14" t="s">
        <v>8</v>
      </c>
      <c r="D14" t="s">
        <v>13</v>
      </c>
      <c r="E14" s="4">
        <v>12.91</v>
      </c>
      <c r="F14" s="4">
        <v>291.97000000000003</v>
      </c>
      <c r="G14" s="4">
        <v>221.38</v>
      </c>
      <c r="H14" s="4">
        <f t="shared" si="0"/>
        <v>70.590000000000032</v>
      </c>
      <c r="I14" s="4">
        <f t="shared" si="1"/>
        <v>208.47</v>
      </c>
      <c r="J14" s="7">
        <v>2.2162000000000002</v>
      </c>
      <c r="K14" s="7">
        <v>2.6642000000000001</v>
      </c>
      <c r="L14">
        <f t="shared" si="2"/>
        <v>0.44799999999999995</v>
      </c>
      <c r="M14" s="4">
        <f t="shared" si="3"/>
        <v>208.02199999999999</v>
      </c>
      <c r="N14">
        <v>80</v>
      </c>
      <c r="O14">
        <v>81</v>
      </c>
      <c r="P14">
        <f t="shared" si="4"/>
        <v>1</v>
      </c>
      <c r="Q14" s="4">
        <f t="shared" si="5"/>
        <v>318.55749507400503</v>
      </c>
      <c r="R14" s="4">
        <f t="shared" si="6"/>
        <v>317.55749507400503</v>
      </c>
      <c r="S14" s="6">
        <f t="shared" si="7"/>
        <v>0.33933910836353864</v>
      </c>
      <c r="T14" s="6">
        <f t="shared" si="8"/>
        <v>0.22229045478378465</v>
      </c>
      <c r="U14" s="6">
        <f t="shared" si="9"/>
        <v>0.65506877723519519</v>
      </c>
    </row>
    <row r="15" spans="1:22" x14ac:dyDescent="0.25">
      <c r="A15" s="2">
        <v>45090</v>
      </c>
      <c r="B15" t="s">
        <v>22</v>
      </c>
      <c r="C15" t="s">
        <v>8</v>
      </c>
      <c r="D15" t="s">
        <v>12</v>
      </c>
      <c r="E15" s="4">
        <v>13.11</v>
      </c>
      <c r="F15" s="4">
        <v>411.72</v>
      </c>
      <c r="G15" s="4">
        <v>308.52999999999997</v>
      </c>
      <c r="H15" s="4">
        <f t="shared" si="0"/>
        <v>103.19000000000005</v>
      </c>
      <c r="I15" s="4">
        <f t="shared" si="1"/>
        <v>295.41999999999996</v>
      </c>
      <c r="J15" s="7">
        <v>2.2162000000000002</v>
      </c>
      <c r="K15" s="7">
        <v>2.3443000000000001</v>
      </c>
      <c r="L15">
        <f t="shared" si="2"/>
        <v>0.12809999999999988</v>
      </c>
      <c r="M15" s="4">
        <f t="shared" si="3"/>
        <v>295.29189999999994</v>
      </c>
      <c r="N15">
        <v>15</v>
      </c>
      <c r="O15">
        <v>15.6</v>
      </c>
      <c r="P15">
        <f t="shared" si="4"/>
        <v>0.59999999999999964</v>
      </c>
      <c r="Q15" s="4">
        <f t="shared" si="5"/>
        <v>318.55749507400503</v>
      </c>
      <c r="R15" s="4">
        <f t="shared" si="6"/>
        <v>317.95749507400501</v>
      </c>
      <c r="S15" s="6">
        <f t="shared" si="7"/>
        <v>0.34945083153313744</v>
      </c>
      <c r="T15" s="6">
        <f t="shared" si="8"/>
        <v>0.32454023446115793</v>
      </c>
      <c r="U15" s="6">
        <f t="shared" si="9"/>
        <v>0.9287150156069458</v>
      </c>
    </row>
    <row r="16" spans="1:22" x14ac:dyDescent="0.25">
      <c r="A16" s="2">
        <v>45090</v>
      </c>
      <c r="B16" t="s">
        <v>22</v>
      </c>
      <c r="C16" t="s">
        <v>15</v>
      </c>
      <c r="D16" t="s">
        <v>13</v>
      </c>
      <c r="E16" s="4">
        <v>13.48</v>
      </c>
      <c r="F16" s="4">
        <v>355.86</v>
      </c>
      <c r="G16" s="4">
        <v>285.62</v>
      </c>
      <c r="H16" s="4">
        <f t="shared" si="0"/>
        <v>70.240000000000009</v>
      </c>
      <c r="I16" s="4">
        <f t="shared" si="1"/>
        <v>272.14</v>
      </c>
      <c r="J16" s="7">
        <v>2.2162000000000002</v>
      </c>
      <c r="K16" s="7">
        <v>2.2433999999999998</v>
      </c>
      <c r="L16">
        <f t="shared" si="2"/>
        <v>2.7199999999999669E-2</v>
      </c>
      <c r="M16" s="4">
        <f t="shared" si="3"/>
        <v>272.11279999999999</v>
      </c>
      <c r="N16">
        <v>15</v>
      </c>
      <c r="O16">
        <v>15.1</v>
      </c>
      <c r="P16">
        <f t="shared" si="4"/>
        <v>9.9999999999999645E-2</v>
      </c>
      <c r="Q16" s="4">
        <f t="shared" si="5"/>
        <v>318.55749507400503</v>
      </c>
      <c r="R16" s="4">
        <f t="shared" si="6"/>
        <v>318.45749507400501</v>
      </c>
      <c r="S16" s="6">
        <f t="shared" si="7"/>
        <v>0.25812824681529134</v>
      </c>
      <c r="T16" s="6">
        <f t="shared" si="8"/>
        <v>0.22056318688205856</v>
      </c>
      <c r="U16" s="6">
        <f t="shared" si="9"/>
        <v>0.85447133199601677</v>
      </c>
    </row>
    <row r="17" spans="1:21" x14ac:dyDescent="0.25">
      <c r="A17" s="2">
        <v>45090</v>
      </c>
      <c r="B17" t="s">
        <v>22</v>
      </c>
      <c r="C17" t="s">
        <v>15</v>
      </c>
      <c r="D17" t="s">
        <v>12</v>
      </c>
      <c r="E17" s="4">
        <v>12.87</v>
      </c>
      <c r="F17" s="4">
        <v>462.07</v>
      </c>
      <c r="G17" s="4">
        <v>367.67</v>
      </c>
      <c r="H17" s="4">
        <f t="shared" si="0"/>
        <v>94.399999999999977</v>
      </c>
      <c r="I17" s="4">
        <f t="shared" si="1"/>
        <v>354.8</v>
      </c>
      <c r="J17" s="7">
        <v>2.2162000000000002</v>
      </c>
      <c r="K17" s="7">
        <v>2.3166000000000002</v>
      </c>
      <c r="L17">
        <f t="shared" si="2"/>
        <v>0.10040000000000004</v>
      </c>
      <c r="M17" s="4">
        <f t="shared" si="3"/>
        <v>354.69960000000003</v>
      </c>
      <c r="N17">
        <v>80</v>
      </c>
      <c r="O17">
        <v>80.2</v>
      </c>
      <c r="P17">
        <f t="shared" si="4"/>
        <v>0.20000000000000284</v>
      </c>
      <c r="Q17" s="4">
        <f t="shared" si="5"/>
        <v>318.55749507400503</v>
      </c>
      <c r="R17" s="4">
        <f t="shared" si="6"/>
        <v>318.35749507400504</v>
      </c>
      <c r="S17" s="6">
        <f t="shared" si="7"/>
        <v>0.26614070046879096</v>
      </c>
      <c r="T17" s="6">
        <f t="shared" si="8"/>
        <v>0.29652199637409465</v>
      </c>
      <c r="U17" s="6">
        <f t="shared" si="9"/>
        <v>1.1141550159437803</v>
      </c>
    </row>
    <row r="18" spans="1:21" x14ac:dyDescent="0.25">
      <c r="A18" s="2">
        <v>45090</v>
      </c>
      <c r="B18" t="s">
        <v>22</v>
      </c>
      <c r="C18" t="s">
        <v>11</v>
      </c>
      <c r="D18" t="s">
        <v>13</v>
      </c>
      <c r="E18" s="4">
        <v>12.83</v>
      </c>
      <c r="F18" s="4">
        <v>357.73</v>
      </c>
      <c r="G18" s="4">
        <v>293.64999999999998</v>
      </c>
      <c r="H18" s="4">
        <f t="shared" si="0"/>
        <v>64.080000000000041</v>
      </c>
      <c r="I18" s="4">
        <f t="shared" si="1"/>
        <v>280.82</v>
      </c>
      <c r="J18" s="7">
        <v>2.2162000000000002</v>
      </c>
      <c r="K18" s="7">
        <v>2.3549000000000002</v>
      </c>
      <c r="L18">
        <f t="shared" si="2"/>
        <v>0.13870000000000005</v>
      </c>
      <c r="M18" s="4">
        <f t="shared" si="3"/>
        <v>280.68129999999996</v>
      </c>
      <c r="N18">
        <v>15</v>
      </c>
      <c r="O18">
        <v>15.4</v>
      </c>
      <c r="P18">
        <f t="shared" si="4"/>
        <v>0.40000000000000036</v>
      </c>
      <c r="Q18" s="4">
        <f t="shared" si="5"/>
        <v>318.55749507400503</v>
      </c>
      <c r="R18" s="4">
        <f t="shared" si="6"/>
        <v>318.15749507400506</v>
      </c>
      <c r="S18" s="6">
        <f t="shared" si="7"/>
        <v>0.22830163605484244</v>
      </c>
      <c r="T18" s="6">
        <f t="shared" si="8"/>
        <v>0.20140968228673886</v>
      </c>
      <c r="U18" s="6">
        <f t="shared" si="9"/>
        <v>0.8822086681777277</v>
      </c>
    </row>
    <row r="19" spans="1:21" x14ac:dyDescent="0.25">
      <c r="A19" s="2">
        <v>45090</v>
      </c>
      <c r="B19" t="s">
        <v>22</v>
      </c>
      <c r="C19" t="s">
        <v>11</v>
      </c>
      <c r="D19" t="s">
        <v>12</v>
      </c>
      <c r="E19" s="4">
        <v>13.11</v>
      </c>
      <c r="F19" s="4">
        <v>393.47</v>
      </c>
      <c r="G19" s="4">
        <v>312.56</v>
      </c>
      <c r="H19" s="4">
        <f t="shared" si="0"/>
        <v>80.910000000000025</v>
      </c>
      <c r="I19" s="4">
        <f t="shared" si="1"/>
        <v>299.45</v>
      </c>
      <c r="J19" s="7">
        <v>2.2162000000000002</v>
      </c>
      <c r="K19" s="7">
        <v>2.2858999999999998</v>
      </c>
      <c r="L19">
        <f t="shared" si="2"/>
        <v>6.9699999999999651E-2</v>
      </c>
      <c r="M19" s="4">
        <f t="shared" si="3"/>
        <v>299.38029999999998</v>
      </c>
      <c r="N19">
        <v>15</v>
      </c>
      <c r="O19">
        <v>15.2</v>
      </c>
      <c r="P19">
        <f t="shared" si="4"/>
        <v>0.19999999999999929</v>
      </c>
      <c r="Q19" s="4">
        <f t="shared" si="5"/>
        <v>318.55749507400503</v>
      </c>
      <c r="R19" s="4">
        <f t="shared" si="6"/>
        <v>318.35749507400504</v>
      </c>
      <c r="S19" s="6">
        <f t="shared" si="7"/>
        <v>0.27025826348627491</v>
      </c>
      <c r="T19" s="6">
        <f t="shared" si="8"/>
        <v>0.25414824922275436</v>
      </c>
      <c r="U19" s="6">
        <f t="shared" si="9"/>
        <v>0.94039029905800198</v>
      </c>
    </row>
    <row r="20" spans="1:21" x14ac:dyDescent="0.25">
      <c r="A20" s="2">
        <v>45090</v>
      </c>
      <c r="B20" t="s">
        <v>22</v>
      </c>
      <c r="C20" t="s">
        <v>19</v>
      </c>
      <c r="D20" t="s">
        <v>13</v>
      </c>
      <c r="E20" s="4">
        <v>12.98</v>
      </c>
      <c r="F20" s="4">
        <v>364.86</v>
      </c>
      <c r="G20" s="4">
        <v>288.89</v>
      </c>
      <c r="H20" s="4">
        <f t="shared" si="0"/>
        <v>75.970000000000027</v>
      </c>
      <c r="I20" s="4">
        <f t="shared" si="1"/>
        <v>275.90999999999997</v>
      </c>
      <c r="J20" s="7">
        <v>2.2162000000000002</v>
      </c>
      <c r="K20" s="7">
        <v>2.6568999999999998</v>
      </c>
      <c r="L20">
        <f t="shared" si="2"/>
        <v>0.44069999999999965</v>
      </c>
      <c r="M20" s="4">
        <f t="shared" si="3"/>
        <v>275.46929999999998</v>
      </c>
      <c r="N20">
        <v>80</v>
      </c>
      <c r="O20">
        <v>81</v>
      </c>
      <c r="P20">
        <f t="shared" si="4"/>
        <v>1</v>
      </c>
      <c r="Q20" s="4">
        <f t="shared" si="5"/>
        <v>318.55749507400503</v>
      </c>
      <c r="R20" s="4">
        <f t="shared" si="6"/>
        <v>317.55749507400503</v>
      </c>
      <c r="S20" s="6">
        <f t="shared" si="7"/>
        <v>0.27578390768045669</v>
      </c>
      <c r="T20" s="6">
        <f t="shared" si="8"/>
        <v>0.23923226873387332</v>
      </c>
      <c r="U20" s="6">
        <f t="shared" si="9"/>
        <v>0.86746275642400872</v>
      </c>
    </row>
    <row r="21" spans="1:21" x14ac:dyDescent="0.25">
      <c r="A21" s="2">
        <v>45090</v>
      </c>
      <c r="B21" t="s">
        <v>22</v>
      </c>
      <c r="C21" t="s">
        <v>19</v>
      </c>
      <c r="D21" t="s">
        <v>12</v>
      </c>
      <c r="E21" s="4">
        <v>13.09</v>
      </c>
      <c r="F21" s="4">
        <v>416.66</v>
      </c>
      <c r="G21" s="4">
        <v>324.54000000000002</v>
      </c>
      <c r="H21" s="4">
        <f t="shared" si="0"/>
        <v>92.12</v>
      </c>
      <c r="I21" s="4">
        <f t="shared" si="1"/>
        <v>311.45000000000005</v>
      </c>
      <c r="J21" s="7"/>
      <c r="K21" s="7"/>
      <c r="L21">
        <f t="shared" si="2"/>
        <v>0</v>
      </c>
      <c r="M21" s="4">
        <f t="shared" si="3"/>
        <v>311.45000000000005</v>
      </c>
      <c r="P21">
        <f t="shared" si="4"/>
        <v>0</v>
      </c>
      <c r="Q21" s="4">
        <f t="shared" si="5"/>
        <v>318.55749507400503</v>
      </c>
      <c r="R21" s="4">
        <f t="shared" si="6"/>
        <v>318.55749507400503</v>
      </c>
      <c r="S21" s="6">
        <f t="shared" si="7"/>
        <v>0.29577781345320275</v>
      </c>
      <c r="T21" s="6">
        <f t="shared" si="8"/>
        <v>0.28917856721154633</v>
      </c>
      <c r="U21" s="6">
        <f t="shared" si="9"/>
        <v>0.97768850149843811</v>
      </c>
    </row>
    <row r="22" spans="1:21" x14ac:dyDescent="0.25">
      <c r="A22" s="2">
        <v>45090</v>
      </c>
      <c r="B22" t="s">
        <v>29</v>
      </c>
      <c r="C22" t="s">
        <v>16</v>
      </c>
      <c r="D22" t="s">
        <v>13</v>
      </c>
      <c r="E22" s="4">
        <v>13.32</v>
      </c>
      <c r="F22" s="4">
        <v>385.36</v>
      </c>
      <c r="G22" s="4">
        <v>313.33999999999997</v>
      </c>
      <c r="H22" s="4">
        <f t="shared" si="0"/>
        <v>72.020000000000039</v>
      </c>
      <c r="I22" s="4">
        <f t="shared" si="1"/>
        <v>300.02</v>
      </c>
      <c r="J22" s="7"/>
      <c r="K22" s="7"/>
      <c r="L22">
        <f t="shared" si="2"/>
        <v>0</v>
      </c>
      <c r="M22" s="4">
        <f t="shared" si="3"/>
        <v>300.02</v>
      </c>
      <c r="P22">
        <f t="shared" si="4"/>
        <v>0</v>
      </c>
      <c r="Q22" s="4">
        <f t="shared" si="5"/>
        <v>318.55749507400503</v>
      </c>
      <c r="R22" s="4">
        <f t="shared" si="6"/>
        <v>318.55749507400503</v>
      </c>
      <c r="S22" s="6">
        <f t="shared" si="7"/>
        <v>0.2400506632891142</v>
      </c>
      <c r="T22" s="6">
        <f t="shared" si="8"/>
        <v>0.2260816371100258</v>
      </c>
      <c r="U22" s="6">
        <f t="shared" si="9"/>
        <v>0.94180800841085677</v>
      </c>
    </row>
    <row r="23" spans="1:21" x14ac:dyDescent="0.25">
      <c r="A23" s="2">
        <v>45090</v>
      </c>
      <c r="B23" t="s">
        <v>29</v>
      </c>
      <c r="C23" t="s">
        <v>16</v>
      </c>
      <c r="D23" t="s">
        <v>12</v>
      </c>
      <c r="E23" s="4">
        <v>13.06</v>
      </c>
      <c r="F23" s="4">
        <v>469.62</v>
      </c>
      <c r="G23" s="4">
        <v>385</v>
      </c>
      <c r="H23" s="4">
        <f t="shared" si="0"/>
        <v>84.62</v>
      </c>
      <c r="I23" s="4">
        <f t="shared" si="1"/>
        <v>371.94</v>
      </c>
      <c r="J23" s="7">
        <v>2.2162000000000002</v>
      </c>
      <c r="K23" s="7">
        <v>2.59</v>
      </c>
      <c r="L23">
        <f t="shared" si="2"/>
        <v>0.37379999999999969</v>
      </c>
      <c r="M23" s="4">
        <f t="shared" si="3"/>
        <v>371.56619999999998</v>
      </c>
      <c r="N23">
        <v>80</v>
      </c>
      <c r="O23">
        <v>80.8</v>
      </c>
      <c r="P23">
        <f t="shared" si="4"/>
        <v>0.79999999999999716</v>
      </c>
      <c r="Q23" s="4">
        <f t="shared" si="5"/>
        <v>318.55749507400503</v>
      </c>
      <c r="R23" s="4">
        <f t="shared" si="6"/>
        <v>317.75749507400502</v>
      </c>
      <c r="S23" s="6">
        <f t="shared" si="7"/>
        <v>0.22773869097888885</v>
      </c>
      <c r="T23" s="6">
        <f t="shared" si="8"/>
        <v>0.26630371057114544</v>
      </c>
      <c r="U23" s="6">
        <f t="shared" si="9"/>
        <v>1.1693389007660167</v>
      </c>
    </row>
    <row r="24" spans="1:21" x14ac:dyDescent="0.25">
      <c r="A24" s="2">
        <v>45090</v>
      </c>
      <c r="B24" t="s">
        <v>29</v>
      </c>
      <c r="C24" t="s">
        <v>8</v>
      </c>
      <c r="D24" t="s">
        <v>13</v>
      </c>
      <c r="E24" s="4">
        <v>13.39</v>
      </c>
      <c r="F24" s="4">
        <v>363.49</v>
      </c>
      <c r="G24" s="4">
        <v>284</v>
      </c>
      <c r="H24" s="4">
        <f t="shared" si="0"/>
        <v>79.490000000000009</v>
      </c>
      <c r="I24" s="4">
        <f t="shared" si="1"/>
        <v>270.61</v>
      </c>
      <c r="J24" s="7">
        <v>2.2162000000000002</v>
      </c>
      <c r="K24" s="7">
        <v>2.3433999999999999</v>
      </c>
      <c r="L24">
        <f t="shared" si="2"/>
        <v>0.12719999999999976</v>
      </c>
      <c r="M24" s="4">
        <f t="shared" si="3"/>
        <v>270.4828</v>
      </c>
      <c r="N24">
        <v>15</v>
      </c>
      <c r="O24">
        <v>15.4</v>
      </c>
      <c r="P24">
        <f t="shared" si="4"/>
        <v>0.40000000000000036</v>
      </c>
      <c r="Q24" s="4">
        <f t="shared" si="5"/>
        <v>318.55749507400503</v>
      </c>
      <c r="R24" s="4">
        <f t="shared" si="6"/>
        <v>318.15749507400506</v>
      </c>
      <c r="S24" s="6">
        <f t="shared" si="7"/>
        <v>0.29388190302673595</v>
      </c>
      <c r="T24" s="6">
        <f t="shared" si="8"/>
        <v>0.24984481343590612</v>
      </c>
      <c r="U24" s="6">
        <f t="shared" si="9"/>
        <v>0.85015378920142781</v>
      </c>
    </row>
    <row r="25" spans="1:21" x14ac:dyDescent="0.25">
      <c r="A25" s="2">
        <v>45090</v>
      </c>
      <c r="B25" t="s">
        <v>29</v>
      </c>
      <c r="C25" t="s">
        <v>8</v>
      </c>
      <c r="D25" t="s">
        <v>12</v>
      </c>
      <c r="E25" s="4">
        <v>13.34</v>
      </c>
      <c r="F25" s="4">
        <v>349.34</v>
      </c>
      <c r="G25" s="4">
        <v>279.36</v>
      </c>
      <c r="H25" s="4">
        <f t="shared" si="0"/>
        <v>69.979999999999961</v>
      </c>
      <c r="I25" s="4">
        <f t="shared" si="1"/>
        <v>266.02000000000004</v>
      </c>
      <c r="J25" s="7"/>
      <c r="K25" s="7"/>
      <c r="L25">
        <f t="shared" si="2"/>
        <v>0</v>
      </c>
      <c r="M25" s="4">
        <f t="shared" si="3"/>
        <v>266.02000000000004</v>
      </c>
      <c r="P25">
        <f t="shared" si="4"/>
        <v>0</v>
      </c>
      <c r="Q25" s="4">
        <f t="shared" si="5"/>
        <v>318.55749507400503</v>
      </c>
      <c r="R25" s="4">
        <f t="shared" si="6"/>
        <v>318.55749507400503</v>
      </c>
      <c r="S25" s="6">
        <f t="shared" si="7"/>
        <v>0.26306292759942845</v>
      </c>
      <c r="T25" s="6">
        <f t="shared" si="8"/>
        <v>0.21967776957733393</v>
      </c>
      <c r="U25" s="6">
        <f t="shared" si="9"/>
        <v>0.83507688286599613</v>
      </c>
    </row>
    <row r="26" spans="1:21" x14ac:dyDescent="0.25">
      <c r="A26" s="2">
        <v>45090</v>
      </c>
      <c r="B26" t="s">
        <v>29</v>
      </c>
      <c r="C26" t="s">
        <v>15</v>
      </c>
      <c r="D26" t="s">
        <v>13</v>
      </c>
      <c r="E26" s="4">
        <v>12.95</v>
      </c>
      <c r="F26" s="4">
        <v>380.38</v>
      </c>
      <c r="G26" s="4">
        <v>308.64</v>
      </c>
      <c r="H26" s="4">
        <f t="shared" si="0"/>
        <v>71.740000000000009</v>
      </c>
      <c r="I26" s="4">
        <f t="shared" si="1"/>
        <v>295.69</v>
      </c>
      <c r="J26" s="7">
        <v>2.2162000000000002</v>
      </c>
      <c r="K26" s="7">
        <v>2.2688999999999999</v>
      </c>
      <c r="L26">
        <f t="shared" si="2"/>
        <v>5.2699999999999747E-2</v>
      </c>
      <c r="M26" s="4">
        <f t="shared" si="3"/>
        <v>295.63729999999998</v>
      </c>
      <c r="N26">
        <v>15</v>
      </c>
      <c r="O26">
        <v>15.1</v>
      </c>
      <c r="P26">
        <f t="shared" si="4"/>
        <v>9.9999999999999645E-2</v>
      </c>
      <c r="Q26" s="4">
        <f t="shared" si="5"/>
        <v>318.55749507400503</v>
      </c>
      <c r="R26" s="4">
        <f t="shared" si="6"/>
        <v>318.45749507400501</v>
      </c>
      <c r="S26" s="6">
        <f t="shared" si="7"/>
        <v>0.24266220805020211</v>
      </c>
      <c r="T26" s="6">
        <f t="shared" si="8"/>
        <v>0.22527339161330981</v>
      </c>
      <c r="U26" s="6">
        <f t="shared" si="9"/>
        <v>0.92834147279623003</v>
      </c>
    </row>
    <row r="27" spans="1:21" x14ac:dyDescent="0.25">
      <c r="A27" s="2">
        <v>45090</v>
      </c>
      <c r="B27" t="s">
        <v>29</v>
      </c>
      <c r="C27" t="s">
        <v>15</v>
      </c>
      <c r="D27" t="s">
        <v>12</v>
      </c>
      <c r="E27" s="4">
        <v>13.08</v>
      </c>
      <c r="F27" s="4">
        <v>383.28</v>
      </c>
      <c r="G27" s="4">
        <v>312.45</v>
      </c>
      <c r="H27" s="4">
        <f t="shared" si="0"/>
        <v>70.829999999999984</v>
      </c>
      <c r="I27" s="4">
        <f t="shared" si="1"/>
        <v>299.37</v>
      </c>
      <c r="J27" s="7">
        <v>2.2162000000000002</v>
      </c>
      <c r="K27" s="7">
        <v>4.1822999999999997</v>
      </c>
      <c r="L27">
        <f t="shared" si="2"/>
        <v>1.9660999999999995</v>
      </c>
      <c r="M27" s="4">
        <f t="shared" si="3"/>
        <v>297.40390000000002</v>
      </c>
      <c r="N27">
        <v>80</v>
      </c>
      <c r="O27">
        <v>83.5</v>
      </c>
      <c r="P27">
        <f t="shared" si="4"/>
        <v>3.5</v>
      </c>
      <c r="Q27" s="4">
        <f t="shared" si="5"/>
        <v>318.55749507400503</v>
      </c>
      <c r="R27" s="4">
        <f t="shared" si="6"/>
        <v>315.05749507400503</v>
      </c>
      <c r="S27" s="6">
        <f t="shared" si="7"/>
        <v>0.23816096560939509</v>
      </c>
      <c r="T27" s="6">
        <f t="shared" si="8"/>
        <v>0.2248161085117574</v>
      </c>
      <c r="U27" s="6">
        <f t="shared" si="9"/>
        <v>0.94396706839220479</v>
      </c>
    </row>
    <row r="28" spans="1:21" x14ac:dyDescent="0.25">
      <c r="A28" s="2">
        <v>45090</v>
      </c>
      <c r="B28" t="s">
        <v>29</v>
      </c>
      <c r="C28" t="s">
        <v>11</v>
      </c>
      <c r="D28" t="s">
        <v>13</v>
      </c>
      <c r="E28" s="4">
        <v>13.05</v>
      </c>
      <c r="F28" s="4">
        <v>332.47</v>
      </c>
      <c r="G28" s="4">
        <v>265.43</v>
      </c>
      <c r="H28" s="4">
        <f t="shared" si="0"/>
        <v>67.04000000000002</v>
      </c>
      <c r="I28" s="4">
        <f t="shared" si="1"/>
        <v>252.38</v>
      </c>
      <c r="J28" s="7">
        <v>2.2162000000000002</v>
      </c>
      <c r="K28" s="7">
        <v>4.21</v>
      </c>
      <c r="L28">
        <f t="shared" si="2"/>
        <v>1.9937999999999998</v>
      </c>
      <c r="M28" s="4">
        <f t="shared" si="3"/>
        <v>250.3862</v>
      </c>
      <c r="N28">
        <v>80</v>
      </c>
      <c r="O28">
        <v>84</v>
      </c>
      <c r="P28">
        <f t="shared" si="4"/>
        <v>4</v>
      </c>
      <c r="Q28" s="4">
        <f t="shared" si="5"/>
        <v>318.55749507400503</v>
      </c>
      <c r="R28" s="4">
        <f t="shared" si="6"/>
        <v>314.55749507400503</v>
      </c>
      <c r="S28" s="6">
        <f t="shared" si="7"/>
        <v>0.26774638538385909</v>
      </c>
      <c r="T28" s="6">
        <f t="shared" si="8"/>
        <v>0.21312478974385179</v>
      </c>
      <c r="U28" s="6">
        <f t="shared" si="9"/>
        <v>0.79599502132699895</v>
      </c>
    </row>
    <row r="29" spans="1:21" x14ac:dyDescent="0.25">
      <c r="A29" s="2">
        <v>45090</v>
      </c>
      <c r="B29" t="s">
        <v>29</v>
      </c>
      <c r="C29" t="s">
        <v>11</v>
      </c>
      <c r="D29" t="s">
        <v>12</v>
      </c>
      <c r="E29" s="4">
        <v>13.41</v>
      </c>
      <c r="F29" s="4">
        <v>394.16</v>
      </c>
      <c r="G29" s="4">
        <v>319.17</v>
      </c>
      <c r="H29" s="4">
        <f t="shared" si="0"/>
        <v>74.990000000000009</v>
      </c>
      <c r="I29" s="4">
        <f t="shared" si="1"/>
        <v>305.76</v>
      </c>
      <c r="J29" s="7">
        <v>2.2162000000000002</v>
      </c>
      <c r="K29" s="7">
        <v>2.3616999999999999</v>
      </c>
      <c r="L29">
        <f t="shared" si="2"/>
        <v>0.14549999999999974</v>
      </c>
      <c r="M29" s="4">
        <f t="shared" si="3"/>
        <v>305.61449999999996</v>
      </c>
      <c r="N29">
        <v>15</v>
      </c>
      <c r="O29">
        <v>15.2</v>
      </c>
      <c r="P29">
        <f t="shared" si="4"/>
        <v>0.19999999999999929</v>
      </c>
      <c r="Q29" s="4">
        <f t="shared" si="5"/>
        <v>318.55749507400503</v>
      </c>
      <c r="R29" s="4">
        <f t="shared" si="6"/>
        <v>318.35749507400504</v>
      </c>
      <c r="S29" s="6">
        <f t="shared" si="7"/>
        <v>0.24537448321332928</v>
      </c>
      <c r="T29" s="6">
        <f t="shared" si="8"/>
        <v>0.23555280199251447</v>
      </c>
      <c r="U29" s="6">
        <f t="shared" si="9"/>
        <v>0.95997268708549532</v>
      </c>
    </row>
    <row r="30" spans="1:21" x14ac:dyDescent="0.25">
      <c r="A30" s="2">
        <v>45090</v>
      </c>
      <c r="B30" t="s">
        <v>29</v>
      </c>
      <c r="C30" t="s">
        <v>19</v>
      </c>
      <c r="D30" t="s">
        <v>13</v>
      </c>
      <c r="E30" s="4">
        <v>13.55</v>
      </c>
      <c r="F30" s="4">
        <v>448.12</v>
      </c>
      <c r="G30" s="4">
        <v>363.26</v>
      </c>
      <c r="H30" s="4">
        <f t="shared" si="0"/>
        <v>84.860000000000014</v>
      </c>
      <c r="I30" s="4">
        <f t="shared" si="1"/>
        <v>349.71</v>
      </c>
      <c r="J30" s="7">
        <v>2.2162000000000002</v>
      </c>
      <c r="K30" s="7">
        <v>3.1974</v>
      </c>
      <c r="L30">
        <f t="shared" si="2"/>
        <v>0.98119999999999985</v>
      </c>
      <c r="M30" s="4">
        <f t="shared" si="3"/>
        <v>348.72879999999998</v>
      </c>
      <c r="N30">
        <v>80</v>
      </c>
      <c r="O30">
        <v>81</v>
      </c>
      <c r="P30">
        <f t="shared" si="4"/>
        <v>1</v>
      </c>
      <c r="Q30" s="4">
        <f t="shared" si="5"/>
        <v>318.55749507400503</v>
      </c>
      <c r="R30" s="4">
        <f t="shared" si="6"/>
        <v>317.55749507400503</v>
      </c>
      <c r="S30" s="6">
        <f t="shared" si="7"/>
        <v>0.24334095721374321</v>
      </c>
      <c r="T30" s="6">
        <f t="shared" si="8"/>
        <v>0.26722719922017224</v>
      </c>
      <c r="U30" s="6">
        <f t="shared" si="9"/>
        <v>1.0981595629438086</v>
      </c>
    </row>
    <row r="31" spans="1:21" x14ac:dyDescent="0.25">
      <c r="A31" s="2">
        <v>45090</v>
      </c>
      <c r="B31" t="s">
        <v>29</v>
      </c>
      <c r="C31" t="s">
        <v>19</v>
      </c>
      <c r="D31" t="s">
        <v>12</v>
      </c>
      <c r="E31" s="4">
        <v>12.94</v>
      </c>
      <c r="F31" s="4">
        <v>473.94</v>
      </c>
      <c r="G31" s="4">
        <v>385.57</v>
      </c>
      <c r="H31" s="4">
        <f t="shared" si="0"/>
        <v>88.37</v>
      </c>
      <c r="I31" s="4">
        <f t="shared" si="1"/>
        <v>372.63</v>
      </c>
      <c r="J31" s="7">
        <v>2.2162000000000002</v>
      </c>
      <c r="K31" s="7">
        <v>2.2978999999999998</v>
      </c>
      <c r="L31">
        <f t="shared" si="2"/>
        <v>8.1699999999999662E-2</v>
      </c>
      <c r="M31" s="4">
        <f t="shared" si="3"/>
        <v>372.54829999999998</v>
      </c>
      <c r="N31">
        <v>15</v>
      </c>
      <c r="O31">
        <v>15.2</v>
      </c>
      <c r="P31">
        <f t="shared" si="4"/>
        <v>0.19999999999999929</v>
      </c>
      <c r="Q31" s="4">
        <f t="shared" si="5"/>
        <v>318.55749507400503</v>
      </c>
      <c r="R31" s="4">
        <f t="shared" si="6"/>
        <v>318.35749507400504</v>
      </c>
      <c r="S31" s="6">
        <f t="shared" si="7"/>
        <v>0.23720414238905402</v>
      </c>
      <c r="T31" s="6">
        <f t="shared" si="8"/>
        <v>0.27758102563113085</v>
      </c>
      <c r="U31" s="6">
        <f t="shared" si="9"/>
        <v>1.170219975230669</v>
      </c>
    </row>
    <row r="32" spans="1:21" x14ac:dyDescent="0.25">
      <c r="A32" s="2">
        <v>45090</v>
      </c>
      <c r="B32" t="s">
        <v>17</v>
      </c>
      <c r="C32" t="s">
        <v>16</v>
      </c>
      <c r="D32" t="s">
        <v>13</v>
      </c>
      <c r="E32" s="4">
        <v>12.86</v>
      </c>
      <c r="F32" s="4">
        <v>386.21</v>
      </c>
      <c r="G32" s="4">
        <v>311.70999999999998</v>
      </c>
      <c r="H32" s="4">
        <f t="shared" si="0"/>
        <v>74.5</v>
      </c>
      <c r="I32" s="4">
        <f t="shared" si="1"/>
        <v>298.84999999999997</v>
      </c>
      <c r="J32" s="7">
        <v>2.2162000000000002</v>
      </c>
      <c r="K32" s="7">
        <v>3.3298000000000001</v>
      </c>
      <c r="L32">
        <f t="shared" si="2"/>
        <v>1.1135999999999999</v>
      </c>
      <c r="M32" s="4">
        <f t="shared" si="3"/>
        <v>297.73639999999995</v>
      </c>
      <c r="N32">
        <v>80</v>
      </c>
      <c r="O32">
        <v>82</v>
      </c>
      <c r="P32">
        <f t="shared" si="4"/>
        <v>2</v>
      </c>
      <c r="Q32" s="4">
        <f t="shared" si="5"/>
        <v>318.55749507400503</v>
      </c>
      <c r="R32" s="4">
        <f t="shared" si="6"/>
        <v>316.55749507400503</v>
      </c>
      <c r="S32" s="6">
        <f t="shared" si="7"/>
        <v>0.25022133672604363</v>
      </c>
      <c r="T32" s="6">
        <f t="shared" si="8"/>
        <v>0.23534429340421506</v>
      </c>
      <c r="U32" s="6">
        <f t="shared" si="9"/>
        <v>0.9405444654861036</v>
      </c>
    </row>
    <row r="33" spans="1:21" x14ac:dyDescent="0.25">
      <c r="A33" s="2">
        <v>45090</v>
      </c>
      <c r="B33" t="s">
        <v>17</v>
      </c>
      <c r="C33" t="s">
        <v>16</v>
      </c>
      <c r="D33" t="s">
        <v>12</v>
      </c>
      <c r="E33" s="4">
        <v>12.8</v>
      </c>
      <c r="F33" s="4">
        <v>445.57</v>
      </c>
      <c r="G33" s="4">
        <v>355.97</v>
      </c>
      <c r="H33" s="4">
        <f t="shared" si="0"/>
        <v>89.599999999999966</v>
      </c>
      <c r="I33" s="4">
        <f t="shared" si="1"/>
        <v>343.17</v>
      </c>
      <c r="J33" s="7">
        <v>2.2162000000000002</v>
      </c>
      <c r="K33" s="7">
        <v>2.2646999999999999</v>
      </c>
      <c r="L33">
        <f t="shared" si="2"/>
        <v>4.8499999999999766E-2</v>
      </c>
      <c r="M33" s="4">
        <f t="shared" si="3"/>
        <v>343.12150000000003</v>
      </c>
      <c r="N33">
        <v>15</v>
      </c>
      <c r="O33">
        <v>15.2</v>
      </c>
      <c r="P33">
        <f t="shared" si="4"/>
        <v>0.19999999999999929</v>
      </c>
      <c r="Q33" s="4">
        <f t="shared" si="5"/>
        <v>318.55749507400503</v>
      </c>
      <c r="R33" s="4">
        <f t="shared" si="6"/>
        <v>318.35749507400504</v>
      </c>
      <c r="S33" s="6">
        <f t="shared" si="7"/>
        <v>0.26113198968878359</v>
      </c>
      <c r="T33" s="6">
        <f t="shared" si="8"/>
        <v>0.28144460672795418</v>
      </c>
      <c r="U33" s="6">
        <f t="shared" si="9"/>
        <v>1.0777867815558682</v>
      </c>
    </row>
    <row r="34" spans="1:21" x14ac:dyDescent="0.25">
      <c r="A34" s="2">
        <v>45090</v>
      </c>
      <c r="B34" t="s">
        <v>17</v>
      </c>
      <c r="C34" t="s">
        <v>8</v>
      </c>
      <c r="D34" t="s">
        <v>13</v>
      </c>
      <c r="E34" s="4">
        <v>12.84</v>
      </c>
      <c r="F34" s="4">
        <v>360.45</v>
      </c>
      <c r="G34" s="4">
        <v>289.45</v>
      </c>
      <c r="H34" s="4">
        <f t="shared" si="0"/>
        <v>71</v>
      </c>
      <c r="I34" s="4">
        <f t="shared" si="1"/>
        <v>276.61</v>
      </c>
      <c r="J34" s="7"/>
      <c r="K34" s="7"/>
      <c r="L34">
        <f t="shared" si="2"/>
        <v>0</v>
      </c>
      <c r="M34" s="4">
        <f t="shared" si="3"/>
        <v>276.61</v>
      </c>
      <c r="P34">
        <f t="shared" si="4"/>
        <v>0</v>
      </c>
      <c r="Q34" s="4">
        <f t="shared" si="5"/>
        <v>318.55749507400503</v>
      </c>
      <c r="R34" s="4">
        <f t="shared" si="6"/>
        <v>318.55749507400503</v>
      </c>
      <c r="S34" s="6">
        <f t="shared" si="7"/>
        <v>0.25667907884747476</v>
      </c>
      <c r="T34" s="6">
        <f t="shared" si="8"/>
        <v>0.22287970334367985</v>
      </c>
      <c r="U34" s="6">
        <f t="shared" si="9"/>
        <v>0.86832048932246886</v>
      </c>
    </row>
    <row r="35" spans="1:21" x14ac:dyDescent="0.25">
      <c r="A35" s="2">
        <v>45090</v>
      </c>
      <c r="B35" t="s">
        <v>17</v>
      </c>
      <c r="C35" t="s">
        <v>8</v>
      </c>
      <c r="D35" t="s">
        <v>12</v>
      </c>
      <c r="E35" s="4">
        <v>13.38</v>
      </c>
      <c r="F35" s="4">
        <v>361.92</v>
      </c>
      <c r="G35" s="4">
        <v>287.44</v>
      </c>
      <c r="H35" s="4">
        <f t="shared" si="0"/>
        <v>74.480000000000018</v>
      </c>
      <c r="I35" s="4">
        <f t="shared" si="1"/>
        <v>274.06</v>
      </c>
      <c r="J35" s="7">
        <v>2.2162000000000002</v>
      </c>
      <c r="K35" s="7">
        <v>2.2633999999999999</v>
      </c>
      <c r="L35">
        <f t="shared" si="2"/>
        <v>4.7199999999999687E-2</v>
      </c>
      <c r="M35" s="4">
        <f t="shared" si="3"/>
        <v>274.01280000000003</v>
      </c>
      <c r="N35">
        <v>15</v>
      </c>
      <c r="O35">
        <v>15.1</v>
      </c>
      <c r="P35">
        <f t="shared" si="4"/>
        <v>9.9999999999999645E-2</v>
      </c>
      <c r="Q35" s="4">
        <f t="shared" si="5"/>
        <v>318.55749507400503</v>
      </c>
      <c r="R35" s="4">
        <f t="shared" si="6"/>
        <v>318.45749507400501</v>
      </c>
      <c r="S35" s="6">
        <f t="shared" si="7"/>
        <v>0.27181211972579389</v>
      </c>
      <c r="T35" s="6">
        <f t="shared" si="8"/>
        <v>0.23387736558906211</v>
      </c>
      <c r="U35" s="6">
        <f t="shared" si="9"/>
        <v>0.86043759132226838</v>
      </c>
    </row>
    <row r="36" spans="1:21" x14ac:dyDescent="0.25">
      <c r="A36" s="2">
        <v>45090</v>
      </c>
      <c r="B36" t="s">
        <v>17</v>
      </c>
      <c r="C36" t="s">
        <v>15</v>
      </c>
      <c r="D36" t="s">
        <v>13</v>
      </c>
      <c r="E36" s="4">
        <v>12.8</v>
      </c>
      <c r="F36" s="4">
        <v>358.97</v>
      </c>
      <c r="G36" s="4">
        <v>283.75</v>
      </c>
      <c r="H36" s="4">
        <f t="shared" si="0"/>
        <v>75.220000000000027</v>
      </c>
      <c r="I36" s="4">
        <f t="shared" si="1"/>
        <v>270.95</v>
      </c>
      <c r="J36" s="7">
        <v>2.2162000000000002</v>
      </c>
      <c r="K36" s="7">
        <v>2.2869999999999999</v>
      </c>
      <c r="L36">
        <f t="shared" si="2"/>
        <v>7.0799999999999752E-2</v>
      </c>
      <c r="M36" s="4">
        <f t="shared" si="3"/>
        <v>270.87919999999997</v>
      </c>
      <c r="N36">
        <v>15</v>
      </c>
      <c r="O36">
        <v>15.3</v>
      </c>
      <c r="P36">
        <f t="shared" si="4"/>
        <v>0.30000000000000071</v>
      </c>
      <c r="Q36" s="4">
        <f t="shared" si="5"/>
        <v>318.55749507400503</v>
      </c>
      <c r="R36" s="4">
        <f t="shared" si="6"/>
        <v>318.25749507400502</v>
      </c>
      <c r="S36" s="6">
        <f t="shared" si="7"/>
        <v>0.27768835702409056</v>
      </c>
      <c r="T36" s="6">
        <f t="shared" si="8"/>
        <v>0.2363495005278948</v>
      </c>
      <c r="U36" s="6">
        <f t="shared" si="9"/>
        <v>0.85113219387657124</v>
      </c>
    </row>
    <row r="37" spans="1:21" x14ac:dyDescent="0.25">
      <c r="A37" s="2">
        <v>45090</v>
      </c>
      <c r="B37" t="s">
        <v>17</v>
      </c>
      <c r="C37" t="s">
        <v>15</v>
      </c>
      <c r="D37" t="s">
        <v>12</v>
      </c>
      <c r="E37" s="4">
        <v>12.77</v>
      </c>
      <c r="F37" s="4">
        <v>345.84</v>
      </c>
      <c r="G37" s="4">
        <v>275.83</v>
      </c>
      <c r="H37" s="4">
        <f t="shared" si="0"/>
        <v>70.009999999999991</v>
      </c>
      <c r="I37" s="4">
        <f t="shared" si="1"/>
        <v>263.06</v>
      </c>
      <c r="J37" s="7">
        <v>2.2162000000000002</v>
      </c>
      <c r="K37" s="7">
        <v>2.9066999999999998</v>
      </c>
      <c r="L37">
        <f t="shared" si="2"/>
        <v>0.69049999999999967</v>
      </c>
      <c r="M37" s="4">
        <f t="shared" si="3"/>
        <v>262.36950000000002</v>
      </c>
      <c r="N37">
        <v>80</v>
      </c>
      <c r="O37">
        <v>80.900000000000006</v>
      </c>
      <c r="P37">
        <f t="shared" si="4"/>
        <v>0.90000000000000568</v>
      </c>
      <c r="Q37" s="4">
        <f t="shared" si="5"/>
        <v>318.55749507400503</v>
      </c>
      <c r="R37" s="4">
        <f t="shared" si="6"/>
        <v>317.65749507400506</v>
      </c>
      <c r="S37" s="6">
        <f t="shared" si="7"/>
        <v>0.26683741822124901</v>
      </c>
      <c r="T37" s="6">
        <f t="shared" si="8"/>
        <v>0.22039461081719378</v>
      </c>
      <c r="U37" s="6">
        <f t="shared" si="9"/>
        <v>0.82595091905158879</v>
      </c>
    </row>
    <row r="38" spans="1:21" x14ac:dyDescent="0.25">
      <c r="A38" s="2">
        <v>45090</v>
      </c>
      <c r="B38" t="s">
        <v>17</v>
      </c>
      <c r="C38" t="s">
        <v>11</v>
      </c>
      <c r="D38" t="s">
        <v>13</v>
      </c>
      <c r="E38" s="4">
        <v>13.44</v>
      </c>
      <c r="F38" s="4">
        <v>371.33</v>
      </c>
      <c r="G38" s="4">
        <v>297.58</v>
      </c>
      <c r="H38" s="4">
        <f t="shared" si="0"/>
        <v>73.75</v>
      </c>
      <c r="I38" s="4">
        <f t="shared" si="1"/>
        <v>284.14</v>
      </c>
      <c r="J38" s="7"/>
      <c r="K38" s="7"/>
      <c r="L38">
        <f t="shared" si="2"/>
        <v>0</v>
      </c>
      <c r="M38" s="4">
        <f t="shared" si="3"/>
        <v>284.14</v>
      </c>
      <c r="P38">
        <f t="shared" si="4"/>
        <v>0</v>
      </c>
      <c r="Q38" s="4">
        <f t="shared" si="5"/>
        <v>318.55749507400503</v>
      </c>
      <c r="R38" s="4">
        <f t="shared" si="6"/>
        <v>318.55749507400503</v>
      </c>
      <c r="S38" s="6">
        <f t="shared" si="7"/>
        <v>0.25955514887027525</v>
      </c>
      <c r="T38" s="6">
        <f t="shared" si="8"/>
        <v>0.23151236790980831</v>
      </c>
      <c r="U38" s="6">
        <f t="shared" si="9"/>
        <v>0.89195829447990416</v>
      </c>
    </row>
    <row r="39" spans="1:21" x14ac:dyDescent="0.25">
      <c r="A39" s="2">
        <v>45090</v>
      </c>
      <c r="B39" t="s">
        <v>17</v>
      </c>
      <c r="C39" t="s">
        <v>11</v>
      </c>
      <c r="D39" t="s">
        <v>12</v>
      </c>
      <c r="E39" s="4">
        <v>13.42</v>
      </c>
      <c r="F39" s="4">
        <v>361.06</v>
      </c>
      <c r="G39" s="4">
        <v>294.26</v>
      </c>
      <c r="H39" s="4">
        <f t="shared" si="0"/>
        <v>66.800000000000011</v>
      </c>
      <c r="I39" s="4">
        <f t="shared" si="1"/>
        <v>280.83999999999997</v>
      </c>
      <c r="J39" s="7"/>
      <c r="K39" s="7"/>
      <c r="L39">
        <f t="shared" si="2"/>
        <v>0</v>
      </c>
      <c r="M39" s="4">
        <f t="shared" si="3"/>
        <v>280.83999999999997</v>
      </c>
      <c r="P39">
        <f t="shared" si="4"/>
        <v>0</v>
      </c>
      <c r="Q39" s="4">
        <f t="shared" si="5"/>
        <v>318.55749507400503</v>
      </c>
      <c r="R39" s="4">
        <f t="shared" si="6"/>
        <v>318.55749507400503</v>
      </c>
      <c r="S39" s="6">
        <f t="shared" si="7"/>
        <v>0.23785785500640941</v>
      </c>
      <c r="T39" s="6">
        <f t="shared" si="8"/>
        <v>0.20969527018813827</v>
      </c>
      <c r="U39" s="6">
        <f t="shared" si="9"/>
        <v>0.88159909700054995</v>
      </c>
    </row>
    <row r="40" spans="1:21" x14ac:dyDescent="0.25">
      <c r="A40" s="2">
        <v>45090</v>
      </c>
      <c r="B40" t="s">
        <v>17</v>
      </c>
      <c r="C40" t="s">
        <v>19</v>
      </c>
      <c r="D40" t="s">
        <v>13</v>
      </c>
      <c r="E40" s="4">
        <v>13.39</v>
      </c>
      <c r="F40" s="4">
        <v>345.17</v>
      </c>
      <c r="G40" s="4">
        <v>272.89999999999998</v>
      </c>
      <c r="H40" s="4">
        <f t="shared" si="0"/>
        <v>72.270000000000039</v>
      </c>
      <c r="I40" s="4">
        <f t="shared" si="1"/>
        <v>259.51</v>
      </c>
      <c r="J40" s="7">
        <v>2.2162000000000002</v>
      </c>
      <c r="K40" s="7">
        <v>4.0617999999999999</v>
      </c>
      <c r="L40">
        <f t="shared" si="2"/>
        <v>1.8455999999999997</v>
      </c>
      <c r="M40" s="4">
        <f t="shared" si="3"/>
        <v>257.6644</v>
      </c>
      <c r="N40">
        <v>80</v>
      </c>
      <c r="O40">
        <v>83.5</v>
      </c>
      <c r="P40">
        <f t="shared" si="4"/>
        <v>3.5</v>
      </c>
      <c r="Q40" s="4">
        <f t="shared" si="5"/>
        <v>318.55749507400503</v>
      </c>
      <c r="R40" s="4">
        <f t="shared" si="6"/>
        <v>315.05749507400503</v>
      </c>
      <c r="S40" s="6">
        <f t="shared" si="7"/>
        <v>0.28048112195553609</v>
      </c>
      <c r="T40" s="6">
        <f t="shared" si="8"/>
        <v>0.22938670283982379</v>
      </c>
      <c r="U40" s="6">
        <f t="shared" si="9"/>
        <v>0.81783294804485207</v>
      </c>
    </row>
    <row r="41" spans="1:21" x14ac:dyDescent="0.25">
      <c r="A41" s="2">
        <v>45090</v>
      </c>
      <c r="B41" t="s">
        <v>17</v>
      </c>
      <c r="C41" t="s">
        <v>19</v>
      </c>
      <c r="D41" t="s">
        <v>12</v>
      </c>
      <c r="E41" s="4">
        <v>12.83</v>
      </c>
      <c r="F41" s="4">
        <v>371.13</v>
      </c>
      <c r="G41" s="4">
        <v>298.16000000000003</v>
      </c>
      <c r="H41" s="4">
        <f t="shared" si="0"/>
        <v>72.96999999999997</v>
      </c>
      <c r="I41" s="4">
        <f t="shared" si="1"/>
        <v>285.33000000000004</v>
      </c>
      <c r="J41" s="7">
        <v>2.2162000000000002</v>
      </c>
      <c r="K41" s="7">
        <v>2.2391000000000001</v>
      </c>
      <c r="L41">
        <f t="shared" si="2"/>
        <v>2.289999999999992E-2</v>
      </c>
      <c r="M41" s="4">
        <f t="shared" si="3"/>
        <v>285.30710000000005</v>
      </c>
      <c r="N41">
        <v>15</v>
      </c>
      <c r="O41">
        <v>15.1</v>
      </c>
      <c r="P41">
        <f t="shared" si="4"/>
        <v>9.9999999999999645E-2</v>
      </c>
      <c r="Q41" s="4">
        <f t="shared" si="5"/>
        <v>318.55749507400503</v>
      </c>
      <c r="R41" s="4">
        <f t="shared" si="6"/>
        <v>318.45749507400501</v>
      </c>
      <c r="S41" s="6">
        <f t="shared" si="7"/>
        <v>0.25575949564521866</v>
      </c>
      <c r="T41" s="6">
        <f t="shared" si="8"/>
        <v>0.22913575949293571</v>
      </c>
      <c r="U41" s="6">
        <f t="shared" si="9"/>
        <v>0.89590323485304912</v>
      </c>
    </row>
    <row r="42" spans="1:21" x14ac:dyDescent="0.25">
      <c r="A42" s="2">
        <v>45091</v>
      </c>
      <c r="B42" t="s">
        <v>21</v>
      </c>
      <c r="C42" t="s">
        <v>16</v>
      </c>
      <c r="D42" t="s">
        <v>13</v>
      </c>
      <c r="E42" s="4">
        <v>12.77</v>
      </c>
      <c r="F42" s="4">
        <v>334.32</v>
      </c>
      <c r="G42" s="4">
        <v>272.29000000000002</v>
      </c>
      <c r="H42" s="4">
        <f t="shared" si="0"/>
        <v>62.029999999999973</v>
      </c>
      <c r="I42" s="4">
        <f t="shared" si="1"/>
        <v>259.52000000000004</v>
      </c>
      <c r="J42" s="7">
        <v>2.2162000000000002</v>
      </c>
      <c r="K42" s="7">
        <v>2.3065000000000002</v>
      </c>
      <c r="L42">
        <f t="shared" si="2"/>
        <v>9.0300000000000047E-2</v>
      </c>
      <c r="M42" s="4">
        <f t="shared" si="3"/>
        <v>259.42970000000003</v>
      </c>
      <c r="N42">
        <v>15</v>
      </c>
      <c r="O42">
        <v>15.2</v>
      </c>
      <c r="P42">
        <f t="shared" si="4"/>
        <v>0.19999999999999929</v>
      </c>
      <c r="Q42" s="4">
        <f t="shared" si="5"/>
        <v>318.55749507400503</v>
      </c>
      <c r="R42" s="4">
        <f t="shared" si="6"/>
        <v>318.35749507400504</v>
      </c>
      <c r="S42" s="6">
        <f t="shared" si="7"/>
        <v>0.23910138276380832</v>
      </c>
      <c r="T42" s="6">
        <f t="shared" si="8"/>
        <v>0.19484384994793524</v>
      </c>
      <c r="U42" s="6">
        <f t="shared" si="9"/>
        <v>0.81490055680860685</v>
      </c>
    </row>
    <row r="43" spans="1:21" x14ac:dyDescent="0.25">
      <c r="A43" s="2">
        <v>45090</v>
      </c>
      <c r="B43" t="s">
        <v>21</v>
      </c>
      <c r="C43" t="s">
        <v>16</v>
      </c>
      <c r="D43" t="s">
        <v>12</v>
      </c>
      <c r="E43" s="4">
        <v>12.86</v>
      </c>
      <c r="F43" s="4">
        <v>487.7</v>
      </c>
      <c r="G43" s="4">
        <v>398.23</v>
      </c>
      <c r="H43" s="4">
        <f t="shared" si="0"/>
        <v>89.46999999999997</v>
      </c>
      <c r="I43" s="4">
        <f t="shared" si="1"/>
        <v>385.37</v>
      </c>
      <c r="J43" s="7"/>
      <c r="K43" s="7"/>
      <c r="L43">
        <f t="shared" si="2"/>
        <v>0</v>
      </c>
      <c r="M43" s="4">
        <f t="shared" si="3"/>
        <v>385.37</v>
      </c>
      <c r="P43">
        <f t="shared" si="4"/>
        <v>0</v>
      </c>
      <c r="Q43" s="4">
        <f t="shared" si="5"/>
        <v>318.55749507400503</v>
      </c>
      <c r="R43" s="4">
        <f t="shared" si="6"/>
        <v>318.55749507400503</v>
      </c>
      <c r="S43" s="6">
        <f t="shared" si="7"/>
        <v>0.23216648934789935</v>
      </c>
      <c r="T43" s="6">
        <f t="shared" si="8"/>
        <v>0.28085981772054974</v>
      </c>
      <c r="U43" s="6">
        <f t="shared" si="9"/>
        <v>1.2097345250359706</v>
      </c>
    </row>
    <row r="44" spans="1:21" x14ac:dyDescent="0.25">
      <c r="A44" s="2">
        <v>45091</v>
      </c>
      <c r="B44" t="s">
        <v>21</v>
      </c>
      <c r="C44" t="s">
        <v>8</v>
      </c>
      <c r="D44" t="s">
        <v>13</v>
      </c>
      <c r="E44" s="4">
        <v>12.97</v>
      </c>
      <c r="F44" s="4">
        <v>312.5</v>
      </c>
      <c r="G44" s="4">
        <v>245.61</v>
      </c>
      <c r="H44" s="4">
        <f t="shared" si="0"/>
        <v>66.889999999999986</v>
      </c>
      <c r="I44" s="4">
        <f t="shared" si="1"/>
        <v>232.64000000000001</v>
      </c>
      <c r="J44" s="7">
        <v>2.2162000000000002</v>
      </c>
      <c r="K44" s="7">
        <v>4.3193999999999999</v>
      </c>
      <c r="L44">
        <f t="shared" si="2"/>
        <v>2.1031999999999997</v>
      </c>
      <c r="M44" s="4">
        <f t="shared" si="3"/>
        <v>230.53680000000003</v>
      </c>
      <c r="N44">
        <v>80</v>
      </c>
      <c r="O44">
        <v>82</v>
      </c>
      <c r="P44">
        <f t="shared" si="4"/>
        <v>2</v>
      </c>
      <c r="Q44" s="4">
        <f t="shared" si="5"/>
        <v>318.55749507400503</v>
      </c>
      <c r="R44" s="4">
        <f t="shared" si="6"/>
        <v>316.55749507400503</v>
      </c>
      <c r="S44" s="6">
        <f t="shared" si="7"/>
        <v>0.29014890464342341</v>
      </c>
      <c r="T44" s="6">
        <f t="shared" si="8"/>
        <v>0.21130442665514015</v>
      </c>
      <c r="U44" s="6">
        <f t="shared" si="9"/>
        <v>0.72826201744521946</v>
      </c>
    </row>
    <row r="45" spans="1:21" x14ac:dyDescent="0.25">
      <c r="A45" s="2">
        <v>45091</v>
      </c>
      <c r="B45" t="s">
        <v>21</v>
      </c>
      <c r="C45" t="s">
        <v>8</v>
      </c>
      <c r="D45" t="s">
        <v>12</v>
      </c>
      <c r="E45" s="4">
        <v>12.9</v>
      </c>
      <c r="F45" s="4">
        <v>397.11</v>
      </c>
      <c r="G45" s="4">
        <v>318.66000000000003</v>
      </c>
      <c r="H45" s="4">
        <f t="shared" si="0"/>
        <v>78.449999999999989</v>
      </c>
      <c r="I45" s="4">
        <f t="shared" si="1"/>
        <v>305.76000000000005</v>
      </c>
      <c r="J45" s="7">
        <v>2.2162000000000002</v>
      </c>
      <c r="K45" s="7">
        <v>2.4876</v>
      </c>
      <c r="L45">
        <f t="shared" si="2"/>
        <v>0.27139999999999986</v>
      </c>
      <c r="M45" s="4">
        <f t="shared" si="3"/>
        <v>305.48860000000002</v>
      </c>
      <c r="N45">
        <v>15</v>
      </c>
      <c r="O45">
        <v>15.6</v>
      </c>
      <c r="P45">
        <f t="shared" si="4"/>
        <v>0.59999999999999964</v>
      </c>
      <c r="Q45" s="4">
        <f t="shared" si="5"/>
        <v>318.55749507400503</v>
      </c>
      <c r="R45" s="4">
        <f t="shared" si="6"/>
        <v>317.95749507400501</v>
      </c>
      <c r="S45" s="6">
        <f t="shared" si="7"/>
        <v>0.25680172680748148</v>
      </c>
      <c r="T45" s="6">
        <f t="shared" si="8"/>
        <v>0.24673109209688751</v>
      </c>
      <c r="U45" s="6">
        <f t="shared" si="9"/>
        <v>0.96078439644549707</v>
      </c>
    </row>
    <row r="46" spans="1:21" x14ac:dyDescent="0.25">
      <c r="A46" s="2">
        <v>45091</v>
      </c>
      <c r="B46" t="s">
        <v>21</v>
      </c>
      <c r="C46" t="s">
        <v>15</v>
      </c>
      <c r="D46" t="s">
        <v>13</v>
      </c>
      <c r="E46" s="4">
        <v>12.84</v>
      </c>
      <c r="F46" s="4">
        <v>324.99</v>
      </c>
      <c r="G46" s="4">
        <v>260.02999999999997</v>
      </c>
      <c r="H46" s="4">
        <f t="shared" si="0"/>
        <v>64.960000000000036</v>
      </c>
      <c r="I46" s="4">
        <f t="shared" si="1"/>
        <v>247.18999999999997</v>
      </c>
      <c r="J46" s="7">
        <v>2.2162000000000002</v>
      </c>
      <c r="K46" s="7">
        <v>4.1029999999999998</v>
      </c>
      <c r="L46">
        <f t="shared" si="2"/>
        <v>1.8867999999999996</v>
      </c>
      <c r="M46" s="4">
        <f t="shared" si="3"/>
        <v>245.30319999999998</v>
      </c>
      <c r="N46">
        <v>80</v>
      </c>
      <c r="O46">
        <v>84</v>
      </c>
      <c r="P46">
        <f t="shared" si="4"/>
        <v>4</v>
      </c>
      <c r="Q46" s="4">
        <f t="shared" si="5"/>
        <v>318.55749507400503</v>
      </c>
      <c r="R46" s="4">
        <f t="shared" si="6"/>
        <v>314.55749507400503</v>
      </c>
      <c r="S46" s="6">
        <f t="shared" si="7"/>
        <v>0.2648151349024393</v>
      </c>
      <c r="T46" s="6">
        <f t="shared" si="8"/>
        <v>0.20651232610024786</v>
      </c>
      <c r="U46" s="6">
        <f t="shared" si="9"/>
        <v>0.7798358132979416</v>
      </c>
    </row>
    <row r="47" spans="1:21" x14ac:dyDescent="0.25">
      <c r="A47" s="2">
        <v>45091</v>
      </c>
      <c r="B47" t="s">
        <v>21</v>
      </c>
      <c r="C47" t="s">
        <v>15</v>
      </c>
      <c r="D47" t="s">
        <v>12</v>
      </c>
      <c r="E47" s="4">
        <v>12.87</v>
      </c>
      <c r="F47" s="4">
        <v>454.3</v>
      </c>
      <c r="G47" s="4">
        <v>364.07</v>
      </c>
      <c r="H47" s="4">
        <f t="shared" si="0"/>
        <v>90.230000000000018</v>
      </c>
      <c r="I47" s="4">
        <f t="shared" si="1"/>
        <v>351.2</v>
      </c>
      <c r="J47" s="7">
        <v>2.2162000000000002</v>
      </c>
      <c r="K47" s="7">
        <v>2.3058000000000001</v>
      </c>
      <c r="L47">
        <f t="shared" si="2"/>
        <v>8.9599999999999902E-2</v>
      </c>
      <c r="M47" s="4">
        <f t="shared" si="3"/>
        <v>351.11039999999997</v>
      </c>
      <c r="N47">
        <v>15</v>
      </c>
      <c r="O47">
        <v>15.1</v>
      </c>
      <c r="P47">
        <f t="shared" si="4"/>
        <v>9.9999999999999645E-2</v>
      </c>
      <c r="Q47" s="4">
        <f t="shared" si="5"/>
        <v>318.55749507400503</v>
      </c>
      <c r="R47" s="4">
        <f t="shared" si="6"/>
        <v>318.45749507400501</v>
      </c>
      <c r="S47" s="6">
        <f t="shared" si="7"/>
        <v>0.25698469769052706</v>
      </c>
      <c r="T47" s="6">
        <f t="shared" si="8"/>
        <v>0.28333451526720022</v>
      </c>
      <c r="U47" s="6">
        <f t="shared" si="9"/>
        <v>1.1025345781810125</v>
      </c>
    </row>
    <row r="48" spans="1:21" x14ac:dyDescent="0.25">
      <c r="A48" s="2">
        <v>45091</v>
      </c>
      <c r="B48" t="s">
        <v>21</v>
      </c>
      <c r="C48" t="s">
        <v>11</v>
      </c>
      <c r="D48" t="s">
        <v>13</v>
      </c>
      <c r="E48" s="4">
        <v>12.9</v>
      </c>
      <c r="F48" s="4">
        <v>312.81</v>
      </c>
      <c r="G48" s="4">
        <v>243.69</v>
      </c>
      <c r="H48" s="4">
        <f t="shared" si="0"/>
        <v>69.12</v>
      </c>
      <c r="I48" s="4">
        <f t="shared" si="1"/>
        <v>230.79</v>
      </c>
      <c r="J48" s="7">
        <v>2.2162000000000002</v>
      </c>
      <c r="K48" s="7">
        <v>4.1026999999999996</v>
      </c>
      <c r="L48">
        <f t="shared" si="2"/>
        <v>1.8864999999999994</v>
      </c>
      <c r="M48" s="4">
        <f t="shared" si="3"/>
        <v>228.90349999999998</v>
      </c>
      <c r="N48">
        <v>15</v>
      </c>
      <c r="O48">
        <v>15.2</v>
      </c>
      <c r="P48">
        <f t="shared" si="4"/>
        <v>0.19999999999999929</v>
      </c>
      <c r="Q48" s="4">
        <f t="shared" si="5"/>
        <v>318.55749507400503</v>
      </c>
      <c r="R48" s="4">
        <f t="shared" si="6"/>
        <v>318.35749507400504</v>
      </c>
      <c r="S48" s="6">
        <f t="shared" si="7"/>
        <v>0.30196130683890815</v>
      </c>
      <c r="T48" s="6">
        <f t="shared" si="8"/>
        <v>0.21711441090442191</v>
      </c>
      <c r="U48" s="6">
        <f t="shared" si="9"/>
        <v>0.71901401268027099</v>
      </c>
    </row>
    <row r="49" spans="1:21" x14ac:dyDescent="0.25">
      <c r="A49" s="2">
        <v>45091</v>
      </c>
      <c r="B49" t="s">
        <v>21</v>
      </c>
      <c r="C49" t="s">
        <v>11</v>
      </c>
      <c r="D49" t="s">
        <v>12</v>
      </c>
      <c r="E49" s="4">
        <v>12.82</v>
      </c>
      <c r="F49" s="4">
        <v>411.74</v>
      </c>
      <c r="G49" s="4">
        <v>324.99</v>
      </c>
      <c r="H49" s="4">
        <f t="shared" si="0"/>
        <v>86.75</v>
      </c>
      <c r="I49" s="4">
        <f t="shared" si="1"/>
        <v>312.17</v>
      </c>
      <c r="J49" s="7">
        <v>2.2162000000000002</v>
      </c>
      <c r="K49" s="7">
        <v>2.6246999999999998</v>
      </c>
      <c r="L49">
        <f t="shared" si="2"/>
        <v>0.40849999999999964</v>
      </c>
      <c r="M49" s="4">
        <f t="shared" si="3"/>
        <v>311.76150000000001</v>
      </c>
      <c r="N49">
        <v>80</v>
      </c>
      <c r="O49">
        <v>81</v>
      </c>
      <c r="P49">
        <f t="shared" si="4"/>
        <v>1</v>
      </c>
      <c r="Q49" s="4">
        <f t="shared" si="5"/>
        <v>318.55749507400503</v>
      </c>
      <c r="R49" s="4">
        <f t="shared" si="6"/>
        <v>317.55749507400503</v>
      </c>
      <c r="S49" s="6">
        <f t="shared" si="7"/>
        <v>0.27825757830905995</v>
      </c>
      <c r="T49" s="6">
        <f t="shared" si="8"/>
        <v>0.27317887735505469</v>
      </c>
      <c r="U49" s="6">
        <f t="shared" si="9"/>
        <v>0.98174820256516293</v>
      </c>
    </row>
    <row r="50" spans="1:21" x14ac:dyDescent="0.25">
      <c r="A50" s="2">
        <v>45091</v>
      </c>
      <c r="B50" t="s">
        <v>21</v>
      </c>
      <c r="C50" t="s">
        <v>19</v>
      </c>
      <c r="D50" t="s">
        <v>13</v>
      </c>
      <c r="E50" s="4">
        <v>12.77</v>
      </c>
      <c r="F50" s="4">
        <v>325.8</v>
      </c>
      <c r="G50" s="4">
        <v>256.97000000000003</v>
      </c>
      <c r="H50" s="4">
        <f t="shared" si="0"/>
        <v>68.829999999999984</v>
      </c>
      <c r="I50" s="4">
        <f t="shared" si="1"/>
        <v>244.20000000000002</v>
      </c>
      <c r="J50" s="7">
        <v>2.2162000000000002</v>
      </c>
      <c r="K50" s="7">
        <v>4.5358999999999998</v>
      </c>
      <c r="L50">
        <f t="shared" si="2"/>
        <v>2.3196999999999997</v>
      </c>
      <c r="M50" s="4">
        <f t="shared" si="3"/>
        <v>241.88030000000001</v>
      </c>
      <c r="N50">
        <v>80</v>
      </c>
      <c r="O50">
        <v>85</v>
      </c>
      <c r="P50">
        <f t="shared" si="4"/>
        <v>5</v>
      </c>
      <c r="Q50" s="4">
        <f t="shared" si="5"/>
        <v>318.55749507400503</v>
      </c>
      <c r="R50" s="4">
        <f t="shared" si="6"/>
        <v>313.55749507400503</v>
      </c>
      <c r="S50" s="6">
        <f t="shared" si="7"/>
        <v>0.28456224008321462</v>
      </c>
      <c r="T50" s="6">
        <f t="shared" si="8"/>
        <v>0.21951317088993488</v>
      </c>
      <c r="U50" s="6">
        <f t="shared" si="9"/>
        <v>0.77140653245399871</v>
      </c>
    </row>
    <row r="51" spans="1:21" x14ac:dyDescent="0.25">
      <c r="A51" s="2">
        <v>45091</v>
      </c>
      <c r="B51" t="s">
        <v>21</v>
      </c>
      <c r="C51" t="s">
        <v>19</v>
      </c>
      <c r="D51" t="s">
        <v>12</v>
      </c>
      <c r="E51" s="4">
        <v>12.83</v>
      </c>
      <c r="F51" s="4">
        <v>382.12</v>
      </c>
      <c r="G51" s="4">
        <v>307.8</v>
      </c>
      <c r="H51" s="4">
        <f t="shared" si="0"/>
        <v>74.319999999999993</v>
      </c>
      <c r="I51" s="4">
        <f t="shared" si="1"/>
        <v>294.97000000000003</v>
      </c>
      <c r="J51" s="7">
        <v>2.2162000000000002</v>
      </c>
      <c r="K51" s="7">
        <v>2.2966000000000002</v>
      </c>
      <c r="L51">
        <f t="shared" si="2"/>
        <v>8.0400000000000027E-2</v>
      </c>
      <c r="M51" s="4">
        <f t="shared" si="3"/>
        <v>294.88960000000003</v>
      </c>
      <c r="N51">
        <v>15</v>
      </c>
      <c r="O51">
        <v>15.2</v>
      </c>
      <c r="P51">
        <f t="shared" si="4"/>
        <v>0.19999999999999929</v>
      </c>
      <c r="Q51" s="4">
        <f t="shared" si="5"/>
        <v>318.55749507400503</v>
      </c>
      <c r="R51" s="4">
        <f t="shared" si="6"/>
        <v>318.35749507400504</v>
      </c>
      <c r="S51" s="6">
        <f t="shared" si="7"/>
        <v>0.25202652111162954</v>
      </c>
      <c r="T51" s="6">
        <f t="shared" si="8"/>
        <v>0.23344824968774064</v>
      </c>
      <c r="U51" s="6">
        <f t="shared" si="9"/>
        <v>0.9262844587071849</v>
      </c>
    </row>
    <row r="52" spans="1:21" x14ac:dyDescent="0.25">
      <c r="A52" s="2">
        <v>45091</v>
      </c>
      <c r="B52" t="s">
        <v>10</v>
      </c>
      <c r="C52" t="s">
        <v>16</v>
      </c>
      <c r="D52" t="s">
        <v>13</v>
      </c>
      <c r="E52" s="4">
        <v>12.79</v>
      </c>
      <c r="F52" s="4">
        <v>333.64</v>
      </c>
      <c r="G52" s="4">
        <v>275.32</v>
      </c>
      <c r="H52" s="4">
        <f t="shared" si="0"/>
        <v>58.319999999999993</v>
      </c>
      <c r="I52" s="4">
        <f t="shared" si="1"/>
        <v>262.52999999999997</v>
      </c>
      <c r="J52" s="7">
        <v>2.2162000000000002</v>
      </c>
      <c r="K52" s="7">
        <v>2.6930000000000001</v>
      </c>
      <c r="L52">
        <f t="shared" si="2"/>
        <v>0.47679999999999989</v>
      </c>
      <c r="M52" s="4">
        <f t="shared" si="3"/>
        <v>262.05319999999995</v>
      </c>
      <c r="N52">
        <v>80</v>
      </c>
      <c r="O52">
        <v>81</v>
      </c>
      <c r="P52">
        <f t="shared" si="4"/>
        <v>1</v>
      </c>
      <c r="Q52" s="4">
        <f t="shared" si="5"/>
        <v>318.55749507400503</v>
      </c>
      <c r="R52" s="4">
        <f t="shared" si="6"/>
        <v>317.55749507400503</v>
      </c>
      <c r="S52" s="6">
        <f t="shared" si="7"/>
        <v>0.22255023025858872</v>
      </c>
      <c r="T52" s="6">
        <f t="shared" si="8"/>
        <v>0.18365178244780159</v>
      </c>
      <c r="U52" s="6">
        <f t="shared" si="9"/>
        <v>0.82521497387088871</v>
      </c>
    </row>
    <row r="53" spans="1:21" x14ac:dyDescent="0.25">
      <c r="A53" s="2">
        <v>45091</v>
      </c>
      <c r="B53" t="s">
        <v>10</v>
      </c>
      <c r="C53" t="s">
        <v>16</v>
      </c>
      <c r="D53" t="s">
        <v>12</v>
      </c>
      <c r="E53" s="4">
        <v>12.85</v>
      </c>
      <c r="F53" s="4">
        <v>385.47</v>
      </c>
      <c r="G53" s="4">
        <v>314.93</v>
      </c>
      <c r="H53" s="4">
        <f t="shared" si="0"/>
        <v>70.54000000000002</v>
      </c>
      <c r="I53" s="4">
        <f t="shared" si="1"/>
        <v>302.08</v>
      </c>
      <c r="J53" s="7">
        <v>2.2162000000000002</v>
      </c>
      <c r="K53" s="7">
        <v>4.0762</v>
      </c>
      <c r="L53">
        <f t="shared" si="2"/>
        <v>1.8599999999999999</v>
      </c>
      <c r="M53" s="4">
        <f t="shared" si="3"/>
        <v>300.21999999999997</v>
      </c>
      <c r="N53">
        <v>80</v>
      </c>
      <c r="O53">
        <v>83.5</v>
      </c>
      <c r="P53">
        <f t="shared" si="4"/>
        <v>3.5</v>
      </c>
      <c r="Q53" s="4">
        <f t="shared" si="5"/>
        <v>318.55749507400503</v>
      </c>
      <c r="R53" s="4">
        <f t="shared" si="6"/>
        <v>315.05749507400503</v>
      </c>
      <c r="S53" s="6">
        <f t="shared" si="7"/>
        <v>0.23496102857904214</v>
      </c>
      <c r="T53" s="6">
        <f t="shared" si="8"/>
        <v>0.22389564159846639</v>
      </c>
      <c r="U53" s="6">
        <f t="shared" si="9"/>
        <v>0.95290543692502916</v>
      </c>
    </row>
    <row r="54" spans="1:21" x14ac:dyDescent="0.25">
      <c r="A54" s="2">
        <v>45091</v>
      </c>
      <c r="B54" t="s">
        <v>10</v>
      </c>
      <c r="C54" t="s">
        <v>8</v>
      </c>
      <c r="D54" t="s">
        <v>13</v>
      </c>
      <c r="E54" s="4">
        <v>12.84</v>
      </c>
      <c r="F54" s="4">
        <v>346.2</v>
      </c>
      <c r="G54" s="4">
        <v>275.32</v>
      </c>
      <c r="H54" s="4">
        <f t="shared" si="0"/>
        <v>70.88</v>
      </c>
      <c r="I54" s="4">
        <f t="shared" si="1"/>
        <v>262.48</v>
      </c>
      <c r="J54" s="7">
        <v>2.2162000000000002</v>
      </c>
      <c r="K54" s="7">
        <v>2.6414</v>
      </c>
      <c r="L54">
        <f t="shared" si="2"/>
        <v>0.4251999999999998</v>
      </c>
      <c r="M54" s="4">
        <f t="shared" si="3"/>
        <v>262.0548</v>
      </c>
      <c r="N54">
        <v>15</v>
      </c>
      <c r="O54">
        <v>15.5</v>
      </c>
      <c r="P54">
        <f t="shared" si="4"/>
        <v>0.5</v>
      </c>
      <c r="Q54" s="4">
        <f t="shared" si="5"/>
        <v>318.55749507400503</v>
      </c>
      <c r="R54" s="4">
        <f t="shared" si="6"/>
        <v>318.05749507400503</v>
      </c>
      <c r="S54" s="6">
        <f t="shared" si="7"/>
        <v>0.27047777793041761</v>
      </c>
      <c r="T54" s="6">
        <f t="shared" si="8"/>
        <v>0.22285278950432458</v>
      </c>
      <c r="U54" s="6">
        <f t="shared" si="9"/>
        <v>0.82392273113710324</v>
      </c>
    </row>
    <row r="55" spans="1:21" x14ac:dyDescent="0.25">
      <c r="A55" s="2">
        <v>45091</v>
      </c>
      <c r="B55" t="s">
        <v>10</v>
      </c>
      <c r="C55" t="s">
        <v>8</v>
      </c>
      <c r="D55" t="s">
        <v>12</v>
      </c>
      <c r="E55" s="4">
        <v>12.89</v>
      </c>
      <c r="F55" s="4">
        <v>341.45</v>
      </c>
      <c r="G55" s="4">
        <v>276.79000000000002</v>
      </c>
      <c r="H55" s="4">
        <f t="shared" si="0"/>
        <v>64.659999999999968</v>
      </c>
      <c r="I55" s="4">
        <f t="shared" si="1"/>
        <v>263.90000000000003</v>
      </c>
      <c r="J55" s="7">
        <v>2.2162000000000002</v>
      </c>
      <c r="K55" s="7">
        <v>2.5829</v>
      </c>
      <c r="L55">
        <f t="shared" si="2"/>
        <v>0.3666999999999998</v>
      </c>
      <c r="M55" s="4">
        <f t="shared" si="3"/>
        <v>263.53330000000005</v>
      </c>
      <c r="N55">
        <v>80</v>
      </c>
      <c r="O55">
        <v>81</v>
      </c>
      <c r="P55">
        <f t="shared" si="4"/>
        <v>1</v>
      </c>
      <c r="Q55" s="4">
        <f t="shared" si="5"/>
        <v>318.55749507400503</v>
      </c>
      <c r="R55" s="4">
        <f t="shared" si="6"/>
        <v>317.55749507400503</v>
      </c>
      <c r="S55" s="6">
        <f t="shared" si="7"/>
        <v>0.24535798701720032</v>
      </c>
      <c r="T55" s="6">
        <f t="shared" si="8"/>
        <v>0.20361667100608447</v>
      </c>
      <c r="U55" s="6">
        <f t="shared" si="9"/>
        <v>0.82987586212879361</v>
      </c>
    </row>
    <row r="56" spans="1:21" x14ac:dyDescent="0.25">
      <c r="A56" s="2">
        <v>45091</v>
      </c>
      <c r="B56" t="s">
        <v>10</v>
      </c>
      <c r="C56" t="s">
        <v>15</v>
      </c>
      <c r="D56" t="s">
        <v>13</v>
      </c>
      <c r="E56" s="4">
        <v>12.83</v>
      </c>
      <c r="F56" s="4">
        <v>333.03</v>
      </c>
      <c r="G56" s="4">
        <v>277.66000000000003</v>
      </c>
      <c r="H56" s="4">
        <f t="shared" si="0"/>
        <v>55.369999999999948</v>
      </c>
      <c r="I56" s="4">
        <f t="shared" si="1"/>
        <v>264.83000000000004</v>
      </c>
      <c r="J56" s="7">
        <v>2.2162000000000002</v>
      </c>
      <c r="K56" s="7">
        <v>3.085</v>
      </c>
      <c r="L56">
        <f t="shared" si="2"/>
        <v>0.86879999999999979</v>
      </c>
      <c r="M56" s="4">
        <f t="shared" si="3"/>
        <v>263.96120000000002</v>
      </c>
      <c r="N56">
        <v>80</v>
      </c>
      <c r="O56">
        <v>82</v>
      </c>
      <c r="P56">
        <f t="shared" si="4"/>
        <v>2</v>
      </c>
      <c r="Q56" s="4">
        <f t="shared" si="5"/>
        <v>318.55749507400503</v>
      </c>
      <c r="R56" s="4">
        <f t="shared" si="6"/>
        <v>316.55749507400503</v>
      </c>
      <c r="S56" s="6">
        <f t="shared" si="7"/>
        <v>0.20976567768293197</v>
      </c>
      <c r="T56" s="6">
        <f t="shared" si="8"/>
        <v>0.174912933232099</v>
      </c>
      <c r="U56" s="6">
        <f t="shared" si="9"/>
        <v>0.83384915570642537</v>
      </c>
    </row>
    <row r="57" spans="1:21" x14ac:dyDescent="0.25">
      <c r="A57" s="2">
        <v>45091</v>
      </c>
      <c r="B57" t="s">
        <v>10</v>
      </c>
      <c r="C57" t="s">
        <v>15</v>
      </c>
      <c r="D57" t="s">
        <v>12</v>
      </c>
      <c r="E57" s="4">
        <v>12.94</v>
      </c>
      <c r="F57" s="4">
        <v>345.64</v>
      </c>
      <c r="G57" s="4">
        <v>280.83</v>
      </c>
      <c r="H57" s="4">
        <f t="shared" si="0"/>
        <v>64.81</v>
      </c>
      <c r="I57" s="4">
        <f t="shared" si="1"/>
        <v>267.89</v>
      </c>
      <c r="J57" s="7">
        <v>2.2162000000000002</v>
      </c>
      <c r="K57" s="7">
        <v>2.7696000000000001</v>
      </c>
      <c r="L57">
        <f t="shared" si="2"/>
        <v>0.55339999999999989</v>
      </c>
      <c r="M57" s="4">
        <f t="shared" si="3"/>
        <v>267.33659999999998</v>
      </c>
      <c r="N57">
        <v>80</v>
      </c>
      <c r="O57">
        <v>80.900000000000006</v>
      </c>
      <c r="P57">
        <f t="shared" si="4"/>
        <v>0.90000000000000568</v>
      </c>
      <c r="Q57" s="4">
        <f t="shared" si="5"/>
        <v>318.55749507400503</v>
      </c>
      <c r="R57" s="4">
        <f t="shared" si="6"/>
        <v>317.65749507400506</v>
      </c>
      <c r="S57" s="6">
        <f t="shared" si="7"/>
        <v>0.24242845910361696</v>
      </c>
      <c r="T57" s="6">
        <f t="shared" si="8"/>
        <v>0.20402477827542251</v>
      </c>
      <c r="U57" s="6">
        <f t="shared" si="9"/>
        <v>0.8415875719781718</v>
      </c>
    </row>
    <row r="58" spans="1:21" x14ac:dyDescent="0.25">
      <c r="A58" s="2">
        <v>45091</v>
      </c>
      <c r="B58" t="s">
        <v>10</v>
      </c>
      <c r="C58" t="s">
        <v>11</v>
      </c>
      <c r="D58" t="s">
        <v>13</v>
      </c>
      <c r="E58" s="4">
        <v>12.84</v>
      </c>
      <c r="F58" s="4">
        <v>349.75</v>
      </c>
      <c r="G58" s="4">
        <v>281.82</v>
      </c>
      <c r="H58" s="4">
        <f t="shared" si="0"/>
        <v>67.930000000000007</v>
      </c>
      <c r="I58" s="4">
        <f t="shared" si="1"/>
        <v>268.98</v>
      </c>
      <c r="J58" s="7">
        <v>2.2162000000000002</v>
      </c>
      <c r="K58" s="7">
        <v>2.6505999999999998</v>
      </c>
      <c r="L58">
        <f t="shared" si="2"/>
        <v>0.43439999999999968</v>
      </c>
      <c r="M58" s="4">
        <f t="shared" si="3"/>
        <v>268.54560000000004</v>
      </c>
      <c r="N58">
        <v>80</v>
      </c>
      <c r="O58">
        <v>80.5</v>
      </c>
      <c r="P58">
        <f t="shared" si="4"/>
        <v>0.5</v>
      </c>
      <c r="Q58" s="4">
        <f t="shared" si="5"/>
        <v>318.55749507400503</v>
      </c>
      <c r="R58" s="4">
        <f t="shared" si="6"/>
        <v>318.05749507400503</v>
      </c>
      <c r="S58" s="6">
        <f t="shared" si="7"/>
        <v>0.2529551778171007</v>
      </c>
      <c r="T58" s="6">
        <f t="shared" si="8"/>
        <v>0.21357773689374676</v>
      </c>
      <c r="U58" s="6">
        <f t="shared" si="9"/>
        <v>0.84433036214887924</v>
      </c>
    </row>
    <row r="59" spans="1:21" x14ac:dyDescent="0.25">
      <c r="A59" s="2">
        <v>45091</v>
      </c>
      <c r="B59" t="s">
        <v>10</v>
      </c>
      <c r="C59" t="s">
        <v>11</v>
      </c>
      <c r="D59" t="s">
        <v>12</v>
      </c>
      <c r="E59" s="4">
        <v>12.83</v>
      </c>
      <c r="F59" s="4">
        <v>193.62</v>
      </c>
      <c r="G59" s="4">
        <v>153.33000000000001</v>
      </c>
      <c r="H59" s="4">
        <f t="shared" si="0"/>
        <v>40.289999999999992</v>
      </c>
      <c r="I59" s="4">
        <f t="shared" si="1"/>
        <v>140.5</v>
      </c>
      <c r="J59" s="7">
        <v>2.2162000000000002</v>
      </c>
      <c r="K59" s="7">
        <v>6.6395</v>
      </c>
      <c r="L59">
        <f t="shared" si="2"/>
        <v>4.4232999999999993</v>
      </c>
      <c r="M59" s="4">
        <f t="shared" si="3"/>
        <v>136.07669999999999</v>
      </c>
      <c r="N59">
        <v>15</v>
      </c>
      <c r="O59">
        <v>17</v>
      </c>
      <c r="P59">
        <f t="shared" si="4"/>
        <v>2</v>
      </c>
      <c r="Q59" s="4">
        <f t="shared" si="5"/>
        <v>318.55749507400503</v>
      </c>
      <c r="R59" s="4">
        <f t="shared" si="6"/>
        <v>316.55749507400503</v>
      </c>
      <c r="S59" s="6">
        <f t="shared" si="7"/>
        <v>0.2960830178862362</v>
      </c>
      <c r="T59" s="6">
        <f t="shared" si="8"/>
        <v>0.12727545746652111</v>
      </c>
      <c r="U59" s="6">
        <f t="shared" si="9"/>
        <v>0.42986409141311877</v>
      </c>
    </row>
    <row r="60" spans="1:21" x14ac:dyDescent="0.25">
      <c r="A60" s="2">
        <v>45091</v>
      </c>
      <c r="B60" t="s">
        <v>10</v>
      </c>
      <c r="C60" t="s">
        <v>19</v>
      </c>
      <c r="D60" t="s">
        <v>13</v>
      </c>
      <c r="E60" s="4">
        <v>13.03</v>
      </c>
      <c r="F60" s="4">
        <v>311.86</v>
      </c>
      <c r="G60" s="4">
        <v>254.84</v>
      </c>
      <c r="H60" s="4">
        <f t="shared" si="0"/>
        <v>57.02000000000001</v>
      </c>
      <c r="I60" s="4">
        <f t="shared" si="1"/>
        <v>241.81</v>
      </c>
      <c r="J60" s="7">
        <v>2.2162000000000002</v>
      </c>
      <c r="K60" s="7">
        <v>2.7092999999999998</v>
      </c>
      <c r="L60">
        <f t="shared" si="2"/>
        <v>0.49309999999999965</v>
      </c>
      <c r="M60" s="4">
        <f t="shared" si="3"/>
        <v>241.3169</v>
      </c>
      <c r="N60">
        <v>80</v>
      </c>
      <c r="O60">
        <v>81.5</v>
      </c>
      <c r="P60">
        <f t="shared" si="4"/>
        <v>1.5</v>
      </c>
      <c r="Q60" s="4">
        <f t="shared" si="5"/>
        <v>318.55749507400503</v>
      </c>
      <c r="R60" s="4">
        <f t="shared" si="6"/>
        <v>317.05749507400503</v>
      </c>
      <c r="S60" s="6">
        <f t="shared" si="7"/>
        <v>0.23628680792766693</v>
      </c>
      <c r="T60" s="6">
        <f t="shared" si="8"/>
        <v>0.17984119879169189</v>
      </c>
      <c r="U60" s="6">
        <f t="shared" si="9"/>
        <v>0.76111400534364826</v>
      </c>
    </row>
    <row r="61" spans="1:21" x14ac:dyDescent="0.25">
      <c r="A61" s="2">
        <v>45091</v>
      </c>
      <c r="B61" t="s">
        <v>10</v>
      </c>
      <c r="C61" t="s">
        <v>19</v>
      </c>
      <c r="D61" t="s">
        <v>12</v>
      </c>
      <c r="E61" s="4">
        <v>12.93</v>
      </c>
      <c r="F61" s="4">
        <v>276.83999999999997</v>
      </c>
      <c r="G61" s="4">
        <v>224.26</v>
      </c>
      <c r="H61" s="4">
        <f t="shared" si="0"/>
        <v>52.579999999999984</v>
      </c>
      <c r="I61" s="4">
        <f t="shared" si="1"/>
        <v>211.32999999999998</v>
      </c>
      <c r="J61" s="7">
        <v>2.2162000000000002</v>
      </c>
      <c r="K61" s="7">
        <v>4.3651</v>
      </c>
      <c r="L61">
        <f t="shared" si="2"/>
        <v>2.1488999999999998</v>
      </c>
      <c r="M61" s="4">
        <f t="shared" si="3"/>
        <v>209.18109999999999</v>
      </c>
      <c r="N61">
        <v>80</v>
      </c>
      <c r="O61">
        <v>81.5</v>
      </c>
      <c r="P61">
        <f t="shared" si="4"/>
        <v>1.5</v>
      </c>
      <c r="Q61" s="4">
        <f t="shared" si="5"/>
        <v>318.55749507400503</v>
      </c>
      <c r="R61" s="4">
        <f t="shared" si="6"/>
        <v>317.05749507400503</v>
      </c>
      <c r="S61" s="6">
        <f t="shared" si="7"/>
        <v>0.25136114113559965</v>
      </c>
      <c r="T61" s="6">
        <f t="shared" si="8"/>
        <v>0.16583742954168984</v>
      </c>
      <c r="U61" s="6">
        <f t="shared" si="9"/>
        <v>0.65975762519405068</v>
      </c>
    </row>
    <row r="62" spans="1:21" x14ac:dyDescent="0.25">
      <c r="A62" s="2">
        <v>45089</v>
      </c>
      <c r="B62" t="s">
        <v>7</v>
      </c>
      <c r="C62" t="s">
        <v>16</v>
      </c>
      <c r="D62" t="s">
        <v>13</v>
      </c>
      <c r="E62" s="4">
        <v>12.77</v>
      </c>
      <c r="F62" s="4">
        <v>348</v>
      </c>
      <c r="G62" s="4">
        <v>275.38</v>
      </c>
      <c r="H62" s="4">
        <f t="shared" si="0"/>
        <v>72.62</v>
      </c>
      <c r="I62" s="4">
        <f t="shared" si="1"/>
        <v>262.61</v>
      </c>
      <c r="J62" s="7">
        <v>2.2162000000000002</v>
      </c>
      <c r="K62" s="7">
        <v>2.8130000000000002</v>
      </c>
      <c r="L62">
        <f t="shared" si="2"/>
        <v>0.5968</v>
      </c>
      <c r="M62" s="4">
        <f t="shared" si="3"/>
        <v>262.01320000000004</v>
      </c>
      <c r="N62">
        <v>80</v>
      </c>
      <c r="O62">
        <v>82.5</v>
      </c>
      <c r="P62">
        <f t="shared" si="4"/>
        <v>2.5</v>
      </c>
      <c r="Q62" s="4">
        <f t="shared" si="5"/>
        <v>318.55749507400503</v>
      </c>
      <c r="R62" s="4">
        <f t="shared" si="6"/>
        <v>316.05749507400503</v>
      </c>
      <c r="S62" s="6">
        <f t="shared" si="7"/>
        <v>0.2771616086517778</v>
      </c>
      <c r="T62" s="6">
        <f t="shared" si="8"/>
        <v>0.22976832105499032</v>
      </c>
      <c r="U62" s="6">
        <f t="shared" si="9"/>
        <v>0.8290048617219139</v>
      </c>
    </row>
    <row r="63" spans="1:21" x14ac:dyDescent="0.25">
      <c r="A63" s="2">
        <v>45089</v>
      </c>
      <c r="B63" t="s">
        <v>7</v>
      </c>
      <c r="C63" t="s">
        <v>16</v>
      </c>
      <c r="D63" t="s">
        <v>12</v>
      </c>
      <c r="E63" s="4">
        <v>12.95</v>
      </c>
      <c r="F63" s="4">
        <v>398.97</v>
      </c>
      <c r="G63" s="4">
        <v>315.58999999999997</v>
      </c>
      <c r="H63" s="4">
        <f t="shared" si="0"/>
        <v>83.380000000000052</v>
      </c>
      <c r="I63" s="4">
        <f t="shared" si="1"/>
        <v>302.64</v>
      </c>
      <c r="J63" s="7">
        <v>2.2162000000000002</v>
      </c>
      <c r="K63" s="7">
        <v>3.8289</v>
      </c>
      <c r="L63">
        <f t="shared" si="2"/>
        <v>1.6126999999999998</v>
      </c>
      <c r="M63" s="4">
        <f t="shared" si="3"/>
        <v>301.02729999999997</v>
      </c>
      <c r="N63">
        <v>15</v>
      </c>
      <c r="O63">
        <v>17.899999999999999</v>
      </c>
      <c r="P63">
        <f t="shared" si="4"/>
        <v>2.8999999999999986</v>
      </c>
      <c r="Q63" s="4">
        <f t="shared" si="5"/>
        <v>318.55749507400503</v>
      </c>
      <c r="R63" s="4">
        <f t="shared" si="6"/>
        <v>315.65749507400506</v>
      </c>
      <c r="S63" s="6">
        <f t="shared" si="7"/>
        <v>0.27698484489612757</v>
      </c>
      <c r="T63" s="6">
        <f t="shared" si="8"/>
        <v>0.26414706224685663</v>
      </c>
      <c r="U63" s="6">
        <f t="shared" si="9"/>
        <v>0.95365167847329246</v>
      </c>
    </row>
    <row r="64" spans="1:21" x14ac:dyDescent="0.25">
      <c r="A64" s="2">
        <v>45089</v>
      </c>
      <c r="B64" t="s">
        <v>7</v>
      </c>
      <c r="C64" t="s">
        <v>8</v>
      </c>
      <c r="D64" t="s">
        <v>13</v>
      </c>
      <c r="E64" s="4">
        <v>12.9</v>
      </c>
      <c r="F64" s="4">
        <v>332.67</v>
      </c>
      <c r="G64" s="4">
        <v>262.76</v>
      </c>
      <c r="H64" s="4">
        <f t="shared" si="0"/>
        <v>69.910000000000025</v>
      </c>
      <c r="I64" s="4">
        <f t="shared" si="1"/>
        <v>249.85999999999999</v>
      </c>
      <c r="J64" s="7">
        <v>2.2162000000000002</v>
      </c>
      <c r="K64" s="7">
        <v>3.9276</v>
      </c>
      <c r="L64">
        <f t="shared" si="2"/>
        <v>1.7113999999999998</v>
      </c>
      <c r="M64" s="4">
        <f t="shared" si="3"/>
        <v>248.14859999999999</v>
      </c>
      <c r="N64">
        <v>80</v>
      </c>
      <c r="O64">
        <v>84</v>
      </c>
      <c r="P64">
        <f t="shared" si="4"/>
        <v>4</v>
      </c>
      <c r="Q64" s="4">
        <f t="shared" si="5"/>
        <v>318.55749507400503</v>
      </c>
      <c r="R64" s="4">
        <f t="shared" si="6"/>
        <v>314.55749507400503</v>
      </c>
      <c r="S64" s="6">
        <f t="shared" si="7"/>
        <v>0.28172635267738777</v>
      </c>
      <c r="T64" s="6">
        <f t="shared" si="8"/>
        <v>0.22224871794440154</v>
      </c>
      <c r="U64" s="6">
        <f t="shared" si="9"/>
        <v>0.78888153639962955</v>
      </c>
    </row>
    <row r="65" spans="1:21" x14ac:dyDescent="0.25">
      <c r="A65" s="2">
        <v>45089</v>
      </c>
      <c r="B65" t="s">
        <v>7</v>
      </c>
      <c r="C65" t="s">
        <v>8</v>
      </c>
      <c r="D65" t="s">
        <v>12</v>
      </c>
      <c r="E65" s="4">
        <v>12.86</v>
      </c>
      <c r="F65" s="4">
        <v>462.64</v>
      </c>
      <c r="G65" s="4">
        <v>364.9</v>
      </c>
      <c r="H65" s="4">
        <f t="shared" si="0"/>
        <v>97.740000000000009</v>
      </c>
      <c r="I65" s="4">
        <f t="shared" si="1"/>
        <v>352.03999999999996</v>
      </c>
      <c r="J65" s="7">
        <v>2.2162000000000002</v>
      </c>
      <c r="K65" s="7">
        <v>3.1236000000000002</v>
      </c>
      <c r="L65">
        <f t="shared" si="2"/>
        <v>0.90739999999999998</v>
      </c>
      <c r="M65" s="4">
        <f t="shared" si="3"/>
        <v>351.13259999999997</v>
      </c>
      <c r="N65">
        <v>80</v>
      </c>
      <c r="O65">
        <v>82</v>
      </c>
      <c r="P65">
        <f t="shared" si="4"/>
        <v>2</v>
      </c>
      <c r="Q65" s="4">
        <f t="shared" si="5"/>
        <v>318.55749507400503</v>
      </c>
      <c r="R65" s="4">
        <f t="shared" si="6"/>
        <v>316.55749507400503</v>
      </c>
      <c r="S65" s="6">
        <f t="shared" si="7"/>
        <v>0.27835638160626502</v>
      </c>
      <c r="T65" s="6">
        <f t="shared" si="8"/>
        <v>0.30875907701111382</v>
      </c>
      <c r="U65" s="6">
        <f t="shared" si="9"/>
        <v>1.109222196485703</v>
      </c>
    </row>
    <row r="66" spans="1:21" x14ac:dyDescent="0.25">
      <c r="A66" s="2">
        <v>45089</v>
      </c>
      <c r="B66" t="s">
        <v>7</v>
      </c>
      <c r="C66" t="s">
        <v>15</v>
      </c>
      <c r="D66" t="s">
        <v>13</v>
      </c>
      <c r="E66" s="4">
        <v>12.79</v>
      </c>
      <c r="F66" s="4">
        <v>323.51</v>
      </c>
      <c r="G66" s="4">
        <v>250.11</v>
      </c>
      <c r="H66" s="4">
        <f t="shared" si="0"/>
        <v>73.399999999999977</v>
      </c>
      <c r="I66" s="4">
        <f t="shared" si="1"/>
        <v>237.32000000000002</v>
      </c>
      <c r="J66" s="7"/>
      <c r="K66" s="7"/>
      <c r="L66">
        <f t="shared" si="2"/>
        <v>0</v>
      </c>
      <c r="M66" s="4">
        <f t="shared" si="3"/>
        <v>237.32000000000002</v>
      </c>
      <c r="P66">
        <f t="shared" si="4"/>
        <v>0</v>
      </c>
      <c r="Q66" s="4">
        <f t="shared" si="5"/>
        <v>318.55749507400503</v>
      </c>
      <c r="R66" s="4">
        <f t="shared" si="6"/>
        <v>318.55749507400503</v>
      </c>
      <c r="S66" s="6">
        <f t="shared" si="7"/>
        <v>0.30928703859767392</v>
      </c>
      <c r="T66" s="6">
        <f t="shared" si="8"/>
        <v>0.23041366514684644</v>
      </c>
      <c r="U66" s="6">
        <f t="shared" si="9"/>
        <v>0.74498325630312834</v>
      </c>
    </row>
    <row r="67" spans="1:21" x14ac:dyDescent="0.25">
      <c r="A67" s="2">
        <v>45089</v>
      </c>
      <c r="B67" t="s">
        <v>7</v>
      </c>
      <c r="C67" t="s">
        <v>15</v>
      </c>
      <c r="D67" t="s">
        <v>12</v>
      </c>
      <c r="E67" s="4">
        <v>12.83</v>
      </c>
      <c r="F67" s="4">
        <v>379.12</v>
      </c>
      <c r="G67" s="4">
        <v>294</v>
      </c>
      <c r="H67" s="4">
        <f t="shared" ref="H67:H130" si="10">F67-G67</f>
        <v>85.12</v>
      </c>
      <c r="I67" s="4">
        <f t="shared" ref="I67:I130" si="11">G67-E67</f>
        <v>281.17</v>
      </c>
      <c r="J67" s="7">
        <v>2.2162000000000002</v>
      </c>
      <c r="K67" s="7">
        <v>2.9940000000000002</v>
      </c>
      <c r="L67">
        <f t="shared" ref="L67:L130" si="12">K67-J67</f>
        <v>0.77780000000000005</v>
      </c>
      <c r="M67" s="4">
        <f t="shared" ref="M67:M130" si="13">I67-L67</f>
        <v>280.3922</v>
      </c>
      <c r="N67">
        <v>80</v>
      </c>
      <c r="O67">
        <v>81</v>
      </c>
      <c r="P67">
        <f t="shared" ref="P67:P130" si="14">O67-N67</f>
        <v>1</v>
      </c>
      <c r="Q67" s="4">
        <f t="shared" ref="Q67:Q130" si="15">15*PI()*(5.2/2)^2</f>
        <v>318.55749507400503</v>
      </c>
      <c r="R67" s="4">
        <f t="shared" ref="R67:R130" si="16">Q67-P67</f>
        <v>317.55749507400503</v>
      </c>
      <c r="S67" s="6">
        <f t="shared" ref="S67:S130" si="17">H67/M67</f>
        <v>0.30357477847101311</v>
      </c>
      <c r="T67" s="6">
        <f t="shared" ref="T67:T130" si="18">H67/R67</f>
        <v>0.26804594859322484</v>
      </c>
      <c r="U67" s="6">
        <f t="shared" ref="U67:U130" si="19">M67/R67</f>
        <v>0.88296514599554998</v>
      </c>
    </row>
    <row r="68" spans="1:21" x14ac:dyDescent="0.25">
      <c r="A68" s="2">
        <v>45089</v>
      </c>
      <c r="B68" t="s">
        <v>7</v>
      </c>
      <c r="C68" t="s">
        <v>11</v>
      </c>
      <c r="D68" t="s">
        <v>13</v>
      </c>
      <c r="E68" s="4">
        <v>12.84</v>
      </c>
      <c r="F68" s="4">
        <v>353.46</v>
      </c>
      <c r="G68" s="4">
        <v>271.51</v>
      </c>
      <c r="H68" s="4">
        <f t="shared" si="10"/>
        <v>81.949999999999989</v>
      </c>
      <c r="I68" s="4">
        <f t="shared" si="11"/>
        <v>258.67</v>
      </c>
      <c r="J68" s="7">
        <v>2.2162000000000002</v>
      </c>
      <c r="K68" s="7">
        <v>2.9996999999999998</v>
      </c>
      <c r="L68">
        <f t="shared" si="12"/>
        <v>0.78349999999999964</v>
      </c>
      <c r="M68" s="4">
        <f t="shared" si="13"/>
        <v>257.88650000000001</v>
      </c>
      <c r="N68">
        <v>80</v>
      </c>
      <c r="O68">
        <v>81.5</v>
      </c>
      <c r="P68">
        <f t="shared" si="14"/>
        <v>1.5</v>
      </c>
      <c r="Q68" s="4">
        <f t="shared" si="15"/>
        <v>318.55749507400503</v>
      </c>
      <c r="R68" s="4">
        <f t="shared" si="16"/>
        <v>317.05749507400503</v>
      </c>
      <c r="S68" s="6">
        <f t="shared" si="17"/>
        <v>0.31777545548138419</v>
      </c>
      <c r="T68" s="6">
        <f t="shared" si="18"/>
        <v>0.25847047072920282</v>
      </c>
      <c r="U68" s="6">
        <f t="shared" si="19"/>
        <v>0.81337455826365568</v>
      </c>
    </row>
    <row r="69" spans="1:21" x14ac:dyDescent="0.25">
      <c r="A69" s="2">
        <v>45089</v>
      </c>
      <c r="B69" t="s">
        <v>7</v>
      </c>
      <c r="C69" t="s">
        <v>11</v>
      </c>
      <c r="D69" t="s">
        <v>12</v>
      </c>
      <c r="E69" s="4">
        <v>13.35</v>
      </c>
      <c r="F69" s="4">
        <v>398.88</v>
      </c>
      <c r="G69" s="4">
        <v>312.36</v>
      </c>
      <c r="H69" s="4">
        <f t="shared" si="10"/>
        <v>86.519999999999982</v>
      </c>
      <c r="I69" s="4">
        <f t="shared" si="11"/>
        <v>299.01</v>
      </c>
      <c r="J69" s="7">
        <v>2.2162000000000002</v>
      </c>
      <c r="K69" s="7">
        <v>7.3262</v>
      </c>
      <c r="L69">
        <f t="shared" si="12"/>
        <v>5.1099999999999994</v>
      </c>
      <c r="M69" s="4">
        <f t="shared" si="13"/>
        <v>293.89999999999998</v>
      </c>
      <c r="N69">
        <v>180</v>
      </c>
      <c r="O69">
        <v>190</v>
      </c>
      <c r="P69">
        <f t="shared" si="14"/>
        <v>10</v>
      </c>
      <c r="Q69" s="4">
        <f t="shared" si="15"/>
        <v>318.55749507400503</v>
      </c>
      <c r="R69" s="4">
        <f t="shared" si="16"/>
        <v>308.55749507400503</v>
      </c>
      <c r="S69" s="6">
        <f t="shared" si="17"/>
        <v>0.29438584552568897</v>
      </c>
      <c r="T69" s="6">
        <f t="shared" si="18"/>
        <v>0.28040155037961029</v>
      </c>
      <c r="U69" s="6">
        <f t="shared" si="19"/>
        <v>0.95249671355255983</v>
      </c>
    </row>
    <row r="70" spans="1:21" x14ac:dyDescent="0.25">
      <c r="A70" s="2">
        <v>45089</v>
      </c>
      <c r="B70" t="s">
        <v>7</v>
      </c>
      <c r="C70" t="s">
        <v>19</v>
      </c>
      <c r="D70" t="s">
        <v>13</v>
      </c>
      <c r="E70" s="4">
        <v>12.85</v>
      </c>
      <c r="F70" s="4">
        <v>339.24</v>
      </c>
      <c r="G70" s="4">
        <v>271.47000000000003</v>
      </c>
      <c r="H70" s="4">
        <f t="shared" si="10"/>
        <v>67.769999999999982</v>
      </c>
      <c r="I70" s="4">
        <f t="shared" si="11"/>
        <v>258.62</v>
      </c>
      <c r="J70" s="7">
        <v>2.2162000000000002</v>
      </c>
      <c r="K70" s="7">
        <v>2.5699000000000001</v>
      </c>
      <c r="L70">
        <f t="shared" si="12"/>
        <v>0.3536999999999999</v>
      </c>
      <c r="M70" s="4">
        <f t="shared" si="13"/>
        <v>258.2663</v>
      </c>
      <c r="N70">
        <v>15</v>
      </c>
      <c r="O70">
        <v>15.5</v>
      </c>
      <c r="P70">
        <f t="shared" si="14"/>
        <v>0.5</v>
      </c>
      <c r="Q70" s="4">
        <f t="shared" si="15"/>
        <v>318.55749507400503</v>
      </c>
      <c r="R70" s="4">
        <f t="shared" si="16"/>
        <v>318.05749507400503</v>
      </c>
      <c r="S70" s="6">
        <f t="shared" si="17"/>
        <v>0.26240357336594045</v>
      </c>
      <c r="T70" s="6">
        <f t="shared" si="18"/>
        <v>0.21307468319283399</v>
      </c>
      <c r="U70" s="6">
        <f t="shared" si="19"/>
        <v>0.81201136272517982</v>
      </c>
    </row>
    <row r="71" spans="1:21" x14ac:dyDescent="0.25">
      <c r="A71" s="2">
        <v>45089</v>
      </c>
      <c r="B71" t="s">
        <v>7</v>
      </c>
      <c r="C71" t="s">
        <v>19</v>
      </c>
      <c r="D71" t="s">
        <v>12</v>
      </c>
      <c r="E71" s="4">
        <v>12.84</v>
      </c>
      <c r="F71" s="4">
        <v>429.11</v>
      </c>
      <c r="G71" s="4">
        <v>343.55</v>
      </c>
      <c r="H71" s="4">
        <f t="shared" si="10"/>
        <v>85.56</v>
      </c>
      <c r="I71" s="4">
        <f t="shared" si="11"/>
        <v>330.71000000000004</v>
      </c>
      <c r="J71" s="7">
        <v>2.2162000000000002</v>
      </c>
      <c r="K71" s="7">
        <v>3.7654000000000001</v>
      </c>
      <c r="L71">
        <f t="shared" si="12"/>
        <v>1.5491999999999999</v>
      </c>
      <c r="M71" s="4">
        <f t="shared" si="13"/>
        <v>329.16080000000005</v>
      </c>
      <c r="N71">
        <v>80</v>
      </c>
      <c r="O71">
        <v>84.5</v>
      </c>
      <c r="P71">
        <f t="shared" si="14"/>
        <v>4.5</v>
      </c>
      <c r="Q71" s="4">
        <f t="shared" si="15"/>
        <v>318.55749507400503</v>
      </c>
      <c r="R71" s="4">
        <f t="shared" si="16"/>
        <v>314.05749507400503</v>
      </c>
      <c r="S71" s="6">
        <f t="shared" si="17"/>
        <v>0.25993374666728236</v>
      </c>
      <c r="T71" s="6">
        <f t="shared" si="18"/>
        <v>0.27243419228010624</v>
      </c>
      <c r="U71" s="6">
        <f t="shared" si="19"/>
        <v>1.0480908915179243</v>
      </c>
    </row>
    <row r="72" spans="1:21" x14ac:dyDescent="0.25">
      <c r="A72" s="2">
        <v>45090</v>
      </c>
      <c r="B72" t="s">
        <v>18</v>
      </c>
      <c r="C72" t="s">
        <v>16</v>
      </c>
      <c r="D72" t="s">
        <v>13</v>
      </c>
      <c r="E72" s="4">
        <v>12.9</v>
      </c>
      <c r="F72" s="4">
        <v>333.03</v>
      </c>
      <c r="G72" s="4">
        <v>273.95</v>
      </c>
      <c r="H72" s="4">
        <f t="shared" si="10"/>
        <v>59.079999999999984</v>
      </c>
      <c r="I72" s="4">
        <f t="shared" si="11"/>
        <v>261.05</v>
      </c>
      <c r="J72" s="7">
        <v>2.2162000000000002</v>
      </c>
      <c r="K72" s="7">
        <v>2.2162000000000002</v>
      </c>
      <c r="L72">
        <f t="shared" si="12"/>
        <v>0</v>
      </c>
      <c r="M72" s="4">
        <f t="shared" si="13"/>
        <v>261.05</v>
      </c>
      <c r="P72">
        <f t="shared" si="14"/>
        <v>0</v>
      </c>
      <c r="Q72" s="4">
        <f t="shared" si="15"/>
        <v>318.55749507400503</v>
      </c>
      <c r="R72" s="4">
        <f t="shared" si="16"/>
        <v>318.55749507400503</v>
      </c>
      <c r="S72" s="6">
        <f t="shared" si="17"/>
        <v>0.22631679754836231</v>
      </c>
      <c r="T72" s="6">
        <f t="shared" si="18"/>
        <v>0.18546102638795214</v>
      </c>
      <c r="U72" s="6">
        <f t="shared" si="19"/>
        <v>0.81947530363193843</v>
      </c>
    </row>
    <row r="73" spans="1:21" x14ac:dyDescent="0.25">
      <c r="A73" s="2">
        <v>45090</v>
      </c>
      <c r="B73" t="s">
        <v>18</v>
      </c>
      <c r="C73" t="s">
        <v>16</v>
      </c>
      <c r="D73" t="s">
        <v>12</v>
      </c>
      <c r="E73" s="4">
        <v>12.82</v>
      </c>
      <c r="F73" s="4">
        <v>319.66000000000003</v>
      </c>
      <c r="G73" s="4">
        <v>262.60000000000002</v>
      </c>
      <c r="H73" s="4">
        <f t="shared" si="10"/>
        <v>57.06</v>
      </c>
      <c r="I73" s="4">
        <f t="shared" si="11"/>
        <v>249.78000000000003</v>
      </c>
      <c r="J73" s="7">
        <v>2.2162000000000002</v>
      </c>
      <c r="K73" s="7">
        <v>2.2326000000000001</v>
      </c>
      <c r="L73">
        <f t="shared" si="12"/>
        <v>1.639999999999997E-2</v>
      </c>
      <c r="M73" s="4">
        <f t="shared" si="13"/>
        <v>249.76360000000003</v>
      </c>
      <c r="N73">
        <v>15</v>
      </c>
      <c r="O73">
        <v>15.2</v>
      </c>
      <c r="P73">
        <f t="shared" si="14"/>
        <v>0.19999999999999929</v>
      </c>
      <c r="Q73" s="4">
        <f t="shared" si="15"/>
        <v>318.55749507400503</v>
      </c>
      <c r="R73" s="4">
        <f t="shared" si="16"/>
        <v>318.35749507400504</v>
      </c>
      <c r="S73" s="6">
        <f t="shared" si="17"/>
        <v>0.22845602802009579</v>
      </c>
      <c r="T73" s="6">
        <f t="shared" si="18"/>
        <v>0.17923246941849413</v>
      </c>
      <c r="U73" s="6">
        <f t="shared" si="19"/>
        <v>0.78453814929640731</v>
      </c>
    </row>
    <row r="74" spans="1:21" x14ac:dyDescent="0.25">
      <c r="A74" s="2">
        <v>45090</v>
      </c>
      <c r="B74" t="s">
        <v>18</v>
      </c>
      <c r="C74" t="s">
        <v>8</v>
      </c>
      <c r="D74" t="s">
        <v>13</v>
      </c>
      <c r="E74" s="4">
        <v>12.9</v>
      </c>
      <c r="F74" s="4">
        <v>336.01</v>
      </c>
      <c r="G74" s="4">
        <v>274.7</v>
      </c>
      <c r="H74" s="4">
        <f t="shared" si="10"/>
        <v>61.31</v>
      </c>
      <c r="I74" s="4">
        <f t="shared" si="11"/>
        <v>261.8</v>
      </c>
      <c r="J74" s="7">
        <v>2.2162000000000002</v>
      </c>
      <c r="K74" s="7">
        <v>2.4540000000000002</v>
      </c>
      <c r="L74">
        <f t="shared" si="12"/>
        <v>0.23780000000000001</v>
      </c>
      <c r="M74" s="4">
        <f t="shared" si="13"/>
        <v>261.56220000000002</v>
      </c>
      <c r="N74">
        <v>15</v>
      </c>
      <c r="O74">
        <v>15.4</v>
      </c>
      <c r="P74">
        <f t="shared" si="14"/>
        <v>0.40000000000000036</v>
      </c>
      <c r="Q74" s="4">
        <f t="shared" si="15"/>
        <v>318.55749507400503</v>
      </c>
      <c r="R74" s="4">
        <f t="shared" si="16"/>
        <v>318.15749507400506</v>
      </c>
      <c r="S74" s="6">
        <f t="shared" si="17"/>
        <v>0.23439931305058606</v>
      </c>
      <c r="T74" s="6">
        <f t="shared" si="18"/>
        <v>0.19270330245006168</v>
      </c>
      <c r="U74" s="6">
        <f t="shared" si="19"/>
        <v>0.82211547441043098</v>
      </c>
    </row>
    <row r="75" spans="1:21" x14ac:dyDescent="0.25">
      <c r="A75" s="2">
        <v>45090</v>
      </c>
      <c r="B75" t="s">
        <v>18</v>
      </c>
      <c r="C75" t="s">
        <v>8</v>
      </c>
      <c r="D75" t="s">
        <v>12</v>
      </c>
      <c r="E75" s="4">
        <v>12.95</v>
      </c>
      <c r="F75" s="4">
        <v>389.59</v>
      </c>
      <c r="G75" s="4">
        <v>315.48</v>
      </c>
      <c r="H75" s="4">
        <f t="shared" si="10"/>
        <v>74.109999999999957</v>
      </c>
      <c r="I75" s="4">
        <f t="shared" si="11"/>
        <v>302.53000000000003</v>
      </c>
      <c r="J75" s="7"/>
      <c r="K75" s="7"/>
      <c r="L75">
        <f t="shared" si="12"/>
        <v>0</v>
      </c>
      <c r="M75" s="4">
        <f t="shared" si="13"/>
        <v>302.53000000000003</v>
      </c>
      <c r="P75">
        <f t="shared" si="14"/>
        <v>0</v>
      </c>
      <c r="Q75" s="4">
        <f t="shared" si="15"/>
        <v>318.55749507400503</v>
      </c>
      <c r="R75" s="4">
        <f t="shared" si="16"/>
        <v>318.55749507400503</v>
      </c>
      <c r="S75" s="6">
        <f t="shared" si="17"/>
        <v>0.24496744124549616</v>
      </c>
      <c r="T75" s="6">
        <f t="shared" si="18"/>
        <v>0.23264246218028317</v>
      </c>
      <c r="U75" s="6">
        <f t="shared" si="19"/>
        <v>0.94968727679666864</v>
      </c>
    </row>
    <row r="76" spans="1:21" x14ac:dyDescent="0.25">
      <c r="A76" s="2">
        <v>45090</v>
      </c>
      <c r="B76" t="s">
        <v>18</v>
      </c>
      <c r="C76" t="s">
        <v>15</v>
      </c>
      <c r="D76" t="s">
        <v>13</v>
      </c>
      <c r="E76" s="4">
        <v>12.88</v>
      </c>
      <c r="F76" s="4">
        <v>367.74</v>
      </c>
      <c r="G76" s="4">
        <v>303.83</v>
      </c>
      <c r="H76" s="4">
        <f t="shared" si="10"/>
        <v>63.910000000000025</v>
      </c>
      <c r="I76" s="4">
        <f t="shared" si="11"/>
        <v>290.95</v>
      </c>
      <c r="J76" s="7">
        <v>2.2162000000000002</v>
      </c>
      <c r="K76" s="7">
        <v>3.0366</v>
      </c>
      <c r="L76">
        <f t="shared" si="12"/>
        <v>0.8203999999999998</v>
      </c>
      <c r="M76" s="4">
        <f t="shared" si="13"/>
        <v>290.12959999999998</v>
      </c>
      <c r="N76">
        <v>80</v>
      </c>
      <c r="O76">
        <v>81.5</v>
      </c>
      <c r="P76">
        <f t="shared" si="14"/>
        <v>1.5</v>
      </c>
      <c r="Q76" s="4">
        <f t="shared" si="15"/>
        <v>318.55749507400503</v>
      </c>
      <c r="R76" s="4">
        <f t="shared" si="16"/>
        <v>317.05749507400503</v>
      </c>
      <c r="S76" s="6">
        <f t="shared" si="17"/>
        <v>0.22028086758469329</v>
      </c>
      <c r="T76" s="6">
        <f t="shared" si="18"/>
        <v>0.20157227314586165</v>
      </c>
      <c r="U76" s="6">
        <f t="shared" si="19"/>
        <v>0.91506936283679474</v>
      </c>
    </row>
    <row r="77" spans="1:21" x14ac:dyDescent="0.25">
      <c r="A77" s="2">
        <v>45090</v>
      </c>
      <c r="B77" t="s">
        <v>18</v>
      </c>
      <c r="C77" t="s">
        <v>15</v>
      </c>
      <c r="D77" t="s">
        <v>12</v>
      </c>
      <c r="E77" s="4">
        <v>12.87</v>
      </c>
      <c r="F77" s="4">
        <v>388.98</v>
      </c>
      <c r="G77" s="4">
        <v>314.31</v>
      </c>
      <c r="H77" s="4">
        <f t="shared" si="10"/>
        <v>74.670000000000016</v>
      </c>
      <c r="I77" s="4">
        <f t="shared" si="11"/>
        <v>301.44</v>
      </c>
      <c r="J77" s="7">
        <v>2.2162000000000002</v>
      </c>
      <c r="K77" s="7">
        <v>2.3609</v>
      </c>
      <c r="L77">
        <f t="shared" si="12"/>
        <v>0.14469999999999983</v>
      </c>
      <c r="M77" s="4">
        <f t="shared" si="13"/>
        <v>301.2953</v>
      </c>
      <c r="N77">
        <v>15</v>
      </c>
      <c r="O77">
        <v>15.3</v>
      </c>
      <c r="P77">
        <f t="shared" si="14"/>
        <v>0.30000000000000071</v>
      </c>
      <c r="Q77" s="4">
        <f t="shared" si="15"/>
        <v>318.55749507400503</v>
      </c>
      <c r="R77" s="4">
        <f t="shared" si="16"/>
        <v>318.25749507400502</v>
      </c>
      <c r="S77" s="6">
        <f t="shared" si="17"/>
        <v>0.24782995287347667</v>
      </c>
      <c r="T77" s="6">
        <f t="shared" si="18"/>
        <v>0.23462134012786362</v>
      </c>
      <c r="U77" s="6">
        <f t="shared" si="19"/>
        <v>0.94670292031909331</v>
      </c>
    </row>
    <row r="78" spans="1:21" x14ac:dyDescent="0.25">
      <c r="A78" s="2">
        <v>45090</v>
      </c>
      <c r="B78" t="s">
        <v>18</v>
      </c>
      <c r="C78" t="s">
        <v>11</v>
      </c>
      <c r="D78" t="s">
        <v>13</v>
      </c>
      <c r="E78" s="4">
        <v>12.75</v>
      </c>
      <c r="F78" s="4">
        <v>359.82</v>
      </c>
      <c r="G78" s="4">
        <v>295.12</v>
      </c>
      <c r="H78" s="4">
        <f t="shared" si="10"/>
        <v>64.699999999999989</v>
      </c>
      <c r="I78" s="4">
        <f t="shared" si="11"/>
        <v>282.37</v>
      </c>
      <c r="J78" s="7"/>
      <c r="K78" s="7"/>
      <c r="L78">
        <f t="shared" si="12"/>
        <v>0</v>
      </c>
      <c r="M78" s="4">
        <f t="shared" si="13"/>
        <v>282.37</v>
      </c>
      <c r="P78">
        <f t="shared" si="14"/>
        <v>0</v>
      </c>
      <c r="Q78" s="4">
        <f t="shared" si="15"/>
        <v>318.55749507400503</v>
      </c>
      <c r="R78" s="4">
        <f t="shared" si="16"/>
        <v>318.55749507400503</v>
      </c>
      <c r="S78" s="6">
        <f t="shared" si="17"/>
        <v>0.22913198994227427</v>
      </c>
      <c r="T78" s="6">
        <f t="shared" si="18"/>
        <v>0.20310305361036737</v>
      </c>
      <c r="U78" s="6">
        <f t="shared" si="19"/>
        <v>0.88640199765006877</v>
      </c>
    </row>
    <row r="79" spans="1:21" x14ac:dyDescent="0.25">
      <c r="A79" s="2">
        <v>45090</v>
      </c>
      <c r="B79" t="s">
        <v>18</v>
      </c>
      <c r="C79" t="s">
        <v>11</v>
      </c>
      <c r="D79" t="s">
        <v>12</v>
      </c>
      <c r="E79" s="4">
        <v>12.75</v>
      </c>
      <c r="F79" s="4">
        <v>372.59</v>
      </c>
      <c r="G79" s="4">
        <v>302.02</v>
      </c>
      <c r="H79" s="4">
        <f t="shared" si="10"/>
        <v>70.569999999999993</v>
      </c>
      <c r="I79" s="4">
        <f t="shared" si="11"/>
        <v>289.27</v>
      </c>
      <c r="J79" s="7">
        <v>2.2162000000000002</v>
      </c>
      <c r="K79" s="7">
        <v>2.7667999999999999</v>
      </c>
      <c r="L79">
        <f t="shared" si="12"/>
        <v>0.55059999999999976</v>
      </c>
      <c r="M79" s="4">
        <f t="shared" si="13"/>
        <v>288.71940000000001</v>
      </c>
      <c r="N79">
        <v>80</v>
      </c>
      <c r="O79">
        <v>81</v>
      </c>
      <c r="P79">
        <f t="shared" si="14"/>
        <v>1</v>
      </c>
      <c r="Q79" s="4">
        <f t="shared" si="15"/>
        <v>318.55749507400503</v>
      </c>
      <c r="R79" s="4">
        <f t="shared" si="16"/>
        <v>317.55749507400503</v>
      </c>
      <c r="S79" s="6">
        <f t="shared" si="17"/>
        <v>0.24442417101171585</v>
      </c>
      <c r="T79" s="6">
        <f t="shared" si="18"/>
        <v>0.22222747406278048</v>
      </c>
      <c r="U79" s="6">
        <f t="shared" si="19"/>
        <v>0.90918779899279512</v>
      </c>
    </row>
    <row r="80" spans="1:21" x14ac:dyDescent="0.25">
      <c r="A80" s="2">
        <v>45090</v>
      </c>
      <c r="B80" t="s">
        <v>18</v>
      </c>
      <c r="C80" t="s">
        <v>19</v>
      </c>
      <c r="D80" t="s">
        <v>13</v>
      </c>
      <c r="E80" s="4">
        <v>12.86</v>
      </c>
      <c r="F80" s="4">
        <v>327.02</v>
      </c>
      <c r="G80" s="4">
        <v>268.60000000000002</v>
      </c>
      <c r="H80" s="4">
        <f t="shared" si="10"/>
        <v>58.419999999999959</v>
      </c>
      <c r="I80" s="4">
        <f t="shared" si="11"/>
        <v>255.74</v>
      </c>
      <c r="J80" s="7">
        <v>2.2162000000000002</v>
      </c>
      <c r="K80" s="7">
        <v>2.4784000000000002</v>
      </c>
      <c r="L80">
        <f t="shared" si="12"/>
        <v>0.26219999999999999</v>
      </c>
      <c r="M80" s="4">
        <f t="shared" si="13"/>
        <v>255.4778</v>
      </c>
      <c r="N80">
        <v>15</v>
      </c>
      <c r="O80">
        <v>15.3</v>
      </c>
      <c r="P80">
        <f t="shared" si="14"/>
        <v>0.30000000000000071</v>
      </c>
      <c r="Q80" s="4">
        <f t="shared" si="15"/>
        <v>318.55749507400503</v>
      </c>
      <c r="R80" s="4">
        <f t="shared" si="16"/>
        <v>318.25749507400502</v>
      </c>
      <c r="S80" s="6">
        <f t="shared" si="17"/>
        <v>0.22866957520379444</v>
      </c>
      <c r="T80" s="6">
        <f t="shared" si="18"/>
        <v>0.18356205558148897</v>
      </c>
      <c r="U80" s="6">
        <f t="shared" si="19"/>
        <v>0.80273930372195401</v>
      </c>
    </row>
    <row r="81" spans="1:21" x14ac:dyDescent="0.25">
      <c r="A81" s="2">
        <v>45090</v>
      </c>
      <c r="B81" t="s">
        <v>18</v>
      </c>
      <c r="C81" t="s">
        <v>19</v>
      </c>
      <c r="D81" t="s">
        <v>12</v>
      </c>
      <c r="E81" s="4">
        <v>12.8</v>
      </c>
      <c r="F81" s="4">
        <v>373.01</v>
      </c>
      <c r="G81" s="4">
        <v>302.76</v>
      </c>
      <c r="H81" s="4">
        <f t="shared" si="10"/>
        <v>70.25</v>
      </c>
      <c r="I81" s="4">
        <f t="shared" si="11"/>
        <v>289.95999999999998</v>
      </c>
      <c r="J81" s="7">
        <v>2.2162000000000002</v>
      </c>
      <c r="K81" s="7">
        <v>3.2462</v>
      </c>
      <c r="L81">
        <f t="shared" si="12"/>
        <v>1.0299999999999998</v>
      </c>
      <c r="M81" s="4">
        <f t="shared" si="13"/>
        <v>288.93</v>
      </c>
      <c r="N81">
        <v>80</v>
      </c>
      <c r="O81">
        <v>81.5</v>
      </c>
      <c r="P81">
        <f t="shared" si="14"/>
        <v>1.5</v>
      </c>
      <c r="Q81" s="4">
        <f t="shared" si="15"/>
        <v>318.55749507400503</v>
      </c>
      <c r="R81" s="4">
        <f t="shared" si="16"/>
        <v>317.05749507400503</v>
      </c>
      <c r="S81" s="6">
        <f t="shared" si="17"/>
        <v>0.24313847644758246</v>
      </c>
      <c r="T81" s="6">
        <f t="shared" si="18"/>
        <v>0.22156864635419771</v>
      </c>
      <c r="U81" s="6">
        <f t="shared" si="19"/>
        <v>0.91128582193762764</v>
      </c>
    </row>
    <row r="82" spans="1:21" x14ac:dyDescent="0.25">
      <c r="A82" s="2">
        <v>45090</v>
      </c>
      <c r="B82" t="s">
        <v>24</v>
      </c>
      <c r="C82" t="s">
        <v>16</v>
      </c>
      <c r="D82" t="s">
        <v>13</v>
      </c>
      <c r="E82" s="4">
        <v>13.43</v>
      </c>
      <c r="F82" s="4">
        <v>325.64999999999998</v>
      </c>
      <c r="G82" s="4">
        <v>256.16000000000003</v>
      </c>
      <c r="H82" s="4">
        <f t="shared" si="10"/>
        <v>69.489999999999952</v>
      </c>
      <c r="I82" s="4">
        <f t="shared" si="11"/>
        <v>242.73000000000002</v>
      </c>
      <c r="J82" s="7">
        <v>2.2162000000000002</v>
      </c>
      <c r="K82" s="7">
        <v>3.8609</v>
      </c>
      <c r="L82">
        <f t="shared" si="12"/>
        <v>1.6446999999999998</v>
      </c>
      <c r="M82" s="4">
        <f t="shared" si="13"/>
        <v>241.08530000000002</v>
      </c>
      <c r="N82">
        <v>80</v>
      </c>
      <c r="O82">
        <v>86</v>
      </c>
      <c r="P82">
        <f t="shared" si="14"/>
        <v>6</v>
      </c>
      <c r="Q82" s="4">
        <f t="shared" si="15"/>
        <v>318.55749507400503</v>
      </c>
      <c r="R82" s="4">
        <f t="shared" si="16"/>
        <v>312.55749507400503</v>
      </c>
      <c r="S82" s="6">
        <f t="shared" si="17"/>
        <v>0.28823822937358662</v>
      </c>
      <c r="T82" s="6">
        <f t="shared" si="18"/>
        <v>0.22232709531904404</v>
      </c>
      <c r="U82" s="6">
        <f t="shared" si="19"/>
        <v>0.77133104724593993</v>
      </c>
    </row>
    <row r="83" spans="1:21" x14ac:dyDescent="0.25">
      <c r="A83" s="2">
        <v>45090</v>
      </c>
      <c r="B83" t="s">
        <v>24</v>
      </c>
      <c r="C83" t="s">
        <v>16</v>
      </c>
      <c r="D83" t="s">
        <v>12</v>
      </c>
      <c r="E83" s="4">
        <v>13.41</v>
      </c>
      <c r="F83" s="4">
        <v>319.08</v>
      </c>
      <c r="G83" s="4">
        <v>261.29000000000002</v>
      </c>
      <c r="H83" s="4">
        <f t="shared" si="10"/>
        <v>57.789999999999964</v>
      </c>
      <c r="I83" s="4">
        <f t="shared" si="11"/>
        <v>247.88000000000002</v>
      </c>
      <c r="J83" s="7">
        <v>2.2162000000000002</v>
      </c>
      <c r="K83" s="7">
        <v>2.5266000000000002</v>
      </c>
      <c r="L83">
        <f t="shared" si="12"/>
        <v>0.31040000000000001</v>
      </c>
      <c r="M83" s="4">
        <f t="shared" si="13"/>
        <v>247.56960000000004</v>
      </c>
      <c r="N83">
        <v>15</v>
      </c>
      <c r="O83">
        <v>15.6</v>
      </c>
      <c r="P83">
        <f t="shared" si="14"/>
        <v>0.59999999999999964</v>
      </c>
      <c r="Q83" s="4">
        <f t="shared" si="15"/>
        <v>318.55749507400503</v>
      </c>
      <c r="R83" s="4">
        <f t="shared" si="16"/>
        <v>317.95749507400501</v>
      </c>
      <c r="S83" s="6">
        <f t="shared" si="17"/>
        <v>0.23342930634455908</v>
      </c>
      <c r="T83" s="6">
        <f t="shared" si="18"/>
        <v>0.1817538535663368</v>
      </c>
      <c r="U83" s="6">
        <f t="shared" si="19"/>
        <v>0.77862482827265289</v>
      </c>
    </row>
    <row r="84" spans="1:21" x14ac:dyDescent="0.25">
      <c r="A84" s="2">
        <v>45090</v>
      </c>
      <c r="B84" t="s">
        <v>24</v>
      </c>
      <c r="C84" t="s">
        <v>8</v>
      </c>
      <c r="D84" t="s">
        <v>13</v>
      </c>
      <c r="E84" s="4">
        <v>13.05</v>
      </c>
      <c r="F84" s="4">
        <v>358.8</v>
      </c>
      <c r="G84" s="4">
        <v>300.76</v>
      </c>
      <c r="H84" s="4">
        <f t="shared" si="10"/>
        <v>58.04000000000002</v>
      </c>
      <c r="I84" s="4">
        <f t="shared" si="11"/>
        <v>287.70999999999998</v>
      </c>
      <c r="J84" s="7">
        <v>2.2162000000000002</v>
      </c>
      <c r="K84" s="7">
        <v>2.9634999999999998</v>
      </c>
      <c r="L84">
        <f t="shared" si="12"/>
        <v>0.74729999999999963</v>
      </c>
      <c r="M84" s="4">
        <f t="shared" si="13"/>
        <v>286.96269999999998</v>
      </c>
      <c r="N84">
        <v>80</v>
      </c>
      <c r="O84">
        <v>81</v>
      </c>
      <c r="P84">
        <f t="shared" si="14"/>
        <v>1</v>
      </c>
      <c r="Q84" s="4">
        <f t="shared" si="15"/>
        <v>318.55749507400503</v>
      </c>
      <c r="R84" s="4">
        <f t="shared" si="16"/>
        <v>317.55749507400503</v>
      </c>
      <c r="S84" s="6">
        <f t="shared" si="17"/>
        <v>0.20225625142222325</v>
      </c>
      <c r="T84" s="6">
        <f t="shared" si="18"/>
        <v>0.18277005235374499</v>
      </c>
      <c r="U84" s="6">
        <f t="shared" si="19"/>
        <v>0.90365588736340452</v>
      </c>
    </row>
    <row r="85" spans="1:21" x14ac:dyDescent="0.25">
      <c r="A85" s="2">
        <v>45090</v>
      </c>
      <c r="B85" t="s">
        <v>24</v>
      </c>
      <c r="C85" t="s">
        <v>8</v>
      </c>
      <c r="D85" t="s">
        <v>12</v>
      </c>
      <c r="E85" s="4">
        <v>12.92</v>
      </c>
      <c r="F85" s="4">
        <v>297.47000000000003</v>
      </c>
      <c r="G85" s="4">
        <v>247.85</v>
      </c>
      <c r="H85" s="4">
        <f t="shared" si="10"/>
        <v>49.620000000000033</v>
      </c>
      <c r="I85" s="4">
        <f t="shared" si="11"/>
        <v>234.93</v>
      </c>
      <c r="J85" s="7">
        <v>2.2162000000000002</v>
      </c>
      <c r="K85" s="7">
        <v>2.2942999999999998</v>
      </c>
      <c r="L85">
        <f t="shared" si="12"/>
        <v>7.8099999999999614E-2</v>
      </c>
      <c r="M85" s="4">
        <f t="shared" si="13"/>
        <v>234.8519</v>
      </c>
      <c r="N85">
        <v>15</v>
      </c>
      <c r="O85">
        <v>15.2</v>
      </c>
      <c r="P85">
        <f t="shared" si="14"/>
        <v>0.19999999999999929</v>
      </c>
      <c r="Q85" s="4">
        <f t="shared" si="15"/>
        <v>318.55749507400503</v>
      </c>
      <c r="R85" s="4">
        <f t="shared" si="16"/>
        <v>318.35749507400504</v>
      </c>
      <c r="S85" s="6">
        <f t="shared" si="17"/>
        <v>0.21128208883981792</v>
      </c>
      <c r="T85" s="6">
        <f t="shared" si="18"/>
        <v>0.15586251546697658</v>
      </c>
      <c r="U85" s="6">
        <f t="shared" si="19"/>
        <v>0.73769866779925053</v>
      </c>
    </row>
    <row r="86" spans="1:21" x14ac:dyDescent="0.25">
      <c r="A86" s="2">
        <v>45090</v>
      </c>
      <c r="B86" t="s">
        <v>24</v>
      </c>
      <c r="C86" t="s">
        <v>15</v>
      </c>
      <c r="D86" t="s">
        <v>13</v>
      </c>
      <c r="E86" s="4">
        <v>13.5</v>
      </c>
      <c r="F86" s="4">
        <v>372.71</v>
      </c>
      <c r="G86" s="4">
        <v>297.70999999999998</v>
      </c>
      <c r="H86" s="4">
        <f t="shared" si="10"/>
        <v>75</v>
      </c>
      <c r="I86" s="4">
        <f t="shared" si="11"/>
        <v>284.20999999999998</v>
      </c>
      <c r="J86" s="7">
        <v>2.2162000000000002</v>
      </c>
      <c r="K86" s="7">
        <v>2.2805</v>
      </c>
      <c r="L86">
        <f t="shared" si="12"/>
        <v>6.4299999999999802E-2</v>
      </c>
      <c r="M86" s="4">
        <f t="shared" si="13"/>
        <v>284.14569999999998</v>
      </c>
      <c r="N86">
        <v>15</v>
      </c>
      <c r="O86">
        <v>15.2</v>
      </c>
      <c r="P86">
        <f t="shared" si="14"/>
        <v>0.19999999999999929</v>
      </c>
      <c r="Q86" s="4">
        <f t="shared" si="15"/>
        <v>318.55749507400503</v>
      </c>
      <c r="R86" s="4">
        <f t="shared" si="16"/>
        <v>318.35749507400504</v>
      </c>
      <c r="S86" s="6">
        <f t="shared" si="17"/>
        <v>0.26394909372198844</v>
      </c>
      <c r="T86" s="6">
        <f t="shared" si="18"/>
        <v>0.23558421322094389</v>
      </c>
      <c r="U86" s="6">
        <f t="shared" si="19"/>
        <v>0.89253654899485801</v>
      </c>
    </row>
    <row r="87" spans="1:21" x14ac:dyDescent="0.25">
      <c r="A87" s="2">
        <v>45090</v>
      </c>
      <c r="B87" t="s">
        <v>24</v>
      </c>
      <c r="C87" t="s">
        <v>15</v>
      </c>
      <c r="D87" t="s">
        <v>12</v>
      </c>
      <c r="E87" s="4">
        <v>12.96</v>
      </c>
      <c r="F87" s="4">
        <v>400.6</v>
      </c>
      <c r="G87" s="4">
        <v>326.63</v>
      </c>
      <c r="H87" s="4">
        <f t="shared" si="10"/>
        <v>73.970000000000027</v>
      </c>
      <c r="I87" s="4">
        <f t="shared" si="11"/>
        <v>313.67</v>
      </c>
      <c r="J87" s="7">
        <v>2.2162000000000002</v>
      </c>
      <c r="K87" s="7">
        <v>2.3860999999999999</v>
      </c>
      <c r="L87">
        <f t="shared" si="12"/>
        <v>0.16989999999999972</v>
      </c>
      <c r="M87" s="4">
        <f t="shared" si="13"/>
        <v>313.50010000000003</v>
      </c>
      <c r="N87">
        <v>15</v>
      </c>
      <c r="O87">
        <v>15.2</v>
      </c>
      <c r="P87">
        <f t="shared" si="14"/>
        <v>0.19999999999999929</v>
      </c>
      <c r="Q87" s="4">
        <f t="shared" si="15"/>
        <v>318.55749507400503</v>
      </c>
      <c r="R87" s="4">
        <f t="shared" si="16"/>
        <v>318.35749507400504</v>
      </c>
      <c r="S87" s="6">
        <f t="shared" si="17"/>
        <v>0.23594888805458122</v>
      </c>
      <c r="T87" s="6">
        <f t="shared" si="18"/>
        <v>0.23234885669270969</v>
      </c>
      <c r="U87" s="6">
        <f t="shared" si="19"/>
        <v>0.98474232537582984</v>
      </c>
    </row>
    <row r="88" spans="1:21" x14ac:dyDescent="0.25">
      <c r="A88" s="2">
        <v>45090</v>
      </c>
      <c r="B88" t="s">
        <v>24</v>
      </c>
      <c r="C88" t="s">
        <v>11</v>
      </c>
      <c r="D88" t="s">
        <v>13</v>
      </c>
      <c r="E88" s="4">
        <v>13.41</v>
      </c>
      <c r="F88" s="4">
        <v>307.76</v>
      </c>
      <c r="G88" s="4">
        <v>244.74</v>
      </c>
      <c r="H88" s="4">
        <f t="shared" si="10"/>
        <v>63.019999999999982</v>
      </c>
      <c r="I88" s="4">
        <f t="shared" si="11"/>
        <v>231.33</v>
      </c>
      <c r="J88" s="7">
        <v>2.2162000000000002</v>
      </c>
      <c r="K88" s="7">
        <v>3.3315999999999999</v>
      </c>
      <c r="L88">
        <f t="shared" si="12"/>
        <v>1.1153999999999997</v>
      </c>
      <c r="M88" s="4">
        <f t="shared" si="13"/>
        <v>230.21460000000002</v>
      </c>
      <c r="N88">
        <v>80</v>
      </c>
      <c r="O88">
        <v>82.5</v>
      </c>
      <c r="P88">
        <f t="shared" si="14"/>
        <v>2.5</v>
      </c>
      <c r="Q88" s="4">
        <f t="shared" si="15"/>
        <v>318.55749507400503</v>
      </c>
      <c r="R88" s="4">
        <f t="shared" si="16"/>
        <v>316.05749507400503</v>
      </c>
      <c r="S88" s="6">
        <f t="shared" si="17"/>
        <v>0.2737445844008155</v>
      </c>
      <c r="T88" s="6">
        <f t="shared" si="18"/>
        <v>0.19939410070070895</v>
      </c>
      <c r="U88" s="6">
        <f t="shared" si="19"/>
        <v>0.72839468637215876</v>
      </c>
    </row>
    <row r="89" spans="1:21" x14ac:dyDescent="0.25">
      <c r="A89" s="2">
        <v>45090</v>
      </c>
      <c r="B89" t="s">
        <v>24</v>
      </c>
      <c r="C89" t="s">
        <v>11</v>
      </c>
      <c r="D89" t="s">
        <v>12</v>
      </c>
      <c r="E89" s="4">
        <v>13.45</v>
      </c>
      <c r="F89" s="4">
        <v>267.26</v>
      </c>
      <c r="G89" s="4">
        <v>216.15</v>
      </c>
      <c r="H89" s="4">
        <f t="shared" si="10"/>
        <v>51.109999999999985</v>
      </c>
      <c r="I89" s="4">
        <f t="shared" si="11"/>
        <v>202.70000000000002</v>
      </c>
      <c r="J89" s="7">
        <v>2.2162000000000002</v>
      </c>
      <c r="K89" s="7">
        <v>6.5453999999999999</v>
      </c>
      <c r="L89">
        <f t="shared" si="12"/>
        <v>4.3292000000000002</v>
      </c>
      <c r="M89" s="4">
        <f t="shared" si="13"/>
        <v>198.37080000000003</v>
      </c>
      <c r="N89">
        <v>180</v>
      </c>
      <c r="O89">
        <v>188</v>
      </c>
      <c r="P89">
        <f t="shared" si="14"/>
        <v>8</v>
      </c>
      <c r="Q89" s="4">
        <f t="shared" si="15"/>
        <v>318.55749507400503</v>
      </c>
      <c r="R89" s="4">
        <f t="shared" si="16"/>
        <v>310.55749507400503</v>
      </c>
      <c r="S89" s="6">
        <f t="shared" si="17"/>
        <v>0.25764880718331518</v>
      </c>
      <c r="T89" s="6">
        <f t="shared" si="18"/>
        <v>0.16457500079919374</v>
      </c>
      <c r="U89" s="6">
        <f t="shared" si="19"/>
        <v>0.63875708410363363</v>
      </c>
    </row>
    <row r="90" spans="1:21" x14ac:dyDescent="0.25">
      <c r="A90" s="2">
        <v>45090</v>
      </c>
      <c r="B90" t="s">
        <v>24</v>
      </c>
      <c r="C90" t="s">
        <v>19</v>
      </c>
      <c r="D90" t="s">
        <v>13</v>
      </c>
      <c r="E90" s="4">
        <v>13.07</v>
      </c>
      <c r="F90" s="4">
        <v>353.13</v>
      </c>
      <c r="G90" s="4">
        <v>288.23</v>
      </c>
      <c r="H90" s="4">
        <f t="shared" si="10"/>
        <v>64.899999999999977</v>
      </c>
      <c r="I90" s="4">
        <f t="shared" si="11"/>
        <v>275.16000000000003</v>
      </c>
      <c r="J90" s="7">
        <v>2.2162000000000002</v>
      </c>
      <c r="K90" s="7">
        <v>2.4523999999999999</v>
      </c>
      <c r="L90">
        <f t="shared" si="12"/>
        <v>0.23619999999999974</v>
      </c>
      <c r="M90" s="4">
        <f t="shared" si="13"/>
        <v>274.92380000000003</v>
      </c>
      <c r="N90">
        <v>15</v>
      </c>
      <c r="O90">
        <v>15.3</v>
      </c>
      <c r="P90">
        <f t="shared" si="14"/>
        <v>0.30000000000000071</v>
      </c>
      <c r="Q90" s="4">
        <f t="shared" si="15"/>
        <v>318.55749507400503</v>
      </c>
      <c r="R90" s="4">
        <f t="shared" si="16"/>
        <v>318.25749507400502</v>
      </c>
      <c r="S90" s="6">
        <f t="shared" si="17"/>
        <v>0.23606541157949937</v>
      </c>
      <c r="T90" s="6">
        <f t="shared" si="18"/>
        <v>0.20392292720367405</v>
      </c>
      <c r="U90" s="6">
        <f t="shared" si="19"/>
        <v>0.86384077124741865</v>
      </c>
    </row>
    <row r="91" spans="1:21" x14ac:dyDescent="0.25">
      <c r="A91" s="2">
        <v>45090</v>
      </c>
      <c r="B91" t="s">
        <v>24</v>
      </c>
      <c r="C91" t="s">
        <v>19</v>
      </c>
      <c r="D91" t="s">
        <v>12</v>
      </c>
      <c r="E91" s="4">
        <v>12.74</v>
      </c>
      <c r="F91" s="4">
        <v>337.22</v>
      </c>
      <c r="G91" s="4">
        <v>277.44</v>
      </c>
      <c r="H91" s="4">
        <f t="shared" si="10"/>
        <v>59.78000000000003</v>
      </c>
      <c r="I91" s="4">
        <f t="shared" si="11"/>
        <v>264.7</v>
      </c>
      <c r="J91" s="7">
        <v>2.2162000000000002</v>
      </c>
      <c r="K91" s="7">
        <v>2.2822</v>
      </c>
      <c r="L91">
        <f t="shared" si="12"/>
        <v>6.5999999999999837E-2</v>
      </c>
      <c r="M91" s="4">
        <f t="shared" si="13"/>
        <v>264.63400000000001</v>
      </c>
      <c r="N91">
        <v>15</v>
      </c>
      <c r="O91">
        <v>15.3</v>
      </c>
      <c r="P91">
        <f t="shared" si="14"/>
        <v>0.30000000000000071</v>
      </c>
      <c r="Q91" s="4">
        <f t="shared" si="15"/>
        <v>318.55749507400503</v>
      </c>
      <c r="R91" s="4">
        <f t="shared" si="16"/>
        <v>318.25749507400502</v>
      </c>
      <c r="S91" s="6">
        <f t="shared" si="17"/>
        <v>0.2258968991134927</v>
      </c>
      <c r="T91" s="6">
        <f t="shared" si="18"/>
        <v>0.18783532493429345</v>
      </c>
      <c r="U91" s="6">
        <f t="shared" si="19"/>
        <v>0.83150908963970882</v>
      </c>
    </row>
    <row r="92" spans="1:21" x14ac:dyDescent="0.25">
      <c r="A92" s="2">
        <v>45091</v>
      </c>
      <c r="B92" t="s">
        <v>23</v>
      </c>
      <c r="C92" t="s">
        <v>16</v>
      </c>
      <c r="D92" t="s">
        <v>13</v>
      </c>
      <c r="E92" s="4">
        <v>13.1</v>
      </c>
      <c r="F92" s="4">
        <v>316.5</v>
      </c>
      <c r="G92" s="4">
        <v>226.11</v>
      </c>
      <c r="H92" s="4">
        <f t="shared" si="10"/>
        <v>90.389999999999986</v>
      </c>
      <c r="I92" s="4">
        <f t="shared" si="11"/>
        <v>213.01000000000002</v>
      </c>
      <c r="J92" s="7">
        <v>2.2162000000000002</v>
      </c>
      <c r="K92" s="7">
        <v>2.5305</v>
      </c>
      <c r="L92">
        <f t="shared" si="12"/>
        <v>0.3142999999999998</v>
      </c>
      <c r="M92" s="4">
        <f t="shared" si="13"/>
        <v>212.69570000000002</v>
      </c>
      <c r="N92">
        <v>80</v>
      </c>
      <c r="O92">
        <v>86</v>
      </c>
      <c r="P92">
        <f t="shared" si="14"/>
        <v>6</v>
      </c>
      <c r="Q92" s="4">
        <f t="shared" si="15"/>
        <v>318.55749507400503</v>
      </c>
      <c r="R92" s="4">
        <f t="shared" si="16"/>
        <v>312.55749507400503</v>
      </c>
      <c r="S92" s="6">
        <f t="shared" si="17"/>
        <v>0.42497333044344565</v>
      </c>
      <c r="T92" s="6">
        <f t="shared" si="18"/>
        <v>0.28919479271677079</v>
      </c>
      <c r="U92" s="6">
        <f t="shared" si="19"/>
        <v>0.68050103853577248</v>
      </c>
    </row>
    <row r="93" spans="1:21" x14ac:dyDescent="0.25">
      <c r="A93" s="2">
        <v>45091</v>
      </c>
      <c r="B93" t="s">
        <v>23</v>
      </c>
      <c r="C93" t="s">
        <v>16</v>
      </c>
      <c r="D93" t="s">
        <v>12</v>
      </c>
      <c r="E93" s="4">
        <v>12.9</v>
      </c>
      <c r="F93" s="4">
        <v>356.05</v>
      </c>
      <c r="G93" s="4">
        <v>264.10000000000002</v>
      </c>
      <c r="H93" s="4">
        <f t="shared" si="10"/>
        <v>91.949999999999989</v>
      </c>
      <c r="I93" s="4">
        <f t="shared" si="11"/>
        <v>251.20000000000002</v>
      </c>
      <c r="J93" s="7">
        <v>2.2162000000000002</v>
      </c>
      <c r="K93" s="7">
        <v>2.8351000000000002</v>
      </c>
      <c r="L93">
        <f t="shared" si="12"/>
        <v>0.61890000000000001</v>
      </c>
      <c r="M93" s="4">
        <f t="shared" si="13"/>
        <v>250.58110000000002</v>
      </c>
      <c r="N93">
        <v>80</v>
      </c>
      <c r="O93">
        <v>82</v>
      </c>
      <c r="P93">
        <f t="shared" si="14"/>
        <v>2</v>
      </c>
      <c r="Q93" s="4">
        <f t="shared" si="15"/>
        <v>318.55749507400503</v>
      </c>
      <c r="R93" s="4">
        <f t="shared" si="16"/>
        <v>316.55749507400503</v>
      </c>
      <c r="S93" s="6">
        <f t="shared" si="17"/>
        <v>0.36694706823459544</v>
      </c>
      <c r="T93" s="6">
        <f t="shared" si="18"/>
        <v>0.29046856078547073</v>
      </c>
      <c r="U93" s="6">
        <f t="shared" si="19"/>
        <v>0.79158163650940883</v>
      </c>
    </row>
    <row r="94" spans="1:21" x14ac:dyDescent="0.25">
      <c r="A94" s="2">
        <v>45091</v>
      </c>
      <c r="B94" t="s">
        <v>23</v>
      </c>
      <c r="C94" t="s">
        <v>8</v>
      </c>
      <c r="D94" t="s">
        <v>13</v>
      </c>
      <c r="E94" s="4">
        <v>12.91</v>
      </c>
      <c r="F94" s="4">
        <v>358.93</v>
      </c>
      <c r="G94" s="4">
        <v>279.70999999999998</v>
      </c>
      <c r="H94" s="4">
        <f t="shared" si="10"/>
        <v>79.220000000000027</v>
      </c>
      <c r="I94" s="4">
        <f t="shared" si="11"/>
        <v>266.79999999999995</v>
      </c>
      <c r="J94" s="7">
        <v>2.2162000000000002</v>
      </c>
      <c r="K94" s="7">
        <v>2.2294999999999998</v>
      </c>
      <c r="L94">
        <f t="shared" si="12"/>
        <v>1.3299999999999645E-2</v>
      </c>
      <c r="M94" s="4">
        <f t="shared" si="13"/>
        <v>266.78669999999994</v>
      </c>
      <c r="N94">
        <v>80</v>
      </c>
      <c r="O94">
        <v>80.099999999999994</v>
      </c>
      <c r="P94">
        <f t="shared" si="14"/>
        <v>9.9999999999994316E-2</v>
      </c>
      <c r="Q94" s="4">
        <f t="shared" si="15"/>
        <v>318.55749507400503</v>
      </c>
      <c r="R94" s="4">
        <f t="shared" si="16"/>
        <v>318.45749507400501</v>
      </c>
      <c r="S94" s="6">
        <f t="shared" si="17"/>
        <v>0.29694133927965694</v>
      </c>
      <c r="T94" s="6">
        <f t="shared" si="18"/>
        <v>0.2487616125398161</v>
      </c>
      <c r="U94" s="6">
        <f t="shared" si="19"/>
        <v>0.8377466510499384</v>
      </c>
    </row>
    <row r="95" spans="1:21" x14ac:dyDescent="0.25">
      <c r="A95" s="2">
        <v>45091</v>
      </c>
      <c r="B95" t="s">
        <v>23</v>
      </c>
      <c r="C95" t="s">
        <v>8</v>
      </c>
      <c r="D95" t="s">
        <v>12</v>
      </c>
      <c r="E95" s="4">
        <v>12.85</v>
      </c>
      <c r="F95" s="4">
        <v>329.87</v>
      </c>
      <c r="G95" s="4">
        <v>259.26</v>
      </c>
      <c r="H95" s="4">
        <f t="shared" si="10"/>
        <v>70.610000000000014</v>
      </c>
      <c r="I95" s="4">
        <f t="shared" si="11"/>
        <v>246.41</v>
      </c>
      <c r="J95" s="7">
        <v>2.2162000000000002</v>
      </c>
      <c r="K95" s="7">
        <v>2.2551000000000001</v>
      </c>
      <c r="L95">
        <f t="shared" si="12"/>
        <v>3.8899999999999935E-2</v>
      </c>
      <c r="M95" s="4">
        <f t="shared" si="13"/>
        <v>246.37109999999998</v>
      </c>
      <c r="N95">
        <v>80</v>
      </c>
      <c r="O95">
        <v>80.5</v>
      </c>
      <c r="P95">
        <f t="shared" si="14"/>
        <v>0.5</v>
      </c>
      <c r="Q95" s="4">
        <f t="shared" si="15"/>
        <v>318.55749507400503</v>
      </c>
      <c r="R95" s="4">
        <f t="shared" si="16"/>
        <v>318.05749507400503</v>
      </c>
      <c r="S95" s="6">
        <f t="shared" si="17"/>
        <v>0.28660017347813938</v>
      </c>
      <c r="T95" s="6">
        <f t="shared" si="18"/>
        <v>0.22200388638403445</v>
      </c>
      <c r="U95" s="6">
        <f t="shared" si="19"/>
        <v>0.77461183533082534</v>
      </c>
    </row>
    <row r="96" spans="1:21" x14ac:dyDescent="0.25">
      <c r="A96" s="2">
        <v>45091</v>
      </c>
      <c r="B96" t="s">
        <v>23</v>
      </c>
      <c r="C96" t="s">
        <v>15</v>
      </c>
      <c r="D96" t="s">
        <v>13</v>
      </c>
      <c r="E96" s="4">
        <v>13</v>
      </c>
      <c r="F96" s="4">
        <v>355.81</v>
      </c>
      <c r="G96" s="4">
        <v>276.93</v>
      </c>
      <c r="H96" s="4">
        <f t="shared" si="10"/>
        <v>78.88</v>
      </c>
      <c r="I96" s="4">
        <f t="shared" si="11"/>
        <v>263.93</v>
      </c>
      <c r="J96" s="7">
        <v>2.2162000000000002</v>
      </c>
      <c r="K96" s="7">
        <v>2.5476000000000001</v>
      </c>
      <c r="L96">
        <f t="shared" si="12"/>
        <v>0.33139999999999992</v>
      </c>
      <c r="M96" s="4">
        <f t="shared" si="13"/>
        <v>263.59860000000003</v>
      </c>
      <c r="N96">
        <v>80</v>
      </c>
      <c r="O96">
        <v>81.5</v>
      </c>
      <c r="P96">
        <f t="shared" si="14"/>
        <v>1.5</v>
      </c>
      <c r="Q96" s="4">
        <f t="shared" si="15"/>
        <v>318.55749507400503</v>
      </c>
      <c r="R96" s="4">
        <f t="shared" si="16"/>
        <v>317.05749507400503</v>
      </c>
      <c r="S96" s="6">
        <f t="shared" si="17"/>
        <v>0.29924286396058242</v>
      </c>
      <c r="T96" s="6">
        <f t="shared" si="18"/>
        <v>0.24878768433336818</v>
      </c>
      <c r="U96" s="6">
        <f t="shared" si="19"/>
        <v>0.8313905335638665</v>
      </c>
    </row>
    <row r="97" spans="1:21" x14ac:dyDescent="0.25">
      <c r="A97" s="2">
        <v>45091</v>
      </c>
      <c r="B97" t="s">
        <v>23</v>
      </c>
      <c r="C97" t="s">
        <v>15</v>
      </c>
      <c r="D97" t="s">
        <v>12</v>
      </c>
      <c r="E97" s="4">
        <v>12.95</v>
      </c>
      <c r="F97" s="4">
        <v>300.95999999999998</v>
      </c>
      <c r="G97" s="4">
        <v>230.44</v>
      </c>
      <c r="H97" s="4">
        <f t="shared" si="10"/>
        <v>70.519999999999982</v>
      </c>
      <c r="I97" s="4">
        <f t="shared" si="11"/>
        <v>217.49</v>
      </c>
      <c r="J97" s="7">
        <v>2.2162000000000002</v>
      </c>
      <c r="K97" s="7">
        <v>2.3311000000000002</v>
      </c>
      <c r="L97">
        <f t="shared" si="12"/>
        <v>0.1149</v>
      </c>
      <c r="M97" s="4">
        <f t="shared" si="13"/>
        <v>217.3751</v>
      </c>
      <c r="N97">
        <v>80</v>
      </c>
      <c r="O97">
        <v>80.5</v>
      </c>
      <c r="P97">
        <f t="shared" si="14"/>
        <v>0.5</v>
      </c>
      <c r="Q97" s="4">
        <f t="shared" si="15"/>
        <v>318.55749507400503</v>
      </c>
      <c r="R97" s="4">
        <f t="shared" si="16"/>
        <v>318.05749507400503</v>
      </c>
      <c r="S97" s="6">
        <f t="shared" si="17"/>
        <v>0.32441618198220484</v>
      </c>
      <c r="T97" s="6">
        <f t="shared" si="18"/>
        <v>0.22172091867727098</v>
      </c>
      <c r="U97" s="6">
        <f t="shared" si="19"/>
        <v>0.68344592838292195</v>
      </c>
    </row>
    <row r="98" spans="1:21" x14ac:dyDescent="0.25">
      <c r="A98" s="2">
        <v>45091</v>
      </c>
      <c r="B98" t="s">
        <v>23</v>
      </c>
      <c r="C98" t="s">
        <v>11</v>
      </c>
      <c r="D98" t="s">
        <v>13</v>
      </c>
      <c r="E98" s="4">
        <v>12.89</v>
      </c>
      <c r="F98" s="4">
        <v>309.42</v>
      </c>
      <c r="G98" s="4">
        <v>221.24</v>
      </c>
      <c r="H98" s="4">
        <f t="shared" si="10"/>
        <v>88.18</v>
      </c>
      <c r="I98" s="4">
        <f t="shared" si="11"/>
        <v>208.35000000000002</v>
      </c>
      <c r="J98" s="7"/>
      <c r="K98" s="7"/>
      <c r="L98">
        <f t="shared" si="12"/>
        <v>0</v>
      </c>
      <c r="M98" s="4">
        <f t="shared" si="13"/>
        <v>208.35000000000002</v>
      </c>
      <c r="P98">
        <f t="shared" si="14"/>
        <v>0</v>
      </c>
      <c r="Q98" s="4">
        <f t="shared" si="15"/>
        <v>318.55749507400503</v>
      </c>
      <c r="R98" s="4">
        <f t="shared" si="16"/>
        <v>318.55749507400503</v>
      </c>
      <c r="S98" s="6">
        <f t="shared" si="17"/>
        <v>0.42323014158867289</v>
      </c>
      <c r="T98" s="6">
        <f t="shared" si="18"/>
        <v>0.27681031325134775</v>
      </c>
      <c r="U98" s="6">
        <f t="shared" si="19"/>
        <v>0.65404205903740431</v>
      </c>
    </row>
    <row r="99" spans="1:21" x14ac:dyDescent="0.25">
      <c r="A99" s="2">
        <v>45091</v>
      </c>
      <c r="B99" t="s">
        <v>23</v>
      </c>
      <c r="C99" t="s">
        <v>11</v>
      </c>
      <c r="D99" t="s">
        <v>12</v>
      </c>
      <c r="E99" s="4">
        <v>12.92</v>
      </c>
      <c r="F99" s="4">
        <v>360.57</v>
      </c>
      <c r="G99" s="4">
        <v>262.91000000000003</v>
      </c>
      <c r="H99" s="4">
        <f t="shared" si="10"/>
        <v>97.659999999999968</v>
      </c>
      <c r="I99" s="4">
        <f t="shared" si="11"/>
        <v>249.99000000000004</v>
      </c>
      <c r="J99" s="7"/>
      <c r="K99" s="7"/>
      <c r="L99">
        <f t="shared" si="12"/>
        <v>0</v>
      </c>
      <c r="M99" s="4">
        <f t="shared" si="13"/>
        <v>249.99000000000004</v>
      </c>
      <c r="P99">
        <f t="shared" si="14"/>
        <v>0</v>
      </c>
      <c r="Q99" s="4">
        <f t="shared" si="15"/>
        <v>318.55749507400503</v>
      </c>
      <c r="R99" s="4">
        <f t="shared" si="16"/>
        <v>318.55749507400503</v>
      </c>
      <c r="S99" s="6">
        <f t="shared" si="17"/>
        <v>0.39065562622504879</v>
      </c>
      <c r="T99" s="6">
        <f t="shared" si="18"/>
        <v>0.30656946237385591</v>
      </c>
      <c r="U99" s="6">
        <f t="shared" si="19"/>
        <v>0.78475629632234556</v>
      </c>
    </row>
    <row r="100" spans="1:21" x14ac:dyDescent="0.25">
      <c r="A100" s="2">
        <v>45091</v>
      </c>
      <c r="B100" t="s">
        <v>23</v>
      </c>
      <c r="C100" t="s">
        <v>19</v>
      </c>
      <c r="D100" t="s">
        <v>13</v>
      </c>
      <c r="E100" s="4">
        <v>12.84</v>
      </c>
      <c r="F100" s="4">
        <v>311.35000000000002</v>
      </c>
      <c r="G100" s="4">
        <v>240.47</v>
      </c>
      <c r="H100" s="4">
        <f t="shared" si="10"/>
        <v>70.880000000000024</v>
      </c>
      <c r="I100" s="4">
        <f t="shared" si="11"/>
        <v>227.63</v>
      </c>
      <c r="J100" s="7">
        <v>2.2162000000000002</v>
      </c>
      <c r="K100" s="7">
        <v>2.4072</v>
      </c>
      <c r="L100">
        <f t="shared" si="12"/>
        <v>0.19099999999999984</v>
      </c>
      <c r="M100" s="4">
        <f t="shared" si="13"/>
        <v>227.43899999999999</v>
      </c>
      <c r="N100">
        <v>80</v>
      </c>
      <c r="O100">
        <v>81</v>
      </c>
      <c r="P100">
        <f t="shared" si="14"/>
        <v>1</v>
      </c>
      <c r="Q100" s="4">
        <f t="shared" si="15"/>
        <v>318.55749507400503</v>
      </c>
      <c r="R100" s="4">
        <f t="shared" si="16"/>
        <v>317.55749507400503</v>
      </c>
      <c r="S100" s="6">
        <f t="shared" si="17"/>
        <v>0.31164400124868658</v>
      </c>
      <c r="T100" s="6">
        <f t="shared" si="18"/>
        <v>0.22320367523834331</v>
      </c>
      <c r="U100" s="6">
        <f t="shared" si="19"/>
        <v>0.71621361022197438</v>
      </c>
    </row>
    <row r="101" spans="1:21" x14ac:dyDescent="0.25">
      <c r="A101" s="2">
        <v>45091</v>
      </c>
      <c r="B101" t="s">
        <v>23</v>
      </c>
      <c r="C101" t="s">
        <v>19</v>
      </c>
      <c r="D101" t="s">
        <v>12</v>
      </c>
      <c r="E101" s="4">
        <v>12.94</v>
      </c>
      <c r="F101" s="4">
        <v>336.46</v>
      </c>
      <c r="G101" s="4">
        <v>261.98</v>
      </c>
      <c r="H101" s="4">
        <f t="shared" si="10"/>
        <v>74.479999999999961</v>
      </c>
      <c r="I101" s="4">
        <f t="shared" si="11"/>
        <v>249.04000000000002</v>
      </c>
      <c r="J101" s="7">
        <v>2.2162000000000002</v>
      </c>
      <c r="K101" s="7">
        <v>2.6642000000000001</v>
      </c>
      <c r="L101">
        <f t="shared" si="12"/>
        <v>0.44799999999999995</v>
      </c>
      <c r="M101" s="4">
        <f t="shared" si="13"/>
        <v>248.59200000000001</v>
      </c>
      <c r="N101">
        <v>80</v>
      </c>
      <c r="O101">
        <v>81</v>
      </c>
      <c r="P101">
        <f t="shared" si="14"/>
        <v>1</v>
      </c>
      <c r="Q101" s="4">
        <f t="shared" si="15"/>
        <v>318.55749507400503</v>
      </c>
      <c r="R101" s="4">
        <f t="shared" si="16"/>
        <v>317.55749507400503</v>
      </c>
      <c r="S101" s="6">
        <f t="shared" si="17"/>
        <v>0.29960738881379917</v>
      </c>
      <c r="T101" s="6">
        <f t="shared" si="18"/>
        <v>0.23454020501907161</v>
      </c>
      <c r="U101" s="6">
        <f t="shared" si="19"/>
        <v>0.78282516979190497</v>
      </c>
    </row>
    <row r="102" spans="1:21" x14ac:dyDescent="0.25">
      <c r="A102" s="2">
        <v>45091</v>
      </c>
      <c r="B102" t="s">
        <v>20</v>
      </c>
      <c r="C102" t="s">
        <v>16</v>
      </c>
      <c r="D102" t="s">
        <v>13</v>
      </c>
      <c r="E102" s="4">
        <v>12.85</v>
      </c>
      <c r="F102" s="4">
        <v>310.27999999999997</v>
      </c>
      <c r="G102" s="4">
        <v>261.41000000000003</v>
      </c>
      <c r="H102" s="4">
        <f t="shared" si="10"/>
        <v>48.869999999999948</v>
      </c>
      <c r="I102" s="4">
        <f t="shared" si="11"/>
        <v>248.56000000000003</v>
      </c>
      <c r="J102" s="7">
        <v>2.2162000000000002</v>
      </c>
      <c r="K102" s="7">
        <v>2.4230999999999998</v>
      </c>
      <c r="L102">
        <f t="shared" si="12"/>
        <v>0.20689999999999964</v>
      </c>
      <c r="M102" s="4">
        <f t="shared" si="13"/>
        <v>248.35310000000004</v>
      </c>
      <c r="N102">
        <v>80</v>
      </c>
      <c r="O102">
        <v>80.599999999999994</v>
      </c>
      <c r="P102">
        <f t="shared" si="14"/>
        <v>0.59999999999999432</v>
      </c>
      <c r="Q102" s="4">
        <f t="shared" si="15"/>
        <v>318.55749507400503</v>
      </c>
      <c r="R102" s="4">
        <f t="shared" si="16"/>
        <v>317.95749507400501</v>
      </c>
      <c r="S102" s="6">
        <f t="shared" si="17"/>
        <v>0.19677628344482087</v>
      </c>
      <c r="T102" s="6">
        <f t="shared" si="18"/>
        <v>0.15369978930242043</v>
      </c>
      <c r="U102" s="6">
        <f t="shared" si="19"/>
        <v>0.78108899411915278</v>
      </c>
    </row>
    <row r="103" spans="1:21" x14ac:dyDescent="0.25">
      <c r="A103" s="2">
        <v>45091</v>
      </c>
      <c r="B103" t="s">
        <v>20</v>
      </c>
      <c r="C103" t="s">
        <v>16</v>
      </c>
      <c r="D103" t="s">
        <v>12</v>
      </c>
      <c r="E103" s="4">
        <v>12.77</v>
      </c>
      <c r="F103" s="4">
        <v>368.3</v>
      </c>
      <c r="G103" s="4">
        <v>295.12</v>
      </c>
      <c r="H103" s="4">
        <f t="shared" si="10"/>
        <v>73.180000000000007</v>
      </c>
      <c r="I103" s="4">
        <f t="shared" si="11"/>
        <v>282.35000000000002</v>
      </c>
      <c r="J103" s="7"/>
      <c r="K103" s="7"/>
      <c r="L103">
        <f t="shared" si="12"/>
        <v>0</v>
      </c>
      <c r="M103" s="4">
        <f t="shared" si="13"/>
        <v>282.35000000000002</v>
      </c>
      <c r="P103">
        <f t="shared" si="14"/>
        <v>0</v>
      </c>
      <c r="Q103" s="4">
        <f t="shared" si="15"/>
        <v>318.55749507400503</v>
      </c>
      <c r="R103" s="4">
        <f t="shared" si="16"/>
        <v>318.55749507400503</v>
      </c>
      <c r="S103" s="6">
        <f t="shared" si="17"/>
        <v>0.2591818664777758</v>
      </c>
      <c r="T103" s="6">
        <f t="shared" si="18"/>
        <v>0.22972305198155624</v>
      </c>
      <c r="U103" s="6">
        <f t="shared" si="19"/>
        <v>0.88633921463504239</v>
      </c>
    </row>
    <row r="104" spans="1:21" x14ac:dyDescent="0.25">
      <c r="A104" s="2">
        <v>45091</v>
      </c>
      <c r="B104" t="s">
        <v>20</v>
      </c>
      <c r="C104" t="s">
        <v>8</v>
      </c>
      <c r="D104" t="s">
        <v>13</v>
      </c>
      <c r="E104" s="4">
        <v>12.94</v>
      </c>
      <c r="F104" s="4">
        <v>408.89</v>
      </c>
      <c r="G104" s="4">
        <v>331.06</v>
      </c>
      <c r="H104" s="4">
        <f t="shared" si="10"/>
        <v>77.829999999999984</v>
      </c>
      <c r="I104" s="4">
        <f t="shared" si="11"/>
        <v>318.12</v>
      </c>
      <c r="J104" s="7">
        <v>2.2162000000000002</v>
      </c>
      <c r="K104" s="7">
        <v>2.3445</v>
      </c>
      <c r="L104">
        <f t="shared" si="12"/>
        <v>0.12829999999999986</v>
      </c>
      <c r="M104" s="4">
        <f t="shared" si="13"/>
        <v>317.99169999999998</v>
      </c>
      <c r="N104">
        <v>80</v>
      </c>
      <c r="O104">
        <v>80.5</v>
      </c>
      <c r="P104">
        <f t="shared" si="14"/>
        <v>0.5</v>
      </c>
      <c r="Q104" s="4">
        <f t="shared" si="15"/>
        <v>318.55749507400503</v>
      </c>
      <c r="R104" s="4">
        <f t="shared" si="16"/>
        <v>318.05749507400503</v>
      </c>
      <c r="S104" s="6">
        <f t="shared" si="17"/>
        <v>0.2447548159275855</v>
      </c>
      <c r="T104" s="6">
        <f t="shared" si="18"/>
        <v>0.24470418463771981</v>
      </c>
      <c r="U104" s="6">
        <f t="shared" si="19"/>
        <v>0.99979313465324959</v>
      </c>
    </row>
    <row r="105" spans="1:21" x14ac:dyDescent="0.25">
      <c r="A105" s="2">
        <v>45091</v>
      </c>
      <c r="B105" t="s">
        <v>20</v>
      </c>
      <c r="C105" t="s">
        <v>8</v>
      </c>
      <c r="D105" t="s">
        <v>12</v>
      </c>
      <c r="E105" s="4">
        <v>12.9</v>
      </c>
      <c r="F105" s="4">
        <v>243.45</v>
      </c>
      <c r="G105" s="4">
        <v>185.4</v>
      </c>
      <c r="H105" s="4">
        <f t="shared" si="10"/>
        <v>58.049999999999983</v>
      </c>
      <c r="I105" s="4">
        <f t="shared" si="11"/>
        <v>172.5</v>
      </c>
      <c r="J105" s="7">
        <v>2.2162000000000002</v>
      </c>
      <c r="K105" s="7">
        <v>2.2888999999999999</v>
      </c>
      <c r="L105">
        <f t="shared" si="12"/>
        <v>7.2699999999999765E-2</v>
      </c>
      <c r="M105" s="4">
        <f t="shared" si="13"/>
        <v>172.4273</v>
      </c>
      <c r="N105">
        <v>80</v>
      </c>
      <c r="O105">
        <v>80.400000000000006</v>
      </c>
      <c r="P105">
        <f t="shared" si="14"/>
        <v>0.40000000000000568</v>
      </c>
      <c r="Q105" s="4">
        <f t="shared" si="15"/>
        <v>318.55749507400503</v>
      </c>
      <c r="R105" s="4">
        <f t="shared" si="16"/>
        <v>318.15749507400506</v>
      </c>
      <c r="S105" s="6">
        <f t="shared" si="17"/>
        <v>0.33666362577155695</v>
      </c>
      <c r="T105" s="6">
        <f t="shared" si="18"/>
        <v>0.18245680488054275</v>
      </c>
      <c r="U105" s="6">
        <f t="shared" si="19"/>
        <v>0.54195580072659466</v>
      </c>
    </row>
    <row r="106" spans="1:21" x14ac:dyDescent="0.25">
      <c r="A106" s="2">
        <v>45091</v>
      </c>
      <c r="B106" t="s">
        <v>20</v>
      </c>
      <c r="C106" t="s">
        <v>15</v>
      </c>
      <c r="D106" t="s">
        <v>13</v>
      </c>
      <c r="E106" s="4">
        <v>12.74</v>
      </c>
      <c r="F106" s="4">
        <v>361.12</v>
      </c>
      <c r="G106" s="4">
        <v>296.99</v>
      </c>
      <c r="H106" s="4">
        <f t="shared" si="10"/>
        <v>64.13</v>
      </c>
      <c r="I106" s="4">
        <f t="shared" si="11"/>
        <v>284.25</v>
      </c>
      <c r="J106" s="7">
        <v>2.2162000000000002</v>
      </c>
      <c r="K106" s="7">
        <v>2.2898000000000001</v>
      </c>
      <c r="L106">
        <f t="shared" si="12"/>
        <v>7.3599999999999888E-2</v>
      </c>
      <c r="M106" s="4">
        <f t="shared" si="13"/>
        <v>284.1764</v>
      </c>
      <c r="N106">
        <v>80</v>
      </c>
      <c r="O106">
        <v>80.5</v>
      </c>
      <c r="P106">
        <f t="shared" si="14"/>
        <v>0.5</v>
      </c>
      <c r="Q106" s="4">
        <f t="shared" si="15"/>
        <v>318.55749507400503</v>
      </c>
      <c r="R106" s="4">
        <f t="shared" si="16"/>
        <v>318.05749507400503</v>
      </c>
      <c r="S106" s="6">
        <f t="shared" si="17"/>
        <v>0.22566968967162648</v>
      </c>
      <c r="T106" s="6">
        <f t="shared" si="18"/>
        <v>0.20163021149707019</v>
      </c>
      <c r="U106" s="6">
        <f t="shared" si="19"/>
        <v>0.89347493582529269</v>
      </c>
    </row>
    <row r="107" spans="1:21" x14ac:dyDescent="0.25">
      <c r="A107" s="2">
        <v>45091</v>
      </c>
      <c r="B107" t="s">
        <v>20</v>
      </c>
      <c r="C107" t="s">
        <v>15</v>
      </c>
      <c r="D107" t="s">
        <v>12</v>
      </c>
      <c r="E107" s="4">
        <v>12.9</v>
      </c>
      <c r="F107" s="4">
        <v>317.52999999999997</v>
      </c>
      <c r="G107" s="4">
        <v>248.38</v>
      </c>
      <c r="H107" s="4">
        <f t="shared" si="10"/>
        <v>69.149999999999977</v>
      </c>
      <c r="I107" s="4">
        <f t="shared" si="11"/>
        <v>235.48</v>
      </c>
      <c r="J107" s="7">
        <v>2.2162000000000002</v>
      </c>
      <c r="K107" s="7">
        <v>2.2509000000000001</v>
      </c>
      <c r="L107">
        <f t="shared" si="12"/>
        <v>3.4699999999999953E-2</v>
      </c>
      <c r="M107" s="4">
        <f t="shared" si="13"/>
        <v>235.4453</v>
      </c>
      <c r="N107">
        <v>15</v>
      </c>
      <c r="O107">
        <v>15.2</v>
      </c>
      <c r="P107">
        <f t="shared" si="14"/>
        <v>0.19999999999999929</v>
      </c>
      <c r="Q107" s="4">
        <f t="shared" si="15"/>
        <v>318.55749507400503</v>
      </c>
      <c r="R107" s="4">
        <f t="shared" si="16"/>
        <v>318.35749507400504</v>
      </c>
      <c r="S107" s="6">
        <f t="shared" si="17"/>
        <v>0.29369879118419429</v>
      </c>
      <c r="T107" s="6">
        <f t="shared" si="18"/>
        <v>0.2172086445897102</v>
      </c>
      <c r="U107" s="6">
        <f t="shared" si="19"/>
        <v>0.73956261009425472</v>
      </c>
    </row>
    <row r="108" spans="1:21" x14ac:dyDescent="0.25">
      <c r="A108" s="2">
        <v>45091</v>
      </c>
      <c r="B108" t="s">
        <v>20</v>
      </c>
      <c r="C108" t="s">
        <v>11</v>
      </c>
      <c r="D108" t="s">
        <v>13</v>
      </c>
      <c r="E108" s="4">
        <v>12.87</v>
      </c>
      <c r="F108" s="4">
        <v>273.42</v>
      </c>
      <c r="G108" s="4">
        <v>210.51</v>
      </c>
      <c r="H108" s="4">
        <f t="shared" si="10"/>
        <v>62.910000000000025</v>
      </c>
      <c r="I108" s="4">
        <f t="shared" si="11"/>
        <v>197.64</v>
      </c>
      <c r="J108" s="7">
        <v>2.2162000000000002</v>
      </c>
      <c r="K108" s="7">
        <v>4.4187000000000003</v>
      </c>
      <c r="L108">
        <f t="shared" si="12"/>
        <v>2.2025000000000001</v>
      </c>
      <c r="M108" s="4">
        <f t="shared" si="13"/>
        <v>195.4375</v>
      </c>
      <c r="N108">
        <v>80</v>
      </c>
      <c r="O108">
        <v>82</v>
      </c>
      <c r="P108">
        <f t="shared" si="14"/>
        <v>2</v>
      </c>
      <c r="Q108" s="4">
        <f t="shared" si="15"/>
        <v>318.55749507400503</v>
      </c>
      <c r="R108" s="4">
        <f t="shared" si="16"/>
        <v>316.55749507400503</v>
      </c>
      <c r="S108" s="6">
        <f t="shared" si="17"/>
        <v>0.32189318835945008</v>
      </c>
      <c r="T108" s="6">
        <f t="shared" si="18"/>
        <v>0.19873167111488824</v>
      </c>
      <c r="U108" s="6">
        <f t="shared" si="19"/>
        <v>0.61738389721055409</v>
      </c>
    </row>
    <row r="109" spans="1:21" x14ac:dyDescent="0.25">
      <c r="A109" s="2">
        <v>45091</v>
      </c>
      <c r="B109" t="s">
        <v>20</v>
      </c>
      <c r="C109" t="s">
        <v>11</v>
      </c>
      <c r="D109" t="s">
        <v>12</v>
      </c>
      <c r="E109" s="4">
        <v>12.78</v>
      </c>
      <c r="F109" s="4">
        <v>328.83</v>
      </c>
      <c r="G109" s="4">
        <v>249.4</v>
      </c>
      <c r="H109" s="4">
        <f t="shared" si="10"/>
        <v>79.429999999999978</v>
      </c>
      <c r="I109" s="4">
        <f t="shared" si="11"/>
        <v>236.62</v>
      </c>
      <c r="J109" s="7">
        <v>2.2162000000000002</v>
      </c>
      <c r="K109" s="7">
        <v>2.2942999999999998</v>
      </c>
      <c r="L109">
        <f t="shared" si="12"/>
        <v>7.8099999999999614E-2</v>
      </c>
      <c r="M109" s="4">
        <f t="shared" si="13"/>
        <v>236.5419</v>
      </c>
      <c r="N109">
        <v>15</v>
      </c>
      <c r="O109">
        <v>15.2</v>
      </c>
      <c r="P109">
        <f t="shared" si="14"/>
        <v>0.19999999999999929</v>
      </c>
      <c r="Q109" s="4">
        <f t="shared" si="15"/>
        <v>318.55749507400503</v>
      </c>
      <c r="R109" s="4">
        <f t="shared" si="16"/>
        <v>318.35749507400504</v>
      </c>
      <c r="S109" s="6">
        <f t="shared" si="17"/>
        <v>0.33579674467821546</v>
      </c>
      <c r="T109" s="6">
        <f t="shared" si="18"/>
        <v>0.24949938741519426</v>
      </c>
      <c r="U109" s="6">
        <f t="shared" si="19"/>
        <v>0.74300716540382916</v>
      </c>
    </row>
    <row r="110" spans="1:21" x14ac:dyDescent="0.25">
      <c r="A110" s="2">
        <v>45091</v>
      </c>
      <c r="B110" t="s">
        <v>20</v>
      </c>
      <c r="C110" t="s">
        <v>19</v>
      </c>
      <c r="D110" t="s">
        <v>13</v>
      </c>
      <c r="E110" s="4">
        <v>12.8</v>
      </c>
      <c r="F110" s="4">
        <v>351.35</v>
      </c>
      <c r="G110" s="4">
        <v>273.43</v>
      </c>
      <c r="H110" s="4">
        <f t="shared" si="10"/>
        <v>77.920000000000016</v>
      </c>
      <c r="I110" s="4">
        <f t="shared" si="11"/>
        <v>260.63</v>
      </c>
      <c r="J110" s="7">
        <v>2.2162000000000002</v>
      </c>
      <c r="K110" s="7">
        <v>3.9296000000000002</v>
      </c>
      <c r="L110">
        <f t="shared" si="12"/>
        <v>1.7134</v>
      </c>
      <c r="M110" s="4">
        <f t="shared" si="13"/>
        <v>258.91660000000002</v>
      </c>
      <c r="N110">
        <v>80</v>
      </c>
      <c r="O110">
        <v>85</v>
      </c>
      <c r="P110">
        <f t="shared" si="14"/>
        <v>5</v>
      </c>
      <c r="Q110" s="4">
        <f t="shared" si="15"/>
        <v>318.55749507400503</v>
      </c>
      <c r="R110" s="4">
        <f t="shared" si="16"/>
        <v>313.55749507400503</v>
      </c>
      <c r="S110" s="6">
        <f t="shared" si="17"/>
        <v>0.30094632789091164</v>
      </c>
      <c r="T110" s="6">
        <f t="shared" si="18"/>
        <v>0.24850306952991041</v>
      </c>
      <c r="U110" s="6">
        <f t="shared" si="19"/>
        <v>0.82573883280605742</v>
      </c>
    </row>
    <row r="111" spans="1:21" x14ac:dyDescent="0.25">
      <c r="A111" s="2">
        <v>45091</v>
      </c>
      <c r="B111" t="s">
        <v>20</v>
      </c>
      <c r="C111" t="s">
        <v>19</v>
      </c>
      <c r="D111" t="s">
        <v>12</v>
      </c>
      <c r="E111" s="4">
        <v>12.76</v>
      </c>
      <c r="F111" s="4">
        <v>244.95</v>
      </c>
      <c r="G111" s="4">
        <v>188.95</v>
      </c>
      <c r="H111" s="4">
        <f t="shared" si="10"/>
        <v>56</v>
      </c>
      <c r="I111" s="4">
        <f t="shared" si="11"/>
        <v>176.19</v>
      </c>
      <c r="J111" s="7">
        <v>2.2162000000000002</v>
      </c>
      <c r="K111" s="7">
        <v>2.4308999999999998</v>
      </c>
      <c r="L111">
        <f t="shared" si="12"/>
        <v>0.21469999999999967</v>
      </c>
      <c r="M111" s="4">
        <f t="shared" si="13"/>
        <v>175.9753</v>
      </c>
      <c r="N111">
        <v>15</v>
      </c>
      <c r="O111">
        <v>15.8</v>
      </c>
      <c r="P111">
        <f t="shared" si="14"/>
        <v>0.80000000000000071</v>
      </c>
      <c r="Q111" s="4">
        <f t="shared" si="15"/>
        <v>318.55749507400503</v>
      </c>
      <c r="R111" s="4">
        <f t="shared" si="16"/>
        <v>317.75749507400502</v>
      </c>
      <c r="S111" s="6">
        <f t="shared" si="17"/>
        <v>0.31822647837509016</v>
      </c>
      <c r="T111" s="6">
        <f t="shared" si="18"/>
        <v>0.17623502472210048</v>
      </c>
      <c r="U111" s="6">
        <f t="shared" si="19"/>
        <v>0.5538037740353402</v>
      </c>
    </row>
    <row r="112" spans="1:21" x14ac:dyDescent="0.25">
      <c r="A112" s="2">
        <v>45090</v>
      </c>
      <c r="B112" t="s">
        <v>14</v>
      </c>
      <c r="C112" t="s">
        <v>16</v>
      </c>
      <c r="D112" t="s">
        <v>13</v>
      </c>
      <c r="E112" s="4">
        <v>13.14</v>
      </c>
      <c r="F112" s="4">
        <v>325.47000000000003</v>
      </c>
      <c r="G112" s="4">
        <v>251.77</v>
      </c>
      <c r="H112" s="4">
        <f t="shared" si="10"/>
        <v>73.700000000000017</v>
      </c>
      <c r="I112" s="4">
        <f t="shared" si="11"/>
        <v>238.63</v>
      </c>
      <c r="J112" s="7">
        <v>2.2162000000000002</v>
      </c>
      <c r="K112" s="7">
        <v>2.8942000000000001</v>
      </c>
      <c r="L112">
        <f t="shared" si="12"/>
        <v>0.67799999999999994</v>
      </c>
      <c r="M112" s="4">
        <f t="shared" si="13"/>
        <v>237.952</v>
      </c>
      <c r="N112">
        <v>80</v>
      </c>
      <c r="O112">
        <v>81</v>
      </c>
      <c r="P112">
        <f t="shared" si="14"/>
        <v>1</v>
      </c>
      <c r="Q112" s="4">
        <f t="shared" si="15"/>
        <v>318.55749507400503</v>
      </c>
      <c r="R112" s="4">
        <f t="shared" si="16"/>
        <v>317.55749507400503</v>
      </c>
      <c r="S112" s="6">
        <f t="shared" si="17"/>
        <v>0.30972633136094679</v>
      </c>
      <c r="T112" s="6">
        <f t="shared" si="18"/>
        <v>0.23208395689991393</v>
      </c>
      <c r="U112" s="6">
        <f t="shared" si="19"/>
        <v>0.74931942621775183</v>
      </c>
    </row>
    <row r="113" spans="1:21" x14ac:dyDescent="0.25">
      <c r="A113" s="2">
        <v>45090</v>
      </c>
      <c r="B113" t="s">
        <v>14</v>
      </c>
      <c r="C113" t="s">
        <v>16</v>
      </c>
      <c r="D113" t="s">
        <v>12</v>
      </c>
      <c r="E113" s="4">
        <v>13.42</v>
      </c>
      <c r="F113" s="4">
        <v>385.54</v>
      </c>
      <c r="G113" s="4">
        <v>298.75</v>
      </c>
      <c r="H113" s="4">
        <f t="shared" si="10"/>
        <v>86.79000000000002</v>
      </c>
      <c r="I113" s="4">
        <f t="shared" si="11"/>
        <v>285.33</v>
      </c>
      <c r="J113" s="7">
        <v>2.2162000000000002</v>
      </c>
      <c r="K113" s="7">
        <v>2.4380000000000002</v>
      </c>
      <c r="L113">
        <f t="shared" si="12"/>
        <v>0.2218</v>
      </c>
      <c r="M113" s="4">
        <f t="shared" si="13"/>
        <v>285.10820000000001</v>
      </c>
      <c r="N113">
        <v>15</v>
      </c>
      <c r="O113">
        <v>16</v>
      </c>
      <c r="P113">
        <f t="shared" si="14"/>
        <v>1</v>
      </c>
      <c r="Q113" s="4">
        <f t="shared" si="15"/>
        <v>318.55749507400503</v>
      </c>
      <c r="R113" s="4">
        <f t="shared" si="16"/>
        <v>317.55749507400503</v>
      </c>
      <c r="S113" s="6">
        <f t="shared" si="17"/>
        <v>0.30441074651658567</v>
      </c>
      <c r="T113" s="6">
        <f t="shared" si="18"/>
        <v>0.27330483879706285</v>
      </c>
      <c r="U113" s="6">
        <f t="shared" si="19"/>
        <v>0.8978160000083043</v>
      </c>
    </row>
    <row r="114" spans="1:21" x14ac:dyDescent="0.25">
      <c r="A114" s="2">
        <v>45090</v>
      </c>
      <c r="B114" t="s">
        <v>14</v>
      </c>
      <c r="C114" t="s">
        <v>8</v>
      </c>
      <c r="D114" t="s">
        <v>13</v>
      </c>
      <c r="E114" s="4">
        <v>12.8</v>
      </c>
      <c r="F114" s="4">
        <v>279.23</v>
      </c>
      <c r="G114" s="4">
        <v>213.69</v>
      </c>
      <c r="H114" s="4">
        <f t="shared" si="10"/>
        <v>65.54000000000002</v>
      </c>
      <c r="I114" s="4">
        <f t="shared" si="11"/>
        <v>200.89</v>
      </c>
      <c r="J114" s="7"/>
      <c r="K114" s="7"/>
      <c r="L114">
        <f t="shared" si="12"/>
        <v>0</v>
      </c>
      <c r="M114" s="4">
        <f t="shared" si="13"/>
        <v>200.89</v>
      </c>
      <c r="P114">
        <f t="shared" si="14"/>
        <v>0</v>
      </c>
      <c r="Q114" s="4">
        <f t="shared" si="15"/>
        <v>318.55749507400503</v>
      </c>
      <c r="R114" s="4">
        <f t="shared" si="16"/>
        <v>318.55749507400503</v>
      </c>
      <c r="S114" s="6">
        <f t="shared" si="17"/>
        <v>0.32624819552989209</v>
      </c>
      <c r="T114" s="6">
        <f t="shared" si="18"/>
        <v>0.20573994024147582</v>
      </c>
      <c r="U114" s="6">
        <f t="shared" si="19"/>
        <v>0.63062399443256123</v>
      </c>
    </row>
    <row r="115" spans="1:21" x14ac:dyDescent="0.25">
      <c r="A115" s="2">
        <v>45090</v>
      </c>
      <c r="B115" t="s">
        <v>14</v>
      </c>
      <c r="C115" t="s">
        <v>8</v>
      </c>
      <c r="D115" t="s">
        <v>12</v>
      </c>
      <c r="E115" s="4">
        <v>13.12</v>
      </c>
      <c r="F115" s="4">
        <v>390.48</v>
      </c>
      <c r="G115" s="4">
        <v>289.06</v>
      </c>
      <c r="H115" s="4">
        <f t="shared" si="10"/>
        <v>101.42000000000002</v>
      </c>
      <c r="I115" s="4">
        <f t="shared" si="11"/>
        <v>275.94</v>
      </c>
      <c r="J115" s="7">
        <v>2.2162000000000002</v>
      </c>
      <c r="K115" s="7">
        <v>2.3186</v>
      </c>
      <c r="L115">
        <f t="shared" si="12"/>
        <v>0.10239999999999982</v>
      </c>
      <c r="M115" s="4">
        <f t="shared" si="13"/>
        <v>275.83760000000001</v>
      </c>
      <c r="N115">
        <v>15</v>
      </c>
      <c r="O115">
        <v>15.2</v>
      </c>
      <c r="P115">
        <f t="shared" si="14"/>
        <v>0.19999999999999929</v>
      </c>
      <c r="Q115" s="4">
        <f t="shared" si="15"/>
        <v>318.55749507400503</v>
      </c>
      <c r="R115" s="4">
        <f t="shared" si="16"/>
        <v>318.35749507400504</v>
      </c>
      <c r="S115" s="6">
        <f t="shared" si="17"/>
        <v>0.36768011322604321</v>
      </c>
      <c r="T115" s="6">
        <f t="shared" si="18"/>
        <v>0.31857267873157513</v>
      </c>
      <c r="U115" s="6">
        <f t="shared" si="19"/>
        <v>0.86643978630337914</v>
      </c>
    </row>
    <row r="116" spans="1:21" x14ac:dyDescent="0.25">
      <c r="A116" s="2">
        <v>45090</v>
      </c>
      <c r="B116" t="s">
        <v>14</v>
      </c>
      <c r="C116" t="s">
        <v>15</v>
      </c>
      <c r="D116" t="s">
        <v>13</v>
      </c>
      <c r="E116" s="4">
        <v>12.86</v>
      </c>
      <c r="F116" s="4">
        <v>380.87</v>
      </c>
      <c r="G116" s="4">
        <v>301.26</v>
      </c>
      <c r="H116" s="4">
        <f t="shared" si="10"/>
        <v>79.610000000000014</v>
      </c>
      <c r="I116" s="4">
        <f t="shared" si="11"/>
        <v>288.39999999999998</v>
      </c>
      <c r="J116" s="7">
        <v>2.2162000000000002</v>
      </c>
      <c r="K116" s="7">
        <v>2.3132999999999999</v>
      </c>
      <c r="L116">
        <f t="shared" si="12"/>
        <v>9.7099999999999742E-2</v>
      </c>
      <c r="M116" s="4">
        <f t="shared" si="13"/>
        <v>288.30289999999997</v>
      </c>
      <c r="N116">
        <v>15</v>
      </c>
      <c r="O116">
        <v>15.4</v>
      </c>
      <c r="P116">
        <f t="shared" si="14"/>
        <v>0.40000000000000036</v>
      </c>
      <c r="Q116" s="4">
        <f t="shared" si="15"/>
        <v>318.55749507400503</v>
      </c>
      <c r="R116" s="4">
        <f t="shared" si="16"/>
        <v>318.15749507400506</v>
      </c>
      <c r="S116" s="6">
        <f t="shared" si="17"/>
        <v>0.27613319186175384</v>
      </c>
      <c r="T116" s="6">
        <f t="shared" si="18"/>
        <v>0.25022198512558164</v>
      </c>
      <c r="U116" s="6">
        <f t="shared" si="19"/>
        <v>0.90616409942798692</v>
      </c>
    </row>
    <row r="117" spans="1:21" x14ac:dyDescent="0.25">
      <c r="A117" s="2">
        <v>45090</v>
      </c>
      <c r="B117" t="s">
        <v>14</v>
      </c>
      <c r="C117" t="s">
        <v>15</v>
      </c>
      <c r="D117" t="s">
        <v>12</v>
      </c>
      <c r="E117" s="4">
        <v>12.95</v>
      </c>
      <c r="F117" s="4">
        <v>351.16</v>
      </c>
      <c r="G117" s="4">
        <v>268.89999999999998</v>
      </c>
      <c r="H117" s="4">
        <f t="shared" si="10"/>
        <v>82.260000000000048</v>
      </c>
      <c r="I117" s="4">
        <f t="shared" si="11"/>
        <v>255.95</v>
      </c>
      <c r="J117" s="7">
        <v>2.2162000000000002</v>
      </c>
      <c r="K117" s="7">
        <v>2.3290999999999999</v>
      </c>
      <c r="L117">
        <f t="shared" si="12"/>
        <v>0.11289999999999978</v>
      </c>
      <c r="M117" s="4">
        <f t="shared" si="13"/>
        <v>255.83709999999999</v>
      </c>
      <c r="N117">
        <v>15</v>
      </c>
      <c r="O117">
        <v>15.3</v>
      </c>
      <c r="P117">
        <f t="shared" si="14"/>
        <v>0.30000000000000071</v>
      </c>
      <c r="Q117" s="4">
        <f t="shared" si="15"/>
        <v>318.55749507400503</v>
      </c>
      <c r="R117" s="4">
        <f t="shared" si="16"/>
        <v>318.25749507400502</v>
      </c>
      <c r="S117" s="6">
        <f t="shared" si="17"/>
        <v>0.32153272531622679</v>
      </c>
      <c r="T117" s="6">
        <f t="shared" si="18"/>
        <v>0.25846995364829339</v>
      </c>
      <c r="U117" s="6">
        <f t="shared" si="19"/>
        <v>0.80386826377964704</v>
      </c>
    </row>
    <row r="118" spans="1:21" x14ac:dyDescent="0.25">
      <c r="A118" s="2">
        <v>45090</v>
      </c>
      <c r="B118" t="s">
        <v>14</v>
      </c>
      <c r="C118" t="s">
        <v>11</v>
      </c>
      <c r="D118" t="s">
        <v>13</v>
      </c>
      <c r="E118" s="4">
        <v>12.87</v>
      </c>
      <c r="F118" s="4">
        <v>332.44</v>
      </c>
      <c r="G118" s="4">
        <v>268.95</v>
      </c>
      <c r="H118" s="4">
        <f t="shared" si="10"/>
        <v>63.490000000000009</v>
      </c>
      <c r="I118" s="4">
        <f t="shared" si="11"/>
        <v>256.08</v>
      </c>
      <c r="J118" s="7">
        <v>2.2162000000000002</v>
      </c>
      <c r="K118" s="7">
        <v>2.4967999999999999</v>
      </c>
      <c r="L118">
        <f t="shared" si="12"/>
        <v>0.28059999999999974</v>
      </c>
      <c r="M118" s="4">
        <f t="shared" si="13"/>
        <v>255.79939999999999</v>
      </c>
      <c r="N118">
        <v>80</v>
      </c>
      <c r="O118">
        <v>81</v>
      </c>
      <c r="P118">
        <f t="shared" si="14"/>
        <v>1</v>
      </c>
      <c r="Q118" s="4">
        <f t="shared" si="15"/>
        <v>318.55749507400503</v>
      </c>
      <c r="R118" s="4">
        <f t="shared" si="16"/>
        <v>317.55749507400503</v>
      </c>
      <c r="S118" s="6">
        <f t="shared" si="17"/>
        <v>0.2482023022727966</v>
      </c>
      <c r="T118" s="6">
        <f t="shared" si="18"/>
        <v>0.19993229882734784</v>
      </c>
      <c r="U118" s="6">
        <f t="shared" si="19"/>
        <v>0.80552153222013334</v>
      </c>
    </row>
    <row r="119" spans="1:21" x14ac:dyDescent="0.25">
      <c r="A119" s="2">
        <v>45090</v>
      </c>
      <c r="B119" t="s">
        <v>14</v>
      </c>
      <c r="C119" t="s">
        <v>11</v>
      </c>
      <c r="D119" t="s">
        <v>12</v>
      </c>
      <c r="E119" s="4">
        <v>12.93</v>
      </c>
      <c r="F119" s="4">
        <v>243.42</v>
      </c>
      <c r="G119" s="4">
        <v>197.85</v>
      </c>
      <c r="H119" s="4">
        <f t="shared" si="10"/>
        <v>45.569999999999993</v>
      </c>
      <c r="I119" s="4">
        <f t="shared" si="11"/>
        <v>184.92</v>
      </c>
      <c r="J119" s="7">
        <v>2.2162000000000002</v>
      </c>
      <c r="K119" s="7">
        <v>2.3567</v>
      </c>
      <c r="L119">
        <f t="shared" si="12"/>
        <v>0.14049999999999985</v>
      </c>
      <c r="M119" s="4">
        <f t="shared" si="13"/>
        <v>184.77949999999998</v>
      </c>
      <c r="N119">
        <v>15</v>
      </c>
      <c r="O119">
        <v>15.6</v>
      </c>
      <c r="P119">
        <f t="shared" si="14"/>
        <v>0.59999999999999964</v>
      </c>
      <c r="Q119" s="4">
        <f t="shared" si="15"/>
        <v>318.55749507400503</v>
      </c>
      <c r="R119" s="4">
        <f t="shared" si="16"/>
        <v>317.95749507400501</v>
      </c>
      <c r="S119" s="6">
        <f t="shared" si="17"/>
        <v>0.24661826663672104</v>
      </c>
      <c r="T119" s="6">
        <f t="shared" si="18"/>
        <v>0.14332104355455913</v>
      </c>
      <c r="U119" s="6">
        <f t="shared" si="19"/>
        <v>0.58114528785362429</v>
      </c>
    </row>
    <row r="120" spans="1:21" x14ac:dyDescent="0.25">
      <c r="A120" s="2">
        <v>45090</v>
      </c>
      <c r="B120" t="s">
        <v>14</v>
      </c>
      <c r="C120" t="s">
        <v>19</v>
      </c>
      <c r="D120" t="s">
        <v>13</v>
      </c>
      <c r="E120" s="4">
        <v>12.78</v>
      </c>
      <c r="F120" s="4">
        <v>345.34</v>
      </c>
      <c r="G120" s="4">
        <v>273.82</v>
      </c>
      <c r="H120" s="4">
        <f t="shared" si="10"/>
        <v>71.519999999999982</v>
      </c>
      <c r="I120" s="4">
        <f t="shared" si="11"/>
        <v>261.04000000000002</v>
      </c>
      <c r="J120" s="7"/>
      <c r="K120" s="7"/>
      <c r="L120">
        <f t="shared" si="12"/>
        <v>0</v>
      </c>
      <c r="M120" s="4">
        <f t="shared" si="13"/>
        <v>261.04000000000002</v>
      </c>
      <c r="P120">
        <f t="shared" si="14"/>
        <v>0</v>
      </c>
      <c r="Q120" s="4">
        <f t="shared" si="15"/>
        <v>318.55749507400503</v>
      </c>
      <c r="R120" s="4">
        <f t="shared" si="16"/>
        <v>318.55749507400503</v>
      </c>
      <c r="S120" s="6">
        <f t="shared" si="17"/>
        <v>0.27398099908060058</v>
      </c>
      <c r="T120" s="6">
        <f t="shared" si="18"/>
        <v>0.22451206173436591</v>
      </c>
      <c r="U120" s="6">
        <f t="shared" si="19"/>
        <v>0.81944391212442524</v>
      </c>
    </row>
    <row r="121" spans="1:21" x14ac:dyDescent="0.25">
      <c r="A121" s="2">
        <v>45090</v>
      </c>
      <c r="B121" t="s">
        <v>14</v>
      </c>
      <c r="C121" t="s">
        <v>19</v>
      </c>
      <c r="D121" t="s">
        <v>12</v>
      </c>
      <c r="E121" s="4">
        <v>12.97</v>
      </c>
      <c r="F121" s="4">
        <v>441.36</v>
      </c>
      <c r="G121" s="4">
        <v>351.16</v>
      </c>
      <c r="H121" s="4">
        <f t="shared" si="10"/>
        <v>90.199999999999989</v>
      </c>
      <c r="I121" s="4">
        <f t="shared" si="11"/>
        <v>338.19</v>
      </c>
      <c r="J121" s="7">
        <v>2.2162000000000002</v>
      </c>
      <c r="K121" s="7">
        <v>2.5042</v>
      </c>
      <c r="L121">
        <f t="shared" si="12"/>
        <v>0.28799999999999981</v>
      </c>
      <c r="M121" s="4">
        <f t="shared" si="13"/>
        <v>337.90199999999999</v>
      </c>
      <c r="N121">
        <v>15</v>
      </c>
      <c r="O121">
        <v>15.8</v>
      </c>
      <c r="P121">
        <f t="shared" si="14"/>
        <v>0.80000000000000071</v>
      </c>
      <c r="Q121" s="4">
        <f t="shared" si="15"/>
        <v>318.55749507400503</v>
      </c>
      <c r="R121" s="4">
        <f t="shared" si="16"/>
        <v>317.75749507400502</v>
      </c>
      <c r="S121" s="6">
        <f t="shared" si="17"/>
        <v>0.26694130250782772</v>
      </c>
      <c r="T121" s="6">
        <f t="shared" si="18"/>
        <v>0.28386427196309755</v>
      </c>
      <c r="U121" s="6">
        <f t="shared" si="19"/>
        <v>1.0633958450651286</v>
      </c>
    </row>
    <row r="122" spans="1:21" x14ac:dyDescent="0.25">
      <c r="A122" s="2">
        <v>45089</v>
      </c>
      <c r="B122" t="s">
        <v>25</v>
      </c>
      <c r="C122" t="s">
        <v>16</v>
      </c>
      <c r="D122" t="s">
        <v>13</v>
      </c>
      <c r="E122" s="4">
        <v>12.71</v>
      </c>
      <c r="F122" s="4">
        <v>327.95</v>
      </c>
      <c r="G122" s="4">
        <v>250.86</v>
      </c>
      <c r="H122" s="4">
        <f t="shared" si="10"/>
        <v>77.089999999999975</v>
      </c>
      <c r="I122" s="4">
        <f t="shared" si="11"/>
        <v>238.15</v>
      </c>
      <c r="J122" s="7">
        <v>2.2162000000000002</v>
      </c>
      <c r="K122" s="7">
        <v>2.3403</v>
      </c>
      <c r="L122">
        <f t="shared" si="12"/>
        <v>0.12409999999999988</v>
      </c>
      <c r="M122" s="4">
        <f t="shared" si="13"/>
        <v>238.02590000000001</v>
      </c>
      <c r="N122">
        <v>80</v>
      </c>
      <c r="O122">
        <v>81</v>
      </c>
      <c r="P122">
        <f t="shared" si="14"/>
        <v>1</v>
      </c>
      <c r="Q122" s="4">
        <f t="shared" si="15"/>
        <v>318.55749507400503</v>
      </c>
      <c r="R122" s="4">
        <f t="shared" si="16"/>
        <v>317.55749507400503</v>
      </c>
      <c r="S122" s="6">
        <f t="shared" si="17"/>
        <v>0.32387231809647593</v>
      </c>
      <c r="T122" s="6">
        <f t="shared" si="18"/>
        <v>0.2427591891100998</v>
      </c>
      <c r="U122" s="6">
        <f t="shared" si="19"/>
        <v>0.74955213998186176</v>
      </c>
    </row>
    <row r="123" spans="1:21" x14ac:dyDescent="0.25">
      <c r="A123" s="2">
        <v>45089</v>
      </c>
      <c r="B123" t="s">
        <v>25</v>
      </c>
      <c r="C123" t="s">
        <v>16</v>
      </c>
      <c r="D123" t="s">
        <v>12</v>
      </c>
      <c r="E123" s="4">
        <v>12.85</v>
      </c>
      <c r="F123" s="4">
        <v>398.77</v>
      </c>
      <c r="G123" s="4">
        <v>303.95</v>
      </c>
      <c r="H123" s="4">
        <f t="shared" si="10"/>
        <v>94.82</v>
      </c>
      <c r="I123" s="4">
        <f t="shared" si="11"/>
        <v>291.09999999999997</v>
      </c>
      <c r="J123" s="7">
        <v>2.2162000000000002</v>
      </c>
      <c r="K123" s="7">
        <v>2.9186999999999999</v>
      </c>
      <c r="L123">
        <f t="shared" si="12"/>
        <v>0.70249999999999968</v>
      </c>
      <c r="M123" s="4">
        <f t="shared" si="13"/>
        <v>290.39749999999998</v>
      </c>
      <c r="N123">
        <v>80</v>
      </c>
      <c r="O123">
        <v>83</v>
      </c>
      <c r="P123">
        <f t="shared" si="14"/>
        <v>3</v>
      </c>
      <c r="Q123" s="4">
        <f t="shared" si="15"/>
        <v>318.55749507400503</v>
      </c>
      <c r="R123" s="4">
        <f t="shared" si="16"/>
        <v>315.55749507400503</v>
      </c>
      <c r="S123" s="6">
        <f t="shared" si="17"/>
        <v>0.32651796244802384</v>
      </c>
      <c r="T123" s="6">
        <f t="shared" si="18"/>
        <v>0.30048406860931209</v>
      </c>
      <c r="U123" s="6">
        <f t="shared" si="19"/>
        <v>0.92026811130534392</v>
      </c>
    </row>
    <row r="124" spans="1:21" x14ac:dyDescent="0.25">
      <c r="A124" s="2">
        <v>45089</v>
      </c>
      <c r="B124" t="s">
        <v>25</v>
      </c>
      <c r="C124" t="s">
        <v>8</v>
      </c>
      <c r="D124" t="s">
        <v>13</v>
      </c>
      <c r="E124" s="4">
        <v>12.86</v>
      </c>
      <c r="F124" s="4">
        <v>285.44</v>
      </c>
      <c r="G124" s="4">
        <v>219</v>
      </c>
      <c r="H124" s="4">
        <f t="shared" si="10"/>
        <v>66.44</v>
      </c>
      <c r="I124" s="4">
        <f t="shared" si="11"/>
        <v>206.14</v>
      </c>
      <c r="J124" s="7">
        <v>2.2162000000000002</v>
      </c>
      <c r="K124" s="7">
        <v>2.2865000000000002</v>
      </c>
      <c r="L124">
        <f t="shared" si="12"/>
        <v>7.0300000000000029E-2</v>
      </c>
      <c r="M124" s="4">
        <f t="shared" si="13"/>
        <v>206.06969999999998</v>
      </c>
      <c r="N124">
        <v>80</v>
      </c>
      <c r="O124">
        <v>81</v>
      </c>
      <c r="P124">
        <f t="shared" si="14"/>
        <v>1</v>
      </c>
      <c r="Q124" s="4">
        <f t="shared" si="15"/>
        <v>318.55749507400503</v>
      </c>
      <c r="R124" s="4">
        <f t="shared" si="16"/>
        <v>317.55749507400503</v>
      </c>
      <c r="S124" s="6">
        <f t="shared" si="17"/>
        <v>0.3224151828240639</v>
      </c>
      <c r="T124" s="6">
        <f t="shared" si="18"/>
        <v>0.20922195517544476</v>
      </c>
      <c r="U124" s="6">
        <f t="shared" si="19"/>
        <v>0.64892091415438513</v>
      </c>
    </row>
    <row r="125" spans="1:21" x14ac:dyDescent="0.25">
      <c r="A125" s="2">
        <v>45089</v>
      </c>
      <c r="B125" t="s">
        <v>25</v>
      </c>
      <c r="C125" t="s">
        <v>8</v>
      </c>
      <c r="D125" t="s">
        <v>12</v>
      </c>
      <c r="E125" s="4">
        <v>12.75</v>
      </c>
      <c r="F125" s="4">
        <v>368.49</v>
      </c>
      <c r="G125" s="4">
        <v>283.92</v>
      </c>
      <c r="H125" s="4">
        <f t="shared" si="10"/>
        <v>84.57</v>
      </c>
      <c r="I125" s="4">
        <f t="shared" si="11"/>
        <v>271.17</v>
      </c>
      <c r="J125" s="7">
        <v>2.2162000000000002</v>
      </c>
      <c r="K125" s="7">
        <v>2.31</v>
      </c>
      <c r="L125">
        <f t="shared" si="12"/>
        <v>9.3799999999999883E-2</v>
      </c>
      <c r="M125" s="4">
        <f t="shared" si="13"/>
        <v>271.07620000000003</v>
      </c>
      <c r="N125">
        <v>80</v>
      </c>
      <c r="O125">
        <v>81</v>
      </c>
      <c r="P125">
        <f t="shared" si="14"/>
        <v>1</v>
      </c>
      <c r="Q125" s="4">
        <f t="shared" si="15"/>
        <v>318.55749507400503</v>
      </c>
      <c r="R125" s="4">
        <f t="shared" si="16"/>
        <v>317.55749507400503</v>
      </c>
      <c r="S125" s="6">
        <f t="shared" si="17"/>
        <v>0.31197869824056845</v>
      </c>
      <c r="T125" s="6">
        <f t="shared" si="18"/>
        <v>0.26631397876561352</v>
      </c>
      <c r="U125" s="6">
        <f t="shared" si="19"/>
        <v>0.85362872615186491</v>
      </c>
    </row>
    <row r="126" spans="1:21" x14ac:dyDescent="0.25">
      <c r="A126" s="2">
        <v>45089</v>
      </c>
      <c r="B126" t="s">
        <v>25</v>
      </c>
      <c r="C126" t="s">
        <v>15</v>
      </c>
      <c r="D126" t="s">
        <v>13</v>
      </c>
      <c r="E126" s="4">
        <v>12.85</v>
      </c>
      <c r="F126" s="4">
        <v>290.8</v>
      </c>
      <c r="G126" s="4">
        <v>227.27</v>
      </c>
      <c r="H126" s="4">
        <f t="shared" si="10"/>
        <v>63.53</v>
      </c>
      <c r="I126" s="4">
        <f t="shared" si="11"/>
        <v>214.42000000000002</v>
      </c>
      <c r="J126" s="7">
        <v>2.2162000000000002</v>
      </c>
      <c r="K126" s="7">
        <v>2.5493000000000001</v>
      </c>
      <c r="L126">
        <f t="shared" si="12"/>
        <v>0.33309999999999995</v>
      </c>
      <c r="M126" s="4">
        <f t="shared" si="13"/>
        <v>214.08690000000001</v>
      </c>
      <c r="N126">
        <v>80</v>
      </c>
      <c r="O126">
        <v>82</v>
      </c>
      <c r="P126">
        <f t="shared" si="14"/>
        <v>2</v>
      </c>
      <c r="Q126" s="4">
        <f t="shared" si="15"/>
        <v>318.55749507400503</v>
      </c>
      <c r="R126" s="4">
        <f t="shared" si="16"/>
        <v>316.55749507400503</v>
      </c>
      <c r="S126" s="6">
        <f t="shared" si="17"/>
        <v>0.29674865673705397</v>
      </c>
      <c r="T126" s="6">
        <f t="shared" si="18"/>
        <v>0.2006902410734199</v>
      </c>
      <c r="U126" s="6">
        <f t="shared" si="19"/>
        <v>0.67629704976642746</v>
      </c>
    </row>
    <row r="127" spans="1:21" x14ac:dyDescent="0.25">
      <c r="A127" s="2">
        <v>45089</v>
      </c>
      <c r="B127" t="s">
        <v>25</v>
      </c>
      <c r="C127" t="s">
        <v>15</v>
      </c>
      <c r="D127" t="s">
        <v>12</v>
      </c>
      <c r="E127" s="4">
        <v>12.84</v>
      </c>
      <c r="F127" s="4">
        <v>480.97</v>
      </c>
      <c r="G127" s="4">
        <v>376.1</v>
      </c>
      <c r="H127" s="4">
        <f t="shared" si="10"/>
        <v>104.87</v>
      </c>
      <c r="I127" s="4">
        <f t="shared" si="11"/>
        <v>363.26000000000005</v>
      </c>
      <c r="J127" s="7">
        <v>2.2162000000000002</v>
      </c>
      <c r="K127" s="7">
        <v>2.2646000000000002</v>
      </c>
      <c r="L127">
        <f t="shared" si="12"/>
        <v>4.8399999999999999E-2</v>
      </c>
      <c r="M127" s="4">
        <f t="shared" si="13"/>
        <v>363.21160000000003</v>
      </c>
      <c r="N127">
        <v>80</v>
      </c>
      <c r="O127">
        <v>80.099999999999994</v>
      </c>
      <c r="P127">
        <f t="shared" si="14"/>
        <v>9.9999999999994316E-2</v>
      </c>
      <c r="Q127" s="4">
        <f t="shared" si="15"/>
        <v>318.55749507400503</v>
      </c>
      <c r="R127" s="4">
        <f t="shared" si="16"/>
        <v>318.45749507400501</v>
      </c>
      <c r="S127" s="6">
        <f t="shared" si="17"/>
        <v>0.28872976523877542</v>
      </c>
      <c r="T127" s="6">
        <f t="shared" si="18"/>
        <v>0.3293061134442124</v>
      </c>
      <c r="U127" s="6">
        <f t="shared" si="19"/>
        <v>1.1405339978435578</v>
      </c>
    </row>
    <row r="128" spans="1:21" x14ac:dyDescent="0.25">
      <c r="A128" s="2">
        <v>45089</v>
      </c>
      <c r="B128" t="s">
        <v>25</v>
      </c>
      <c r="C128" t="s">
        <v>11</v>
      </c>
      <c r="D128" t="s">
        <v>13</v>
      </c>
      <c r="E128" s="4">
        <v>12.96</v>
      </c>
      <c r="F128" s="4">
        <v>322.45999999999998</v>
      </c>
      <c r="G128" s="4">
        <v>252.54</v>
      </c>
      <c r="H128" s="4">
        <f t="shared" si="10"/>
        <v>69.919999999999987</v>
      </c>
      <c r="I128" s="4">
        <f t="shared" si="11"/>
        <v>239.57999999999998</v>
      </c>
      <c r="J128" s="7">
        <v>2.2162000000000002</v>
      </c>
      <c r="K128" s="7">
        <v>2.2881</v>
      </c>
      <c r="L128">
        <f t="shared" si="12"/>
        <v>7.1899999999999853E-2</v>
      </c>
      <c r="M128" s="4">
        <f t="shared" si="13"/>
        <v>239.50809999999998</v>
      </c>
      <c r="N128">
        <v>80</v>
      </c>
      <c r="O128">
        <v>80.5</v>
      </c>
      <c r="P128">
        <f t="shared" si="14"/>
        <v>0.5</v>
      </c>
      <c r="Q128" s="4">
        <f t="shared" si="15"/>
        <v>318.55749507400503</v>
      </c>
      <c r="R128" s="4">
        <f t="shared" si="16"/>
        <v>318.05749507400503</v>
      </c>
      <c r="S128" s="6">
        <f t="shared" si="17"/>
        <v>0.29193167162196182</v>
      </c>
      <c r="T128" s="6">
        <f t="shared" si="18"/>
        <v>0.21983446729884837</v>
      </c>
      <c r="U128" s="6">
        <f t="shared" si="19"/>
        <v>0.75303397564730135</v>
      </c>
    </row>
    <row r="129" spans="1:21" x14ac:dyDescent="0.25">
      <c r="A129" s="2">
        <v>45089</v>
      </c>
      <c r="B129" t="s">
        <v>25</v>
      </c>
      <c r="C129" t="s">
        <v>11</v>
      </c>
      <c r="D129" t="s">
        <v>12</v>
      </c>
      <c r="E129" s="4">
        <v>12.9</v>
      </c>
      <c r="F129" s="4">
        <v>449.29</v>
      </c>
      <c r="G129" s="4">
        <v>347.9</v>
      </c>
      <c r="H129" s="4">
        <f t="shared" si="10"/>
        <v>101.39000000000004</v>
      </c>
      <c r="I129" s="4">
        <f t="shared" si="11"/>
        <v>335</v>
      </c>
      <c r="J129" s="7">
        <v>2.2162000000000002</v>
      </c>
      <c r="K129" s="7">
        <v>2.2441</v>
      </c>
      <c r="L129">
        <f t="shared" si="12"/>
        <v>2.7899999999999814E-2</v>
      </c>
      <c r="M129" s="4">
        <f t="shared" si="13"/>
        <v>334.97210000000001</v>
      </c>
      <c r="N129">
        <v>80</v>
      </c>
      <c r="O129">
        <v>80.099999999999994</v>
      </c>
      <c r="P129">
        <f t="shared" si="14"/>
        <v>9.9999999999994316E-2</v>
      </c>
      <c r="Q129" s="4">
        <f t="shared" si="15"/>
        <v>318.55749507400503</v>
      </c>
      <c r="R129" s="4">
        <f t="shared" si="16"/>
        <v>318.45749507400501</v>
      </c>
      <c r="S129" s="6">
        <f t="shared" si="17"/>
        <v>0.30268192485284606</v>
      </c>
      <c r="T129" s="6">
        <f t="shared" si="18"/>
        <v>0.31837843846770963</v>
      </c>
      <c r="U129" s="6">
        <f t="shared" si="19"/>
        <v>1.051858113504778</v>
      </c>
    </row>
    <row r="130" spans="1:21" x14ac:dyDescent="0.25">
      <c r="A130" s="2">
        <v>45089</v>
      </c>
      <c r="B130" t="s">
        <v>25</v>
      </c>
      <c r="C130" t="s">
        <v>19</v>
      </c>
      <c r="D130" t="s">
        <v>13</v>
      </c>
      <c r="E130" s="4">
        <v>13.43</v>
      </c>
      <c r="F130" s="4">
        <v>278.10000000000002</v>
      </c>
      <c r="G130" s="4">
        <v>220.44</v>
      </c>
      <c r="H130" s="4">
        <f t="shared" si="10"/>
        <v>57.660000000000025</v>
      </c>
      <c r="I130" s="4">
        <f t="shared" si="11"/>
        <v>207.01</v>
      </c>
      <c r="J130" s="7">
        <v>2.2162000000000002</v>
      </c>
      <c r="K130" s="7">
        <v>3.2422</v>
      </c>
      <c r="L130">
        <f t="shared" si="12"/>
        <v>1.0259999999999998</v>
      </c>
      <c r="M130" s="4">
        <f t="shared" si="13"/>
        <v>205.98399999999998</v>
      </c>
      <c r="N130">
        <v>80</v>
      </c>
      <c r="O130">
        <v>84</v>
      </c>
      <c r="P130">
        <f t="shared" si="14"/>
        <v>4</v>
      </c>
      <c r="Q130" s="4">
        <f t="shared" si="15"/>
        <v>318.55749507400503</v>
      </c>
      <c r="R130" s="4">
        <f t="shared" si="16"/>
        <v>314.55749507400503</v>
      </c>
      <c r="S130" s="6">
        <f t="shared" si="17"/>
        <v>0.27992465434208497</v>
      </c>
      <c r="T130" s="6">
        <f t="shared" si="18"/>
        <v>0.18330512196644536</v>
      </c>
      <c r="U130" s="6">
        <f t="shared" si="19"/>
        <v>0.65483736113659829</v>
      </c>
    </row>
    <row r="131" spans="1:21" x14ac:dyDescent="0.25">
      <c r="A131" s="2">
        <v>45089</v>
      </c>
      <c r="B131" t="s">
        <v>25</v>
      </c>
      <c r="C131" t="s">
        <v>19</v>
      </c>
      <c r="D131" t="s">
        <v>12</v>
      </c>
      <c r="E131" s="4">
        <v>13.33</v>
      </c>
      <c r="F131" s="4">
        <v>432.91</v>
      </c>
      <c r="G131" s="4">
        <v>334.2</v>
      </c>
      <c r="H131" s="4">
        <f t="shared" ref="H131:H156" si="20">F131-G131</f>
        <v>98.710000000000036</v>
      </c>
      <c r="I131" s="4">
        <f t="shared" ref="I131:I156" si="21">G131-E131</f>
        <v>320.87</v>
      </c>
      <c r="J131" s="7">
        <v>2.2162000000000002</v>
      </c>
      <c r="K131" s="7">
        <v>3.3765999999999998</v>
      </c>
      <c r="L131">
        <f t="shared" ref="L131:L156" si="22">K131-J131</f>
        <v>1.1603999999999997</v>
      </c>
      <c r="M131" s="4">
        <f t="shared" ref="M131:M156" si="23">I131-L131</f>
        <v>319.70960000000002</v>
      </c>
      <c r="N131">
        <v>80</v>
      </c>
      <c r="O131">
        <v>82.5</v>
      </c>
      <c r="P131">
        <f t="shared" ref="P131:P156" si="24">O131-N131</f>
        <v>2.5</v>
      </c>
      <c r="Q131" s="4">
        <f t="shared" ref="Q131:Q156" si="25">15*PI()*(5.2/2)^2</f>
        <v>318.55749507400503</v>
      </c>
      <c r="R131" s="4">
        <f t="shared" ref="R131:R156" si="26">Q131-P131</f>
        <v>316.05749507400503</v>
      </c>
      <c r="S131" s="6">
        <f t="shared" ref="S131:S156" si="27">H131/M131</f>
        <v>0.30874893966274403</v>
      </c>
      <c r="T131" s="6">
        <f t="shared" ref="T131:T182" si="28">H131/R131</f>
        <v>0.31231659283032359</v>
      </c>
      <c r="U131" s="6">
        <f t="shared" ref="U131:U156" si="29">M131/R131</f>
        <v>1.0115551916436591</v>
      </c>
    </row>
    <row r="132" spans="1:21" x14ac:dyDescent="0.25">
      <c r="A132" s="2">
        <v>45090</v>
      </c>
      <c r="B132" t="s">
        <v>27</v>
      </c>
      <c r="C132" t="s">
        <v>16</v>
      </c>
      <c r="D132" t="s">
        <v>13</v>
      </c>
      <c r="E132" s="4">
        <v>12.98</v>
      </c>
      <c r="F132" s="4">
        <v>387.79</v>
      </c>
      <c r="G132" s="4">
        <v>300.73</v>
      </c>
      <c r="H132" s="4">
        <f t="shared" si="20"/>
        <v>87.06</v>
      </c>
      <c r="I132" s="4">
        <f t="shared" si="21"/>
        <v>287.75</v>
      </c>
      <c r="J132" s="7">
        <v>2.2162000000000002</v>
      </c>
      <c r="K132" s="7">
        <v>5.1376999999999997</v>
      </c>
      <c r="L132">
        <f t="shared" si="22"/>
        <v>2.9214999999999995</v>
      </c>
      <c r="M132" s="4">
        <f t="shared" si="23"/>
        <v>284.82850000000002</v>
      </c>
      <c r="N132">
        <v>80</v>
      </c>
      <c r="O132">
        <v>86</v>
      </c>
      <c r="P132">
        <f t="shared" si="24"/>
        <v>6</v>
      </c>
      <c r="Q132" s="4">
        <f t="shared" si="25"/>
        <v>318.55749507400503</v>
      </c>
      <c r="R132" s="4">
        <f t="shared" si="26"/>
        <v>312.55749507400503</v>
      </c>
      <c r="S132" s="6">
        <f t="shared" si="27"/>
        <v>0.30565761502096872</v>
      </c>
      <c r="T132" s="6">
        <f t="shared" si="28"/>
        <v>0.27854075289215696</v>
      </c>
      <c r="U132" s="6">
        <f t="shared" si="29"/>
        <v>0.91128353819370245</v>
      </c>
    </row>
    <row r="133" spans="1:21" x14ac:dyDescent="0.25">
      <c r="A133" s="2">
        <v>45090</v>
      </c>
      <c r="B133" t="s">
        <v>27</v>
      </c>
      <c r="C133" t="s">
        <v>16</v>
      </c>
      <c r="D133" t="s">
        <v>12</v>
      </c>
      <c r="E133" s="4">
        <v>12.9</v>
      </c>
      <c r="F133" s="4">
        <v>442.74</v>
      </c>
      <c r="G133" s="4">
        <v>348.9</v>
      </c>
      <c r="H133" s="4">
        <f t="shared" si="20"/>
        <v>93.840000000000032</v>
      </c>
      <c r="I133" s="4">
        <f t="shared" si="21"/>
        <v>336</v>
      </c>
      <c r="J133" s="7">
        <v>2.2162000000000002</v>
      </c>
      <c r="K133" s="7">
        <v>2.3420999999999998</v>
      </c>
      <c r="L133">
        <f t="shared" si="22"/>
        <v>0.12589999999999968</v>
      </c>
      <c r="M133" s="4">
        <f t="shared" si="23"/>
        <v>335.8741</v>
      </c>
      <c r="N133">
        <v>80</v>
      </c>
      <c r="O133">
        <v>80.5</v>
      </c>
      <c r="P133">
        <f t="shared" si="24"/>
        <v>0.5</v>
      </c>
      <c r="Q133" s="4">
        <f t="shared" si="25"/>
        <v>318.55749507400503</v>
      </c>
      <c r="R133" s="4">
        <f t="shared" si="26"/>
        <v>318.05749507400503</v>
      </c>
      <c r="S133" s="6">
        <f t="shared" si="27"/>
        <v>0.27939040253475939</v>
      </c>
      <c r="T133" s="6">
        <f t="shared" si="28"/>
        <v>0.29504099558529667</v>
      </c>
      <c r="U133" s="6">
        <f t="shared" si="29"/>
        <v>1.0560169315357573</v>
      </c>
    </row>
    <row r="134" spans="1:21" x14ac:dyDescent="0.25">
      <c r="A134" s="2">
        <v>45090</v>
      </c>
      <c r="B134" t="s">
        <v>27</v>
      </c>
      <c r="C134" t="s">
        <v>8</v>
      </c>
      <c r="D134" t="s">
        <v>13</v>
      </c>
      <c r="E134" s="4">
        <v>13.35</v>
      </c>
      <c r="F134" s="4">
        <v>337.63</v>
      </c>
      <c r="G134" s="4">
        <v>265.82</v>
      </c>
      <c r="H134" s="4">
        <f t="shared" si="20"/>
        <v>71.81</v>
      </c>
      <c r="I134" s="4">
        <f t="shared" si="21"/>
        <v>252.47</v>
      </c>
      <c r="J134" s="7">
        <v>2.2162000000000002</v>
      </c>
      <c r="K134" s="7">
        <v>2.5455000000000001</v>
      </c>
      <c r="L134">
        <f t="shared" si="22"/>
        <v>0.32929999999999993</v>
      </c>
      <c r="M134" s="4">
        <f t="shared" si="23"/>
        <v>252.14070000000001</v>
      </c>
      <c r="N134">
        <v>80</v>
      </c>
      <c r="O134">
        <v>81</v>
      </c>
      <c r="P134">
        <f t="shared" si="24"/>
        <v>1</v>
      </c>
      <c r="Q134" s="4">
        <f t="shared" si="25"/>
        <v>318.55749507400503</v>
      </c>
      <c r="R134" s="4">
        <f t="shared" si="26"/>
        <v>317.55749507400503</v>
      </c>
      <c r="S134" s="6">
        <f t="shared" si="27"/>
        <v>0.28480130339925286</v>
      </c>
      <c r="T134" s="6">
        <f t="shared" si="28"/>
        <v>0.22613227876503145</v>
      </c>
      <c r="U134" s="6">
        <f t="shared" si="29"/>
        <v>0.79400015402325808</v>
      </c>
    </row>
    <row r="135" spans="1:21" x14ac:dyDescent="0.25">
      <c r="A135" s="2">
        <v>45090</v>
      </c>
      <c r="B135" t="s">
        <v>27</v>
      </c>
      <c r="C135" t="s">
        <v>8</v>
      </c>
      <c r="D135" t="s">
        <v>12</v>
      </c>
      <c r="E135" s="4">
        <v>12.93</v>
      </c>
      <c r="F135" s="4">
        <v>324.31</v>
      </c>
      <c r="G135" s="4">
        <v>253.87</v>
      </c>
      <c r="H135" s="4">
        <f t="shared" si="20"/>
        <v>70.44</v>
      </c>
      <c r="I135" s="4">
        <f t="shared" si="21"/>
        <v>240.94</v>
      </c>
      <c r="J135" s="7">
        <v>2.2162000000000002</v>
      </c>
      <c r="K135" s="7">
        <v>2.2806000000000002</v>
      </c>
      <c r="L135">
        <f t="shared" si="22"/>
        <v>6.4400000000000013E-2</v>
      </c>
      <c r="M135" s="4">
        <f t="shared" si="23"/>
        <v>240.87559999999999</v>
      </c>
      <c r="N135">
        <v>80</v>
      </c>
      <c r="O135">
        <v>80.099999999999994</v>
      </c>
      <c r="P135">
        <f t="shared" si="24"/>
        <v>9.9999999999994316E-2</v>
      </c>
      <c r="Q135" s="4">
        <f t="shared" si="25"/>
        <v>318.55749507400503</v>
      </c>
      <c r="R135" s="4">
        <f t="shared" si="26"/>
        <v>318.45749507400501</v>
      </c>
      <c r="S135" s="6">
        <f t="shared" si="27"/>
        <v>0.29243310654960486</v>
      </c>
      <c r="T135" s="6">
        <f t="shared" si="28"/>
        <v>0.2211912141795587</v>
      </c>
      <c r="U135" s="6">
        <f t="shared" si="29"/>
        <v>0.75638226050865565</v>
      </c>
    </row>
    <row r="136" spans="1:21" x14ac:dyDescent="0.25">
      <c r="A136" s="2">
        <v>45090</v>
      </c>
      <c r="B136" t="s">
        <v>27</v>
      </c>
      <c r="C136" t="s">
        <v>15</v>
      </c>
      <c r="D136" t="s">
        <v>13</v>
      </c>
      <c r="E136" s="4">
        <v>13.19</v>
      </c>
      <c r="F136" s="4">
        <v>326.89999999999998</v>
      </c>
      <c r="G136" s="4">
        <v>260.83</v>
      </c>
      <c r="H136" s="4">
        <f t="shared" si="20"/>
        <v>66.069999999999993</v>
      </c>
      <c r="I136" s="4">
        <f t="shared" si="21"/>
        <v>247.64</v>
      </c>
      <c r="J136" s="7"/>
      <c r="K136" s="7"/>
      <c r="L136">
        <f t="shared" si="22"/>
        <v>0</v>
      </c>
      <c r="M136" s="4">
        <f t="shared" si="23"/>
        <v>247.64</v>
      </c>
      <c r="P136">
        <f t="shared" si="24"/>
        <v>0</v>
      </c>
      <c r="Q136" s="4">
        <f t="shared" si="25"/>
        <v>318.55749507400503</v>
      </c>
      <c r="R136" s="4">
        <f t="shared" si="26"/>
        <v>318.55749507400503</v>
      </c>
      <c r="S136" s="6">
        <f t="shared" si="27"/>
        <v>0.26679857858181227</v>
      </c>
      <c r="T136" s="6">
        <f t="shared" si="28"/>
        <v>0.20740369013967502</v>
      </c>
      <c r="U136" s="6">
        <f t="shared" si="29"/>
        <v>0.77737929205674472</v>
      </c>
    </row>
    <row r="137" spans="1:21" x14ac:dyDescent="0.25">
      <c r="A137" s="2">
        <v>45090</v>
      </c>
      <c r="B137" t="s">
        <v>27</v>
      </c>
      <c r="C137" t="s">
        <v>15</v>
      </c>
      <c r="D137" t="s">
        <v>12</v>
      </c>
      <c r="E137" s="4">
        <v>13.5</v>
      </c>
      <c r="F137" s="4">
        <v>466.68</v>
      </c>
      <c r="G137" s="4">
        <v>377.59</v>
      </c>
      <c r="H137" s="4">
        <f t="shared" si="20"/>
        <v>89.090000000000032</v>
      </c>
      <c r="I137" s="4">
        <f t="shared" si="21"/>
        <v>364.09</v>
      </c>
      <c r="J137" s="7"/>
      <c r="K137" s="7"/>
      <c r="L137">
        <f t="shared" si="22"/>
        <v>0</v>
      </c>
      <c r="M137" s="4">
        <f t="shared" si="23"/>
        <v>364.09</v>
      </c>
      <c r="P137">
        <f t="shared" si="24"/>
        <v>0</v>
      </c>
      <c r="Q137" s="4">
        <f t="shared" si="25"/>
        <v>318.55749507400503</v>
      </c>
      <c r="R137" s="4">
        <f t="shared" si="26"/>
        <v>318.55749507400503</v>
      </c>
      <c r="S137" s="6">
        <f t="shared" si="27"/>
        <v>0.24469224642258794</v>
      </c>
      <c r="T137" s="6">
        <f t="shared" si="28"/>
        <v>0.27966694043504853</v>
      </c>
      <c r="U137" s="6">
        <f t="shared" si="29"/>
        <v>1.142933397047893</v>
      </c>
    </row>
    <row r="138" spans="1:21" x14ac:dyDescent="0.25">
      <c r="A138" s="2">
        <v>45090</v>
      </c>
      <c r="B138" t="s">
        <v>27</v>
      </c>
      <c r="C138" t="s">
        <v>11</v>
      </c>
      <c r="D138" t="s">
        <v>13</v>
      </c>
      <c r="E138" s="4">
        <v>13.32</v>
      </c>
      <c r="F138" s="4">
        <v>347.09</v>
      </c>
      <c r="G138" s="4">
        <v>266.64</v>
      </c>
      <c r="H138" s="4">
        <f t="shared" si="20"/>
        <v>80.449999999999989</v>
      </c>
      <c r="I138" s="4">
        <f t="shared" si="21"/>
        <v>253.32</v>
      </c>
      <c r="J138" s="7">
        <v>2.2162000000000002</v>
      </c>
      <c r="K138" s="7">
        <v>2.2410000000000001</v>
      </c>
      <c r="L138">
        <f t="shared" si="22"/>
        <v>2.4799999999999933E-2</v>
      </c>
      <c r="M138" s="4">
        <f t="shared" si="23"/>
        <v>253.29519999999999</v>
      </c>
      <c r="N138">
        <v>80</v>
      </c>
      <c r="O138">
        <v>80.5</v>
      </c>
      <c r="P138">
        <f t="shared" si="24"/>
        <v>0.5</v>
      </c>
      <c r="Q138" s="4">
        <f t="shared" si="25"/>
        <v>318.55749507400503</v>
      </c>
      <c r="R138" s="4">
        <f t="shared" si="26"/>
        <v>318.05749507400503</v>
      </c>
      <c r="S138" s="6">
        <f t="shared" si="27"/>
        <v>0.31761359867853789</v>
      </c>
      <c r="T138" s="6">
        <f t="shared" si="28"/>
        <v>0.25294168899016523</v>
      </c>
      <c r="U138" s="6">
        <f t="shared" si="29"/>
        <v>0.79638179864638536</v>
      </c>
    </row>
    <row r="139" spans="1:21" x14ac:dyDescent="0.25">
      <c r="A139" s="2">
        <v>45090</v>
      </c>
      <c r="B139" t="s">
        <v>27</v>
      </c>
      <c r="C139" t="s">
        <v>11</v>
      </c>
      <c r="D139" t="s">
        <v>12</v>
      </c>
      <c r="E139" s="4">
        <v>13.4</v>
      </c>
      <c r="F139" s="4">
        <v>408.2</v>
      </c>
      <c r="G139" s="4">
        <v>325.04000000000002</v>
      </c>
      <c r="H139" s="4">
        <f t="shared" si="20"/>
        <v>83.159999999999968</v>
      </c>
      <c r="I139" s="4">
        <f t="shared" si="21"/>
        <v>311.64000000000004</v>
      </c>
      <c r="J139" s="7"/>
      <c r="K139" s="7"/>
      <c r="L139">
        <f t="shared" si="22"/>
        <v>0</v>
      </c>
      <c r="M139" s="4">
        <f t="shared" si="23"/>
        <v>311.64000000000004</v>
      </c>
      <c r="P139">
        <f t="shared" si="24"/>
        <v>0</v>
      </c>
      <c r="Q139" s="4">
        <f t="shared" si="25"/>
        <v>318.55749507400503</v>
      </c>
      <c r="R139" s="4">
        <f t="shared" si="26"/>
        <v>318.55749507400503</v>
      </c>
      <c r="S139" s="6">
        <f t="shared" si="27"/>
        <v>0.2668463611859837</v>
      </c>
      <c r="T139" s="6">
        <f t="shared" si="28"/>
        <v>0.26105177647972411</v>
      </c>
      <c r="U139" s="6">
        <f t="shared" si="29"/>
        <v>0.97828494014118872</v>
      </c>
    </row>
    <row r="140" spans="1:21" x14ac:dyDescent="0.25">
      <c r="A140" s="2">
        <v>45090</v>
      </c>
      <c r="B140" t="s">
        <v>27</v>
      </c>
      <c r="C140" t="s">
        <v>19</v>
      </c>
      <c r="D140" t="s">
        <v>13</v>
      </c>
      <c r="E140" s="4">
        <v>13</v>
      </c>
      <c r="F140" s="4">
        <v>383.74</v>
      </c>
      <c r="G140" s="4">
        <v>304.54000000000002</v>
      </c>
      <c r="H140" s="4">
        <f t="shared" si="20"/>
        <v>79.199999999999989</v>
      </c>
      <c r="I140" s="4">
        <f t="shared" si="21"/>
        <v>291.54000000000002</v>
      </c>
      <c r="J140" s="7"/>
      <c r="K140" s="7"/>
      <c r="L140">
        <f t="shared" si="22"/>
        <v>0</v>
      </c>
      <c r="M140" s="4">
        <f t="shared" si="23"/>
        <v>291.54000000000002</v>
      </c>
      <c r="P140">
        <f t="shared" si="24"/>
        <v>0</v>
      </c>
      <c r="Q140" s="4">
        <f t="shared" si="25"/>
        <v>318.55749507400503</v>
      </c>
      <c r="R140" s="4">
        <f t="shared" si="26"/>
        <v>318.55749507400503</v>
      </c>
      <c r="S140" s="6">
        <f t="shared" si="27"/>
        <v>0.27166083556287296</v>
      </c>
      <c r="T140" s="6">
        <f t="shared" si="28"/>
        <v>0.2486207395044992</v>
      </c>
      <c r="U140" s="6">
        <f t="shared" si="29"/>
        <v>0.91518801003966799</v>
      </c>
    </row>
    <row r="141" spans="1:21" x14ac:dyDescent="0.25">
      <c r="A141" s="2">
        <v>45090</v>
      </c>
      <c r="B141" t="s">
        <v>27</v>
      </c>
      <c r="C141" t="s">
        <v>19</v>
      </c>
      <c r="D141" t="s">
        <v>12</v>
      </c>
      <c r="E141" s="4">
        <v>13.43</v>
      </c>
      <c r="F141" s="4">
        <v>369.36</v>
      </c>
      <c r="G141" s="4">
        <v>291.24</v>
      </c>
      <c r="H141" s="4">
        <f t="shared" si="20"/>
        <v>78.12</v>
      </c>
      <c r="I141" s="4">
        <f t="shared" si="21"/>
        <v>277.81</v>
      </c>
      <c r="J141" s="7">
        <v>2.2162000000000002</v>
      </c>
      <c r="K141" s="7">
        <v>2.2553999999999998</v>
      </c>
      <c r="L141">
        <f t="shared" si="22"/>
        <v>3.919999999999968E-2</v>
      </c>
      <c r="M141" s="4">
        <f t="shared" si="23"/>
        <v>277.77080000000001</v>
      </c>
      <c r="N141">
        <v>80</v>
      </c>
      <c r="O141">
        <v>80.5</v>
      </c>
      <c r="P141">
        <f t="shared" si="24"/>
        <v>0.5</v>
      </c>
      <c r="Q141" s="4">
        <f t="shared" si="25"/>
        <v>318.55749507400503</v>
      </c>
      <c r="R141" s="4">
        <f t="shared" si="26"/>
        <v>318.05749507400503</v>
      </c>
      <c r="S141" s="6">
        <f t="shared" si="27"/>
        <v>0.28123906472530591</v>
      </c>
      <c r="T141" s="6">
        <f t="shared" si="28"/>
        <v>0.24561596947062414</v>
      </c>
      <c r="U141" s="6">
        <f t="shared" si="29"/>
        <v>0.87333518090925288</v>
      </c>
    </row>
    <row r="142" spans="1:21" x14ac:dyDescent="0.25">
      <c r="A142" s="2">
        <v>45090</v>
      </c>
      <c r="B142" t="s">
        <v>28</v>
      </c>
      <c r="C142" t="s">
        <v>16</v>
      </c>
      <c r="D142" t="s">
        <v>13</v>
      </c>
      <c r="E142" s="4">
        <v>13.19</v>
      </c>
      <c r="F142" s="4">
        <v>345.7</v>
      </c>
      <c r="G142" s="4">
        <v>281.63</v>
      </c>
      <c r="H142" s="4">
        <f t="shared" si="20"/>
        <v>64.069999999999993</v>
      </c>
      <c r="I142" s="4">
        <f t="shared" si="21"/>
        <v>268.44</v>
      </c>
      <c r="J142" s="7">
        <v>2.2162000000000002</v>
      </c>
      <c r="K142" s="7">
        <v>2.569</v>
      </c>
      <c r="L142">
        <f t="shared" si="22"/>
        <v>0.35279999999999978</v>
      </c>
      <c r="M142" s="4">
        <f t="shared" si="23"/>
        <v>268.0872</v>
      </c>
      <c r="N142">
        <v>80</v>
      </c>
      <c r="O142">
        <v>81</v>
      </c>
      <c r="P142">
        <f t="shared" si="24"/>
        <v>1</v>
      </c>
      <c r="Q142" s="4">
        <f t="shared" si="25"/>
        <v>318.55749507400503</v>
      </c>
      <c r="R142" s="4">
        <f t="shared" si="26"/>
        <v>317.55749507400503</v>
      </c>
      <c r="S142" s="6">
        <f t="shared" si="27"/>
        <v>0.23898940344783337</v>
      </c>
      <c r="T142" s="6">
        <f t="shared" si="28"/>
        <v>0.20175873973646513</v>
      </c>
      <c r="U142" s="6">
        <f t="shared" si="29"/>
        <v>0.84421625739780992</v>
      </c>
    </row>
    <row r="143" spans="1:21" x14ac:dyDescent="0.25">
      <c r="A143" s="2">
        <v>45090</v>
      </c>
      <c r="B143" t="s">
        <v>28</v>
      </c>
      <c r="C143" t="s">
        <v>16</v>
      </c>
      <c r="D143" t="s">
        <v>12</v>
      </c>
      <c r="E143" s="4">
        <v>13.22</v>
      </c>
      <c r="F143" s="4">
        <v>368.01</v>
      </c>
      <c r="G143" s="4">
        <v>293.64</v>
      </c>
      <c r="H143" s="4">
        <f t="shared" si="20"/>
        <v>74.37</v>
      </c>
      <c r="I143" s="4">
        <f t="shared" si="21"/>
        <v>280.41999999999996</v>
      </c>
      <c r="J143" s="7">
        <v>2.2162000000000002</v>
      </c>
      <c r="K143" s="7">
        <v>2.5842999999999998</v>
      </c>
      <c r="L143">
        <f t="shared" si="22"/>
        <v>0.36809999999999965</v>
      </c>
      <c r="M143" s="4">
        <f t="shared" si="23"/>
        <v>280.05189999999993</v>
      </c>
      <c r="N143">
        <v>80</v>
      </c>
      <c r="O143">
        <v>82</v>
      </c>
      <c r="P143">
        <f t="shared" si="24"/>
        <v>2</v>
      </c>
      <c r="Q143" s="4">
        <f t="shared" si="25"/>
        <v>318.55749507400503</v>
      </c>
      <c r="R143" s="4">
        <f t="shared" si="26"/>
        <v>316.55749507400503</v>
      </c>
      <c r="S143" s="6">
        <f t="shared" si="27"/>
        <v>0.26555791979986576</v>
      </c>
      <c r="T143" s="6">
        <f t="shared" si="28"/>
        <v>0.23493362550968422</v>
      </c>
      <c r="U143" s="6">
        <f t="shared" si="29"/>
        <v>0.88467941640279024</v>
      </c>
    </row>
    <row r="144" spans="1:21" x14ac:dyDescent="0.25">
      <c r="A144" s="2">
        <v>45090</v>
      </c>
      <c r="B144" t="s">
        <v>28</v>
      </c>
      <c r="C144" t="s">
        <v>8</v>
      </c>
      <c r="D144" t="s">
        <v>13</v>
      </c>
      <c r="E144" s="4">
        <v>13.32</v>
      </c>
      <c r="F144" s="4">
        <v>395.03</v>
      </c>
      <c r="G144" s="4">
        <v>313.23</v>
      </c>
      <c r="H144" s="4">
        <f t="shared" si="20"/>
        <v>81.799999999999955</v>
      </c>
      <c r="I144" s="4">
        <f t="shared" si="21"/>
        <v>299.91000000000003</v>
      </c>
      <c r="J144" s="7"/>
      <c r="K144" s="7"/>
      <c r="L144">
        <f t="shared" si="22"/>
        <v>0</v>
      </c>
      <c r="M144" s="4">
        <f t="shared" si="23"/>
        <v>299.91000000000003</v>
      </c>
      <c r="P144">
        <f t="shared" si="24"/>
        <v>0</v>
      </c>
      <c r="Q144" s="4">
        <f t="shared" si="25"/>
        <v>318.55749507400503</v>
      </c>
      <c r="R144" s="4">
        <f t="shared" si="26"/>
        <v>318.55749507400503</v>
      </c>
      <c r="S144" s="6">
        <f t="shared" si="27"/>
        <v>0.27274849121403072</v>
      </c>
      <c r="T144" s="6">
        <f t="shared" si="28"/>
        <v>0.25678253145792962</v>
      </c>
      <c r="U144" s="6">
        <f t="shared" si="29"/>
        <v>0.94146270182821168</v>
      </c>
    </row>
    <row r="145" spans="1:22" x14ac:dyDescent="0.25">
      <c r="A145" s="2">
        <v>45090</v>
      </c>
      <c r="B145" t="s">
        <v>28</v>
      </c>
      <c r="C145" t="s">
        <v>8</v>
      </c>
      <c r="D145" t="s">
        <v>12</v>
      </c>
      <c r="E145" s="4">
        <v>13.43</v>
      </c>
      <c r="F145" s="4">
        <v>367.84</v>
      </c>
      <c r="G145" s="4">
        <v>288.45</v>
      </c>
      <c r="H145" s="4">
        <f t="shared" si="20"/>
        <v>79.389999999999986</v>
      </c>
      <c r="I145" s="4">
        <f t="shared" si="21"/>
        <v>275.02</v>
      </c>
      <c r="J145" s="7"/>
      <c r="K145" s="7"/>
      <c r="L145">
        <f t="shared" si="22"/>
        <v>0</v>
      </c>
      <c r="M145" s="4">
        <f t="shared" si="23"/>
        <v>275.02</v>
      </c>
      <c r="P145">
        <f t="shared" si="24"/>
        <v>0</v>
      </c>
      <c r="Q145" s="4">
        <f t="shared" si="25"/>
        <v>318.55749507400503</v>
      </c>
      <c r="R145" s="4">
        <f t="shared" si="26"/>
        <v>318.55749507400503</v>
      </c>
      <c r="S145" s="6">
        <f t="shared" si="27"/>
        <v>0.28866991491527888</v>
      </c>
      <c r="T145" s="6">
        <f t="shared" si="28"/>
        <v>0.24921717814724986</v>
      </c>
      <c r="U145" s="6">
        <f t="shared" si="29"/>
        <v>0.86332923962787089</v>
      </c>
    </row>
    <row r="146" spans="1:22" x14ac:dyDescent="0.25">
      <c r="A146" s="2">
        <v>45090</v>
      </c>
      <c r="B146" t="s">
        <v>28</v>
      </c>
      <c r="C146" t="s">
        <v>15</v>
      </c>
      <c r="D146" t="s">
        <v>13</v>
      </c>
      <c r="E146" s="4">
        <v>13.35</v>
      </c>
      <c r="F146" s="4">
        <v>336.71</v>
      </c>
      <c r="G146" s="4">
        <v>273.05</v>
      </c>
      <c r="H146" s="4">
        <f t="shared" si="20"/>
        <v>63.659999999999968</v>
      </c>
      <c r="I146" s="4">
        <f t="shared" si="21"/>
        <v>259.7</v>
      </c>
      <c r="J146" s="7">
        <v>2.2162000000000002</v>
      </c>
      <c r="K146" s="7">
        <v>2.4634</v>
      </c>
      <c r="L146">
        <f t="shared" si="22"/>
        <v>0.24719999999999986</v>
      </c>
      <c r="M146" s="4">
        <f t="shared" si="23"/>
        <v>259.45279999999997</v>
      </c>
      <c r="N146">
        <v>80</v>
      </c>
      <c r="O146">
        <v>81.5</v>
      </c>
      <c r="P146">
        <f t="shared" si="24"/>
        <v>1.5</v>
      </c>
      <c r="Q146" s="4">
        <f t="shared" si="25"/>
        <v>318.55749507400503</v>
      </c>
      <c r="R146" s="4">
        <f t="shared" si="26"/>
        <v>317.05749507400503</v>
      </c>
      <c r="S146" s="6">
        <f t="shared" si="27"/>
        <v>0.24536254763872264</v>
      </c>
      <c r="T146" s="6">
        <f t="shared" si="28"/>
        <v>0.20078377262502803</v>
      </c>
      <c r="U146" s="6">
        <f t="shared" si="29"/>
        <v>0.81831467172678118</v>
      </c>
    </row>
    <row r="147" spans="1:22" x14ac:dyDescent="0.25">
      <c r="A147" s="2">
        <v>45090</v>
      </c>
      <c r="B147" t="s">
        <v>28</v>
      </c>
      <c r="C147" t="s">
        <v>15</v>
      </c>
      <c r="D147" t="s">
        <v>12</v>
      </c>
      <c r="E147" s="4">
        <v>13.44</v>
      </c>
      <c r="F147" s="4">
        <v>434.48</v>
      </c>
      <c r="G147" s="4">
        <v>342.53</v>
      </c>
      <c r="H147" s="4">
        <f t="shared" si="20"/>
        <v>91.950000000000045</v>
      </c>
      <c r="I147" s="4">
        <f t="shared" si="21"/>
        <v>329.09</v>
      </c>
      <c r="J147" s="7">
        <v>2.2162000000000002</v>
      </c>
      <c r="K147" s="7">
        <v>2.5065</v>
      </c>
      <c r="L147">
        <f t="shared" si="22"/>
        <v>0.29029999999999978</v>
      </c>
      <c r="M147" s="4">
        <f t="shared" si="23"/>
        <v>328.79969999999997</v>
      </c>
      <c r="N147">
        <v>80</v>
      </c>
      <c r="O147">
        <v>80.5</v>
      </c>
      <c r="P147">
        <f t="shared" si="24"/>
        <v>0.5</v>
      </c>
      <c r="Q147" s="4">
        <f t="shared" si="25"/>
        <v>318.55749507400503</v>
      </c>
      <c r="R147" s="4">
        <f t="shared" si="26"/>
        <v>318.05749507400503</v>
      </c>
      <c r="S147" s="6">
        <f t="shared" si="27"/>
        <v>0.27965353982987229</v>
      </c>
      <c r="T147" s="6">
        <f t="shared" si="28"/>
        <v>0.28909867374326548</v>
      </c>
      <c r="U147" s="6">
        <f t="shared" si="29"/>
        <v>1.0337744121499022</v>
      </c>
    </row>
    <row r="148" spans="1:22" x14ac:dyDescent="0.25">
      <c r="A148" s="2">
        <v>45090</v>
      </c>
      <c r="B148" t="s">
        <v>28</v>
      </c>
      <c r="C148" t="s">
        <v>11</v>
      </c>
      <c r="D148" t="s">
        <v>13</v>
      </c>
      <c r="E148" s="4">
        <v>12.9</v>
      </c>
      <c r="F148" s="4">
        <v>342.38</v>
      </c>
      <c r="G148" s="4">
        <v>270.69</v>
      </c>
      <c r="H148" s="4">
        <f t="shared" si="20"/>
        <v>71.69</v>
      </c>
      <c r="I148" s="4">
        <f t="shared" si="21"/>
        <v>257.79000000000002</v>
      </c>
      <c r="J148" s="7">
        <v>2.2162000000000002</v>
      </c>
      <c r="K148" s="7">
        <v>2.4922</v>
      </c>
      <c r="L148">
        <f t="shared" si="22"/>
        <v>0.2759999999999998</v>
      </c>
      <c r="M148" s="4">
        <f t="shared" si="23"/>
        <v>257.51400000000001</v>
      </c>
      <c r="N148">
        <v>80</v>
      </c>
      <c r="O148">
        <v>81</v>
      </c>
      <c r="P148">
        <f t="shared" si="24"/>
        <v>1</v>
      </c>
      <c r="Q148" s="4">
        <f t="shared" si="25"/>
        <v>318.55749507400503</v>
      </c>
      <c r="R148" s="4">
        <f t="shared" si="26"/>
        <v>317.55749507400503</v>
      </c>
      <c r="S148" s="6">
        <f t="shared" si="27"/>
        <v>0.27839263108025192</v>
      </c>
      <c r="T148" s="6">
        <f t="shared" si="28"/>
        <v>0.22575439443900713</v>
      </c>
      <c r="U148" s="6">
        <f t="shared" si="29"/>
        <v>0.81092086943181041</v>
      </c>
    </row>
    <row r="149" spans="1:22" x14ac:dyDescent="0.25">
      <c r="A149" s="2">
        <v>45090</v>
      </c>
      <c r="B149" t="s">
        <v>28</v>
      </c>
      <c r="C149" t="s">
        <v>11</v>
      </c>
      <c r="D149" t="s">
        <v>12</v>
      </c>
      <c r="E149" s="4">
        <v>13.32</v>
      </c>
      <c r="F149" s="4">
        <v>484.47</v>
      </c>
      <c r="G149" s="4">
        <v>375.06</v>
      </c>
      <c r="H149" s="4">
        <f t="shared" si="20"/>
        <v>109.41000000000003</v>
      </c>
      <c r="I149" s="4">
        <f t="shared" si="21"/>
        <v>361.74</v>
      </c>
      <c r="J149" s="7">
        <v>2.2162000000000002</v>
      </c>
      <c r="K149" s="7">
        <v>2.2233000000000001</v>
      </c>
      <c r="L149">
        <f t="shared" si="22"/>
        <v>7.0999999999998842E-3</v>
      </c>
      <c r="M149" s="4">
        <f t="shared" si="23"/>
        <v>361.73290000000003</v>
      </c>
      <c r="N149">
        <v>80</v>
      </c>
      <c r="O149">
        <v>80.099999999999994</v>
      </c>
      <c r="P149">
        <f t="shared" si="24"/>
        <v>9.9999999999994316E-2</v>
      </c>
      <c r="Q149" s="4">
        <f t="shared" si="25"/>
        <v>318.55749507400503</v>
      </c>
      <c r="R149" s="4">
        <f t="shared" si="26"/>
        <v>318.45749507400501</v>
      </c>
      <c r="S149" s="6">
        <f t="shared" si="27"/>
        <v>0.30246073829612957</v>
      </c>
      <c r="T149" s="6">
        <f t="shared" si="28"/>
        <v>0.34356233309746625</v>
      </c>
      <c r="U149" s="6">
        <f t="shared" si="29"/>
        <v>1.1358906780194902</v>
      </c>
    </row>
    <row r="150" spans="1:22" x14ac:dyDescent="0.25">
      <c r="A150" s="2">
        <v>45090</v>
      </c>
      <c r="B150" t="s">
        <v>28</v>
      </c>
      <c r="C150" t="s">
        <v>19</v>
      </c>
      <c r="D150" t="s">
        <v>13</v>
      </c>
      <c r="E150" s="4">
        <v>13.14</v>
      </c>
      <c r="F150" s="4">
        <v>381.73</v>
      </c>
      <c r="G150" s="4">
        <v>291.88</v>
      </c>
      <c r="H150" s="4">
        <f t="shared" si="20"/>
        <v>89.850000000000023</v>
      </c>
      <c r="I150" s="4">
        <f t="shared" si="21"/>
        <v>278.74</v>
      </c>
      <c r="J150" s="7">
        <v>2.2162000000000002</v>
      </c>
      <c r="K150" s="7">
        <v>2.3056000000000001</v>
      </c>
      <c r="L150">
        <f t="shared" si="22"/>
        <v>8.9399999999999924E-2</v>
      </c>
      <c r="M150" s="4">
        <f t="shared" si="23"/>
        <v>278.6506</v>
      </c>
      <c r="N150">
        <v>80</v>
      </c>
      <c r="O150">
        <v>81</v>
      </c>
      <c r="P150">
        <f t="shared" si="24"/>
        <v>1</v>
      </c>
      <c r="Q150" s="4">
        <f t="shared" si="25"/>
        <v>318.55749507400503</v>
      </c>
      <c r="R150" s="4">
        <f t="shared" si="26"/>
        <v>317.55749507400503</v>
      </c>
      <c r="S150" s="6">
        <f t="shared" si="27"/>
        <v>0.32244682049850248</v>
      </c>
      <c r="T150" s="6">
        <f t="shared" si="28"/>
        <v>0.28294088911068205</v>
      </c>
      <c r="U150" s="6">
        <f t="shared" si="29"/>
        <v>0.8774807848105175</v>
      </c>
    </row>
    <row r="151" spans="1:22" x14ac:dyDescent="0.25">
      <c r="A151" s="2">
        <v>45090</v>
      </c>
      <c r="B151" t="s">
        <v>28</v>
      </c>
      <c r="C151" t="s">
        <v>19</v>
      </c>
      <c r="D151" t="s">
        <v>12</v>
      </c>
      <c r="E151" s="4">
        <v>12.89</v>
      </c>
      <c r="F151" s="4">
        <v>395.26</v>
      </c>
      <c r="G151" s="4">
        <v>309.25</v>
      </c>
      <c r="H151" s="4">
        <f t="shared" si="20"/>
        <v>86.009999999999991</v>
      </c>
      <c r="I151" s="4">
        <f t="shared" si="21"/>
        <v>296.36</v>
      </c>
      <c r="J151" s="7">
        <v>2.2162000000000002</v>
      </c>
      <c r="K151" s="7">
        <v>2.2488999999999999</v>
      </c>
      <c r="L151">
        <f t="shared" si="22"/>
        <v>3.2699999999999729E-2</v>
      </c>
      <c r="M151" s="4">
        <f t="shared" si="23"/>
        <v>296.32730000000004</v>
      </c>
      <c r="N151">
        <v>80</v>
      </c>
      <c r="O151">
        <v>80.5</v>
      </c>
      <c r="P151">
        <f t="shared" si="24"/>
        <v>0.5</v>
      </c>
      <c r="Q151" s="4">
        <f t="shared" si="25"/>
        <v>318.55749507400503</v>
      </c>
      <c r="R151" s="4">
        <f t="shared" si="26"/>
        <v>318.05749507400503</v>
      </c>
      <c r="S151" s="6">
        <f t="shared" si="27"/>
        <v>0.29025337861209544</v>
      </c>
      <c r="T151" s="6">
        <f t="shared" si="28"/>
        <v>0.27042280509688144</v>
      </c>
      <c r="U151" s="6">
        <f t="shared" si="29"/>
        <v>0.9316784059154184</v>
      </c>
    </row>
    <row r="152" spans="1:22" x14ac:dyDescent="0.25">
      <c r="A152" s="2">
        <v>45089</v>
      </c>
      <c r="B152" t="s">
        <v>31</v>
      </c>
      <c r="C152" t="s">
        <v>16</v>
      </c>
      <c r="D152" t="s">
        <v>13</v>
      </c>
      <c r="E152" s="4">
        <v>12.82</v>
      </c>
      <c r="F152" s="4">
        <v>302.63</v>
      </c>
      <c r="G152" s="4">
        <v>239.58</v>
      </c>
      <c r="H152" s="4">
        <f t="shared" si="20"/>
        <v>63.049999999999983</v>
      </c>
      <c r="I152" s="4">
        <f t="shared" si="21"/>
        <v>226.76000000000002</v>
      </c>
      <c r="J152" s="7">
        <v>2.2162000000000002</v>
      </c>
      <c r="K152" s="7">
        <v>4.5186999999999999</v>
      </c>
      <c r="L152">
        <f t="shared" si="22"/>
        <v>2.3024999999999998</v>
      </c>
      <c r="M152" s="4">
        <f t="shared" si="23"/>
        <v>224.45750000000001</v>
      </c>
      <c r="N152">
        <v>70</v>
      </c>
      <c r="O152">
        <v>78.5</v>
      </c>
      <c r="P152">
        <f t="shared" si="24"/>
        <v>8.5</v>
      </c>
      <c r="Q152" s="4">
        <f t="shared" si="25"/>
        <v>318.55749507400503</v>
      </c>
      <c r="R152" s="4">
        <f t="shared" si="26"/>
        <v>310.05749507400503</v>
      </c>
      <c r="S152" s="6">
        <f t="shared" si="27"/>
        <v>0.28089950213292042</v>
      </c>
      <c r="T152" s="6">
        <f t="shared" si="28"/>
        <v>0.20334938197494987</v>
      </c>
      <c r="U152" s="6">
        <f t="shared" si="29"/>
        <v>0.72392218722668233</v>
      </c>
      <c r="V152" t="s">
        <v>60</v>
      </c>
    </row>
    <row r="153" spans="1:22" ht="15" customHeight="1" x14ac:dyDescent="0.25">
      <c r="A153" s="2">
        <v>45089</v>
      </c>
      <c r="B153" t="s">
        <v>31</v>
      </c>
      <c r="C153" t="s">
        <v>16</v>
      </c>
      <c r="D153" t="s">
        <v>13</v>
      </c>
      <c r="E153" s="4">
        <v>12.81</v>
      </c>
      <c r="F153" s="4">
        <v>302.54000000000002</v>
      </c>
      <c r="G153" s="4">
        <v>244.44</v>
      </c>
      <c r="H153" s="4">
        <f t="shared" si="20"/>
        <v>58.100000000000023</v>
      </c>
      <c r="I153" s="4">
        <f t="shared" si="21"/>
        <v>231.63</v>
      </c>
      <c r="J153" s="7">
        <v>2.2162000000000002</v>
      </c>
      <c r="K153" s="7">
        <v>2.8391000000000002</v>
      </c>
      <c r="L153">
        <f t="shared" si="22"/>
        <v>0.62290000000000001</v>
      </c>
      <c r="M153" s="4">
        <f t="shared" si="23"/>
        <v>231.00710000000001</v>
      </c>
      <c r="N153">
        <v>90</v>
      </c>
      <c r="O153">
        <v>91</v>
      </c>
      <c r="P153">
        <f t="shared" si="24"/>
        <v>1</v>
      </c>
      <c r="Q153" s="4">
        <f t="shared" si="25"/>
        <v>318.55749507400503</v>
      </c>
      <c r="R153" s="4">
        <f t="shared" si="26"/>
        <v>317.55749507400503</v>
      </c>
      <c r="S153" s="6">
        <f t="shared" si="27"/>
        <v>0.25150742120047404</v>
      </c>
      <c r="T153" s="6">
        <f t="shared" si="28"/>
        <v>0.18295899451675715</v>
      </c>
      <c r="U153" s="6">
        <f t="shared" si="29"/>
        <v>0.72744968575270152</v>
      </c>
      <c r="V153" t="s">
        <v>61</v>
      </c>
    </row>
    <row r="154" spans="1:22" x14ac:dyDescent="0.25">
      <c r="A154" s="2">
        <v>45089</v>
      </c>
      <c r="B154" t="s">
        <v>31</v>
      </c>
      <c r="C154" t="s">
        <v>16</v>
      </c>
      <c r="D154" t="s">
        <v>12</v>
      </c>
      <c r="E154" s="4">
        <v>12.74</v>
      </c>
      <c r="F154" s="4">
        <v>495.48</v>
      </c>
      <c r="G154" s="4">
        <v>377.88</v>
      </c>
      <c r="H154" s="4">
        <f t="shared" si="20"/>
        <v>117.60000000000002</v>
      </c>
      <c r="I154" s="4">
        <f t="shared" si="21"/>
        <v>365.14</v>
      </c>
      <c r="J154" s="7">
        <v>2.2162000000000002</v>
      </c>
      <c r="K154" s="7">
        <v>2.2885</v>
      </c>
      <c r="L154">
        <f t="shared" si="22"/>
        <v>7.2299999999999809E-2</v>
      </c>
      <c r="M154" s="4">
        <f t="shared" si="23"/>
        <v>365.0677</v>
      </c>
      <c r="N154">
        <v>80</v>
      </c>
      <c r="O154">
        <v>80.099999999999994</v>
      </c>
      <c r="P154">
        <f t="shared" si="24"/>
        <v>9.9999999999994316E-2</v>
      </c>
      <c r="Q154" s="4">
        <f t="shared" si="25"/>
        <v>318.55749507400503</v>
      </c>
      <c r="R154" s="4">
        <f t="shared" si="26"/>
        <v>318.45749507400501</v>
      </c>
      <c r="S154" s="6">
        <f t="shared" si="27"/>
        <v>0.32213203194914264</v>
      </c>
      <c r="T154" s="6">
        <f t="shared" si="28"/>
        <v>0.36928005093009808</v>
      </c>
      <c r="U154" s="6">
        <f t="shared" si="29"/>
        <v>1.1463624051780079</v>
      </c>
    </row>
    <row r="155" spans="1:22" x14ac:dyDescent="0.25">
      <c r="A155" s="2">
        <v>45089</v>
      </c>
      <c r="B155" t="s">
        <v>31</v>
      </c>
      <c r="C155" t="s">
        <v>8</v>
      </c>
      <c r="D155" t="s">
        <v>13</v>
      </c>
      <c r="E155" s="4">
        <v>13.33</v>
      </c>
      <c r="F155" s="4">
        <v>391.22</v>
      </c>
      <c r="G155" s="4">
        <v>316.26</v>
      </c>
      <c r="H155" s="4">
        <f t="shared" si="20"/>
        <v>74.960000000000036</v>
      </c>
      <c r="I155" s="4">
        <f t="shared" si="21"/>
        <v>302.93</v>
      </c>
      <c r="J155" s="7">
        <v>2.2162000000000002</v>
      </c>
      <c r="K155" s="7">
        <v>2.4439000000000002</v>
      </c>
      <c r="L155">
        <f t="shared" si="22"/>
        <v>0.22770000000000001</v>
      </c>
      <c r="M155" s="4">
        <f t="shared" si="23"/>
        <v>302.70229999999998</v>
      </c>
      <c r="N155">
        <v>80</v>
      </c>
      <c r="O155">
        <v>81</v>
      </c>
      <c r="P155">
        <f t="shared" si="24"/>
        <v>1</v>
      </c>
      <c r="Q155" s="4">
        <f t="shared" si="25"/>
        <v>318.55749507400503</v>
      </c>
      <c r="R155" s="4">
        <f t="shared" si="26"/>
        <v>317.55749507400503</v>
      </c>
      <c r="S155" s="6">
        <f t="shared" si="27"/>
        <v>0.24763604373009404</v>
      </c>
      <c r="T155" s="6">
        <f t="shared" si="28"/>
        <v>0.23605174232316897</v>
      </c>
      <c r="U155" s="6">
        <f t="shared" si="29"/>
        <v>0.95322045517916953</v>
      </c>
    </row>
    <row r="156" spans="1:22" x14ac:dyDescent="0.25">
      <c r="A156" s="2">
        <v>45089</v>
      </c>
      <c r="B156" t="s">
        <v>31</v>
      </c>
      <c r="C156" t="s">
        <v>8</v>
      </c>
      <c r="D156" t="s">
        <v>12</v>
      </c>
      <c r="E156" s="4">
        <v>12.78</v>
      </c>
      <c r="F156" s="4">
        <v>427.51</v>
      </c>
      <c r="G156" s="4">
        <v>331.96</v>
      </c>
      <c r="H156" s="4">
        <f t="shared" si="20"/>
        <v>95.550000000000011</v>
      </c>
      <c r="I156" s="4">
        <f t="shared" si="21"/>
        <v>319.18</v>
      </c>
      <c r="J156" s="7">
        <v>2.2162000000000002</v>
      </c>
      <c r="K156" s="7">
        <v>2.4935999999999998</v>
      </c>
      <c r="L156">
        <f t="shared" si="22"/>
        <v>0.27739999999999965</v>
      </c>
      <c r="M156" s="4">
        <f t="shared" si="23"/>
        <v>318.90260000000001</v>
      </c>
      <c r="N156">
        <v>80</v>
      </c>
      <c r="O156">
        <v>80.2</v>
      </c>
      <c r="P156">
        <f t="shared" si="24"/>
        <v>0.20000000000000284</v>
      </c>
      <c r="Q156" s="4">
        <f t="shared" si="25"/>
        <v>318.55749507400503</v>
      </c>
      <c r="R156" s="4">
        <f t="shared" si="26"/>
        <v>318.35749507400504</v>
      </c>
      <c r="S156" s="6">
        <f t="shared" si="27"/>
        <v>0.29962126367110209</v>
      </c>
      <c r="T156" s="6">
        <f t="shared" si="28"/>
        <v>0.30013428764348254</v>
      </c>
      <c r="U156" s="6">
        <f t="shared" si="29"/>
        <v>1.0017122415348452</v>
      </c>
    </row>
    <row r="157" spans="1:22" x14ac:dyDescent="0.25">
      <c r="A157" s="2">
        <v>45089</v>
      </c>
      <c r="B157" t="s">
        <v>31</v>
      </c>
      <c r="C157" t="s">
        <v>15</v>
      </c>
      <c r="D157" t="s">
        <v>13</v>
      </c>
      <c r="J157" s="1"/>
      <c r="K157" s="1"/>
      <c r="M157" s="4"/>
      <c r="Q157" s="4"/>
      <c r="R157" s="4"/>
      <c r="S157" s="6"/>
      <c r="T157" s="6"/>
      <c r="U157" s="6"/>
    </row>
    <row r="158" spans="1:22" x14ac:dyDescent="0.25">
      <c r="A158" s="2">
        <v>45089</v>
      </c>
      <c r="B158" t="s">
        <v>31</v>
      </c>
      <c r="C158" t="s">
        <v>15</v>
      </c>
      <c r="D158" t="s">
        <v>12</v>
      </c>
      <c r="E158">
        <v>13.34</v>
      </c>
      <c r="F158">
        <v>421.96</v>
      </c>
      <c r="G158">
        <v>327.73</v>
      </c>
      <c r="H158">
        <f t="shared" ref="H158:H182" si="30">F158-G158</f>
        <v>94.229999999999961</v>
      </c>
      <c r="I158" s="4">
        <f t="shared" ref="I158:I182" si="31">G158-E158</f>
        <v>314.39000000000004</v>
      </c>
      <c r="J158" s="7">
        <v>2.2162000000000002</v>
      </c>
      <c r="K158" s="7">
        <v>4.2533000000000003</v>
      </c>
      <c r="L158">
        <f t="shared" ref="L158:L182" si="32">K158-J158</f>
        <v>2.0371000000000001</v>
      </c>
      <c r="M158" s="4">
        <f t="shared" ref="M158:M182" si="33">I158-L158</f>
        <v>312.35290000000003</v>
      </c>
      <c r="N158">
        <v>90</v>
      </c>
      <c r="O158">
        <v>93</v>
      </c>
      <c r="P158">
        <v>3</v>
      </c>
      <c r="Q158" s="4">
        <f t="shared" ref="Q158:Q182" si="34">15*PI()*(5/2)^2</f>
        <v>294.5243112740431</v>
      </c>
      <c r="R158" s="4">
        <f>Q158-P158</f>
        <v>291.5243112740431</v>
      </c>
      <c r="S158" s="6">
        <f t="shared" ref="S158:S182" si="35">H158/M158</f>
        <v>0.30167800587092342</v>
      </c>
      <c r="T158" s="6">
        <f t="shared" si="28"/>
        <v>0.32323204740005523</v>
      </c>
      <c r="U158" s="6">
        <f t="shared" ref="U158:U182" si="36">M158/R158</f>
        <v>1.0714471758287676</v>
      </c>
    </row>
    <row r="159" spans="1:22" x14ac:dyDescent="0.25">
      <c r="A159" s="2">
        <v>45089</v>
      </c>
      <c r="B159" t="s">
        <v>31</v>
      </c>
      <c r="C159" t="s">
        <v>11</v>
      </c>
      <c r="D159" t="s">
        <v>13</v>
      </c>
      <c r="E159">
        <v>13.32</v>
      </c>
      <c r="F159">
        <v>355.34</v>
      </c>
      <c r="G159">
        <v>288.43</v>
      </c>
      <c r="H159">
        <f t="shared" si="30"/>
        <v>66.909999999999968</v>
      </c>
      <c r="I159" s="4">
        <f t="shared" si="31"/>
        <v>275.11</v>
      </c>
      <c r="J159" s="7">
        <v>2.2162000000000002</v>
      </c>
      <c r="K159" s="7">
        <v>3.2292999999999998</v>
      </c>
      <c r="L159">
        <f t="shared" si="32"/>
        <v>1.0130999999999997</v>
      </c>
      <c r="M159" s="4">
        <f t="shared" si="33"/>
        <v>274.09690000000001</v>
      </c>
      <c r="N159">
        <v>80</v>
      </c>
      <c r="O159">
        <v>80.900000000000006</v>
      </c>
      <c r="P159">
        <v>0.9</v>
      </c>
      <c r="Q159" s="4">
        <f t="shared" si="34"/>
        <v>294.5243112740431</v>
      </c>
      <c r="R159" s="4">
        <f t="shared" ref="R159:R182" si="37">Q159-P159</f>
        <v>293.62431127404312</v>
      </c>
      <c r="S159" s="6">
        <f t="shared" si="35"/>
        <v>0.24411075061410753</v>
      </c>
      <c r="T159" s="6">
        <f t="shared" si="28"/>
        <v>0.2278762262895597</v>
      </c>
      <c r="U159" s="6">
        <f t="shared" si="36"/>
        <v>0.933495250480748</v>
      </c>
    </row>
    <row r="160" spans="1:22" x14ac:dyDescent="0.25">
      <c r="A160" s="2">
        <v>45089</v>
      </c>
      <c r="B160" t="s">
        <v>31</v>
      </c>
      <c r="C160" t="s">
        <v>11</v>
      </c>
      <c r="D160" t="s">
        <v>12</v>
      </c>
      <c r="E160">
        <v>13.31</v>
      </c>
      <c r="F160">
        <v>462.3</v>
      </c>
      <c r="G160">
        <v>365.94</v>
      </c>
      <c r="H160">
        <f t="shared" si="30"/>
        <v>96.360000000000014</v>
      </c>
      <c r="I160" s="4">
        <f t="shared" si="31"/>
        <v>352.63</v>
      </c>
      <c r="J160" s="7">
        <v>2.2162000000000002</v>
      </c>
      <c r="K160" s="7">
        <v>2.3637999999999999</v>
      </c>
      <c r="L160">
        <f t="shared" si="32"/>
        <v>0.14759999999999973</v>
      </c>
      <c r="M160" s="4">
        <f t="shared" si="33"/>
        <v>352.48239999999998</v>
      </c>
      <c r="N160">
        <v>80</v>
      </c>
      <c r="O160">
        <v>80.900000000000006</v>
      </c>
      <c r="P160">
        <v>0.9</v>
      </c>
      <c r="Q160" s="4">
        <f t="shared" si="34"/>
        <v>294.5243112740431</v>
      </c>
      <c r="R160" s="4">
        <f t="shared" si="37"/>
        <v>293.62431127404312</v>
      </c>
      <c r="S160" s="6">
        <f t="shared" si="35"/>
        <v>0.27337535150691217</v>
      </c>
      <c r="T160" s="6">
        <f t="shared" si="28"/>
        <v>0.32817446069738437</v>
      </c>
      <c r="U160" s="6">
        <f t="shared" si="36"/>
        <v>1.2004537310639236</v>
      </c>
    </row>
    <row r="161" spans="1:21" x14ac:dyDescent="0.25">
      <c r="A161" s="2">
        <v>45089</v>
      </c>
      <c r="B161" t="s">
        <v>31</v>
      </c>
      <c r="C161" t="s">
        <v>19</v>
      </c>
      <c r="D161" t="s">
        <v>13</v>
      </c>
      <c r="E161">
        <v>12.81</v>
      </c>
      <c r="F161">
        <v>354.99</v>
      </c>
      <c r="G161">
        <v>287.74</v>
      </c>
      <c r="H161">
        <f t="shared" si="30"/>
        <v>67.25</v>
      </c>
      <c r="I161" s="4">
        <f t="shared" si="31"/>
        <v>274.93</v>
      </c>
      <c r="J161" s="7">
        <v>2.2162000000000002</v>
      </c>
      <c r="K161" s="7">
        <v>4.5796999999999999</v>
      </c>
      <c r="L161">
        <f t="shared" si="32"/>
        <v>2.3634999999999997</v>
      </c>
      <c r="M161" s="4">
        <f t="shared" si="33"/>
        <v>272.56650000000002</v>
      </c>
      <c r="N161">
        <v>80</v>
      </c>
      <c r="O161">
        <v>82.5</v>
      </c>
      <c r="P161">
        <v>2.5</v>
      </c>
      <c r="Q161" s="4">
        <f t="shared" si="34"/>
        <v>294.5243112740431</v>
      </c>
      <c r="R161" s="4">
        <f t="shared" si="37"/>
        <v>292.0243112740431</v>
      </c>
      <c r="S161" s="6">
        <f t="shared" si="35"/>
        <v>0.24672877994911332</v>
      </c>
      <c r="T161" s="6">
        <f t="shared" si="28"/>
        <v>0.23028904582156817</v>
      </c>
      <c r="U161" s="6">
        <f t="shared" si="36"/>
        <v>0.93336920755278019</v>
      </c>
    </row>
    <row r="162" spans="1:21" x14ac:dyDescent="0.25">
      <c r="A162" s="2">
        <v>45089</v>
      </c>
      <c r="B162" t="s">
        <v>31</v>
      </c>
      <c r="C162" t="s">
        <v>19</v>
      </c>
      <c r="D162" t="s">
        <v>12</v>
      </c>
      <c r="E162">
        <v>12.8</v>
      </c>
      <c r="F162">
        <v>431.09</v>
      </c>
      <c r="G162">
        <v>340.63</v>
      </c>
      <c r="H162">
        <f t="shared" si="30"/>
        <v>90.45999999999998</v>
      </c>
      <c r="I162" s="4">
        <f t="shared" si="31"/>
        <v>327.83</v>
      </c>
      <c r="J162" s="7">
        <v>2.2162000000000002</v>
      </c>
      <c r="K162" s="7">
        <v>3.2805</v>
      </c>
      <c r="L162">
        <f t="shared" si="32"/>
        <v>1.0642999999999998</v>
      </c>
      <c r="M162" s="4">
        <f t="shared" si="33"/>
        <v>326.76569999999998</v>
      </c>
      <c r="N162">
        <v>80</v>
      </c>
      <c r="O162">
        <v>82</v>
      </c>
      <c r="P162">
        <v>2</v>
      </c>
      <c r="Q162" s="4">
        <f t="shared" si="34"/>
        <v>294.5243112740431</v>
      </c>
      <c r="R162" s="4">
        <f t="shared" si="37"/>
        <v>292.5243112740431</v>
      </c>
      <c r="S162" s="6">
        <f t="shared" si="35"/>
        <v>0.27683444131376084</v>
      </c>
      <c r="T162" s="6">
        <f t="shared" si="28"/>
        <v>0.30923925469994556</v>
      </c>
      <c r="U162" s="6">
        <f t="shared" si="36"/>
        <v>1.1170548477725628</v>
      </c>
    </row>
    <row r="163" spans="1:21" x14ac:dyDescent="0.25">
      <c r="A163" s="2">
        <v>45089</v>
      </c>
      <c r="B163" t="s">
        <v>30</v>
      </c>
      <c r="C163" t="s">
        <v>16</v>
      </c>
      <c r="D163" t="s">
        <v>13</v>
      </c>
      <c r="E163">
        <v>12.79</v>
      </c>
      <c r="F163">
        <v>313.55</v>
      </c>
      <c r="G163">
        <v>256.88</v>
      </c>
      <c r="H163">
        <f t="shared" si="30"/>
        <v>56.670000000000016</v>
      </c>
      <c r="I163" s="4">
        <f t="shared" si="31"/>
        <v>244.09</v>
      </c>
      <c r="J163" s="7">
        <v>2.2162000000000002</v>
      </c>
      <c r="K163" s="7">
        <v>3.8540000000000001</v>
      </c>
      <c r="L163">
        <f t="shared" si="32"/>
        <v>1.6377999999999999</v>
      </c>
      <c r="M163" s="4">
        <f t="shared" si="33"/>
        <v>242.4522</v>
      </c>
      <c r="N163">
        <v>80</v>
      </c>
      <c r="O163">
        <v>85</v>
      </c>
      <c r="P163">
        <v>5</v>
      </c>
      <c r="Q163" s="4">
        <f t="shared" si="34"/>
        <v>294.5243112740431</v>
      </c>
      <c r="R163" s="4">
        <f t="shared" si="37"/>
        <v>289.5243112740431</v>
      </c>
      <c r="S163" s="6">
        <f t="shared" si="35"/>
        <v>0.23373679430419694</v>
      </c>
      <c r="T163" s="6">
        <f t="shared" si="28"/>
        <v>0.19573485815621275</v>
      </c>
      <c r="U163" s="6">
        <f t="shared" si="36"/>
        <v>0.83741568690068313</v>
      </c>
    </row>
    <row r="164" spans="1:21" x14ac:dyDescent="0.25">
      <c r="A164" s="2">
        <v>45089</v>
      </c>
      <c r="B164" t="s">
        <v>30</v>
      </c>
      <c r="C164" t="s">
        <v>16</v>
      </c>
      <c r="D164" t="s">
        <v>12</v>
      </c>
      <c r="E164">
        <v>12.8</v>
      </c>
      <c r="F164">
        <v>368.27</v>
      </c>
      <c r="G164">
        <v>296.73</v>
      </c>
      <c r="H164">
        <f t="shared" si="30"/>
        <v>71.539999999999964</v>
      </c>
      <c r="I164" s="4">
        <f t="shared" si="31"/>
        <v>283.93</v>
      </c>
      <c r="J164" s="7">
        <v>2.2162000000000002</v>
      </c>
      <c r="K164" s="7">
        <v>2.4245999999999999</v>
      </c>
      <c r="L164">
        <f t="shared" si="32"/>
        <v>0.2083999999999997</v>
      </c>
      <c r="M164" s="4">
        <f t="shared" si="33"/>
        <v>283.72160000000002</v>
      </c>
      <c r="N164">
        <v>80</v>
      </c>
      <c r="O164">
        <v>80.900000000000006</v>
      </c>
      <c r="P164">
        <v>0.9</v>
      </c>
      <c r="Q164" s="4">
        <f t="shared" si="34"/>
        <v>294.5243112740431</v>
      </c>
      <c r="R164" s="4">
        <f t="shared" si="37"/>
        <v>293.62431127404312</v>
      </c>
      <c r="S164" s="6">
        <f t="shared" si="35"/>
        <v>0.25214858509186455</v>
      </c>
      <c r="T164" s="6">
        <f t="shared" si="28"/>
        <v>0.24364467536623974</v>
      </c>
      <c r="U164" s="6">
        <f t="shared" si="36"/>
        <v>0.9662742119987443</v>
      </c>
    </row>
    <row r="165" spans="1:21" x14ac:dyDescent="0.25">
      <c r="A165" s="2">
        <v>45089</v>
      </c>
      <c r="B165" t="s">
        <v>30</v>
      </c>
      <c r="C165" t="s">
        <v>8</v>
      </c>
      <c r="D165" t="s">
        <v>13</v>
      </c>
      <c r="E165">
        <v>13.38</v>
      </c>
      <c r="F165">
        <v>269.33999999999997</v>
      </c>
      <c r="G165">
        <v>224.43</v>
      </c>
      <c r="H165">
        <f t="shared" si="30"/>
        <v>44.909999999999968</v>
      </c>
      <c r="I165" s="4">
        <f t="shared" si="31"/>
        <v>211.05</v>
      </c>
      <c r="J165" s="7">
        <v>2.2162000000000002</v>
      </c>
      <c r="K165" s="7">
        <v>4.3879999999999999</v>
      </c>
      <c r="L165">
        <f t="shared" si="32"/>
        <v>2.1717999999999997</v>
      </c>
      <c r="M165" s="4">
        <f t="shared" si="33"/>
        <v>208.87820000000002</v>
      </c>
      <c r="N165">
        <v>80</v>
      </c>
      <c r="O165">
        <v>85</v>
      </c>
      <c r="P165">
        <v>5</v>
      </c>
      <c r="Q165" s="4">
        <f t="shared" si="34"/>
        <v>294.5243112740431</v>
      </c>
      <c r="R165" s="4">
        <f t="shared" si="37"/>
        <v>289.5243112740431</v>
      </c>
      <c r="S165" s="6">
        <f t="shared" si="35"/>
        <v>0.21500568273759524</v>
      </c>
      <c r="T165" s="6">
        <f t="shared" si="28"/>
        <v>0.15511650749595035</v>
      </c>
      <c r="U165" s="6">
        <f t="shared" si="36"/>
        <v>0.72145305891874068</v>
      </c>
    </row>
    <row r="166" spans="1:21" x14ac:dyDescent="0.25">
      <c r="A166" s="2">
        <v>45089</v>
      </c>
      <c r="B166" t="s">
        <v>30</v>
      </c>
      <c r="C166" t="s">
        <v>8</v>
      </c>
      <c r="D166" t="s">
        <v>12</v>
      </c>
      <c r="E166">
        <v>13.23</v>
      </c>
      <c r="F166">
        <v>427.26</v>
      </c>
      <c r="G166">
        <v>331.94</v>
      </c>
      <c r="H166">
        <f t="shared" si="30"/>
        <v>95.32</v>
      </c>
      <c r="I166" s="4">
        <f t="shared" si="31"/>
        <v>318.70999999999998</v>
      </c>
      <c r="J166" s="7">
        <v>2.2162000000000002</v>
      </c>
      <c r="K166" s="7">
        <v>3.4422999999999999</v>
      </c>
      <c r="L166">
        <f t="shared" si="32"/>
        <v>1.2260999999999997</v>
      </c>
      <c r="M166" s="4">
        <f t="shared" si="33"/>
        <v>317.48390000000001</v>
      </c>
      <c r="N166">
        <v>80</v>
      </c>
      <c r="O166">
        <v>85</v>
      </c>
      <c r="P166">
        <v>5</v>
      </c>
      <c r="Q166" s="4">
        <f t="shared" si="34"/>
        <v>294.5243112740431</v>
      </c>
      <c r="R166" s="4">
        <f t="shared" si="37"/>
        <v>289.5243112740431</v>
      </c>
      <c r="S166" s="6">
        <f t="shared" si="35"/>
        <v>0.30023569699124897</v>
      </c>
      <c r="T166" s="6">
        <f t="shared" si="28"/>
        <v>0.32922969259661539</v>
      </c>
      <c r="U166" s="6">
        <f t="shared" si="36"/>
        <v>1.0965707805431659</v>
      </c>
    </row>
    <row r="167" spans="1:21" x14ac:dyDescent="0.25">
      <c r="A167" s="2">
        <v>45089</v>
      </c>
      <c r="B167" t="s">
        <v>30</v>
      </c>
      <c r="C167" t="s">
        <v>15</v>
      </c>
      <c r="D167" t="s">
        <v>13</v>
      </c>
      <c r="E167">
        <v>13.39</v>
      </c>
      <c r="F167">
        <v>359.72</v>
      </c>
      <c r="G167">
        <v>291.91000000000003</v>
      </c>
      <c r="H167">
        <f t="shared" si="30"/>
        <v>67.81</v>
      </c>
      <c r="I167" s="4">
        <f t="shared" si="31"/>
        <v>278.52000000000004</v>
      </c>
      <c r="J167" s="7">
        <v>2.2162000000000002</v>
      </c>
      <c r="K167" s="7">
        <v>3.0619000000000001</v>
      </c>
      <c r="L167">
        <f t="shared" si="32"/>
        <v>0.8456999999999999</v>
      </c>
      <c r="M167" s="4">
        <f t="shared" si="33"/>
        <v>277.67430000000002</v>
      </c>
      <c r="N167">
        <v>80</v>
      </c>
      <c r="O167">
        <v>81.5</v>
      </c>
      <c r="P167">
        <v>1.5</v>
      </c>
      <c r="Q167" s="4">
        <f t="shared" si="34"/>
        <v>294.5243112740431</v>
      </c>
      <c r="R167" s="4">
        <f t="shared" si="37"/>
        <v>293.0243112740431</v>
      </c>
      <c r="S167" s="6">
        <f t="shared" si="35"/>
        <v>0.24420697198120242</v>
      </c>
      <c r="T167" s="6">
        <f t="shared" si="28"/>
        <v>0.23141424581860898</v>
      </c>
      <c r="U167" s="6">
        <f t="shared" si="36"/>
        <v>0.9476152295783834</v>
      </c>
    </row>
    <row r="168" spans="1:21" x14ac:dyDescent="0.25">
      <c r="A168" s="2">
        <v>45089</v>
      </c>
      <c r="B168" t="s">
        <v>30</v>
      </c>
      <c r="C168" t="s">
        <v>15</v>
      </c>
      <c r="D168" t="s">
        <v>12</v>
      </c>
      <c r="E168">
        <v>12.77</v>
      </c>
      <c r="F168">
        <v>456.33</v>
      </c>
      <c r="G168">
        <v>353.56</v>
      </c>
      <c r="H168">
        <f t="shared" si="30"/>
        <v>102.76999999999998</v>
      </c>
      <c r="I168" s="4">
        <f t="shared" si="31"/>
        <v>340.79</v>
      </c>
      <c r="J168" s="7">
        <v>2.2162000000000002</v>
      </c>
      <c r="K168" s="7">
        <v>2.2530000000000001</v>
      </c>
      <c r="L168">
        <f t="shared" si="32"/>
        <v>3.6799999999999944E-2</v>
      </c>
      <c r="M168" s="4">
        <f t="shared" si="33"/>
        <v>340.75319999999999</v>
      </c>
      <c r="N168">
        <v>80</v>
      </c>
      <c r="O168">
        <v>80.099999999999994</v>
      </c>
      <c r="P168">
        <v>0.1</v>
      </c>
      <c r="Q168" s="4">
        <f t="shared" si="34"/>
        <v>294.5243112740431</v>
      </c>
      <c r="R168" s="4">
        <f t="shared" si="37"/>
        <v>294.42431127404308</v>
      </c>
      <c r="S168" s="6">
        <f t="shared" si="35"/>
        <v>0.30159658075111251</v>
      </c>
      <c r="T168" s="6">
        <f t="shared" si="28"/>
        <v>0.34905405588040633</v>
      </c>
      <c r="U168" s="6">
        <f t="shared" si="36"/>
        <v>1.1573541550474584</v>
      </c>
    </row>
    <row r="169" spans="1:21" x14ac:dyDescent="0.25">
      <c r="A169" s="2">
        <v>45089</v>
      </c>
      <c r="B169" t="s">
        <v>30</v>
      </c>
      <c r="C169" t="s">
        <v>11</v>
      </c>
      <c r="D169" t="s">
        <v>13</v>
      </c>
      <c r="E169">
        <v>12.74</v>
      </c>
      <c r="F169">
        <v>251.77</v>
      </c>
      <c r="G169">
        <v>193.38</v>
      </c>
      <c r="H169">
        <f t="shared" si="30"/>
        <v>58.390000000000015</v>
      </c>
      <c r="I169" s="4">
        <f t="shared" si="31"/>
        <v>180.64</v>
      </c>
      <c r="J169" s="7">
        <v>2.2162000000000002</v>
      </c>
      <c r="K169" s="7">
        <v>15.0288</v>
      </c>
      <c r="L169">
        <f t="shared" si="32"/>
        <v>12.8126</v>
      </c>
      <c r="M169" s="4">
        <f t="shared" si="33"/>
        <v>167.82739999999998</v>
      </c>
      <c r="N169">
        <v>70</v>
      </c>
      <c r="O169">
        <v>93</v>
      </c>
      <c r="P169">
        <v>23</v>
      </c>
      <c r="Q169" s="4">
        <f t="shared" si="34"/>
        <v>294.5243112740431</v>
      </c>
      <c r="R169" s="4">
        <f t="shared" si="37"/>
        <v>271.5243112740431</v>
      </c>
      <c r="S169" s="6">
        <f t="shared" si="35"/>
        <v>0.34791696707450642</v>
      </c>
      <c r="T169" s="6">
        <f t="shared" si="28"/>
        <v>0.21504520065265301</v>
      </c>
      <c r="U169" s="6">
        <f t="shared" si="36"/>
        <v>0.61809345620847822</v>
      </c>
    </row>
    <row r="170" spans="1:21" x14ac:dyDescent="0.25">
      <c r="A170" s="2">
        <v>45089</v>
      </c>
      <c r="B170" t="s">
        <v>30</v>
      </c>
      <c r="C170" t="s">
        <v>11</v>
      </c>
      <c r="D170" t="s">
        <v>12</v>
      </c>
      <c r="E170">
        <v>12.8</v>
      </c>
      <c r="F170">
        <v>416.18</v>
      </c>
      <c r="G170">
        <v>324.45</v>
      </c>
      <c r="H170">
        <f t="shared" si="30"/>
        <v>91.730000000000018</v>
      </c>
      <c r="I170" s="4">
        <f t="shared" si="31"/>
        <v>311.64999999999998</v>
      </c>
      <c r="J170" s="7">
        <v>2.2162000000000002</v>
      </c>
      <c r="K170" s="7">
        <v>4.6500000000000004</v>
      </c>
      <c r="L170">
        <f t="shared" si="32"/>
        <v>2.4338000000000002</v>
      </c>
      <c r="M170" s="4">
        <f t="shared" si="33"/>
        <v>309.21619999999996</v>
      </c>
      <c r="N170">
        <v>80</v>
      </c>
      <c r="O170">
        <v>85</v>
      </c>
      <c r="P170">
        <v>5</v>
      </c>
      <c r="Q170" s="4">
        <f t="shared" si="34"/>
        <v>294.5243112740431</v>
      </c>
      <c r="R170" s="4">
        <f t="shared" si="37"/>
        <v>289.5243112740431</v>
      </c>
      <c r="S170" s="6">
        <f t="shared" si="35"/>
        <v>0.29665328013215359</v>
      </c>
      <c r="T170" s="6">
        <f t="shared" si="28"/>
        <v>0.31683004303281093</v>
      </c>
      <c r="U170" s="6">
        <f t="shared" si="36"/>
        <v>1.0680146293736208</v>
      </c>
    </row>
    <row r="171" spans="1:21" x14ac:dyDescent="0.25">
      <c r="A171" s="2">
        <v>45089</v>
      </c>
      <c r="B171" t="s">
        <v>30</v>
      </c>
      <c r="C171" t="s">
        <v>19</v>
      </c>
      <c r="D171" t="s">
        <v>13</v>
      </c>
      <c r="E171">
        <v>12.75</v>
      </c>
      <c r="F171">
        <v>233.07</v>
      </c>
      <c r="G171">
        <v>163.41999999999999</v>
      </c>
      <c r="H171">
        <f t="shared" si="30"/>
        <v>69.650000000000006</v>
      </c>
      <c r="I171" s="4">
        <f t="shared" si="31"/>
        <v>150.66999999999999</v>
      </c>
      <c r="J171" s="7">
        <v>2.2162000000000002</v>
      </c>
      <c r="K171" s="7">
        <v>7.7430000000000003</v>
      </c>
      <c r="L171">
        <f t="shared" si="32"/>
        <v>5.5267999999999997</v>
      </c>
      <c r="M171" s="4">
        <f t="shared" si="33"/>
        <v>145.14319999999998</v>
      </c>
      <c r="N171">
        <v>70</v>
      </c>
      <c r="O171">
        <v>86.5</v>
      </c>
      <c r="P171">
        <v>16.5</v>
      </c>
      <c r="Q171" s="4">
        <f t="shared" si="34"/>
        <v>294.5243112740431</v>
      </c>
      <c r="R171" s="4">
        <f t="shared" si="37"/>
        <v>278.0243112740431</v>
      </c>
      <c r="S171" s="6">
        <f t="shared" si="35"/>
        <v>0.47987091369075519</v>
      </c>
      <c r="T171" s="6">
        <f t="shared" si="28"/>
        <v>0.25051766041908247</v>
      </c>
      <c r="U171" s="6">
        <f t="shared" si="36"/>
        <v>0.52205218793595065</v>
      </c>
    </row>
    <row r="172" spans="1:21" x14ac:dyDescent="0.25">
      <c r="A172" s="2">
        <v>45089</v>
      </c>
      <c r="B172" t="s">
        <v>30</v>
      </c>
      <c r="C172" t="s">
        <v>19</v>
      </c>
      <c r="D172" t="s">
        <v>12</v>
      </c>
      <c r="E172">
        <v>13.4</v>
      </c>
      <c r="F172">
        <v>411.13</v>
      </c>
      <c r="G172">
        <v>297.49</v>
      </c>
      <c r="H172">
        <f t="shared" si="30"/>
        <v>113.63999999999999</v>
      </c>
      <c r="I172" s="4">
        <f t="shared" si="31"/>
        <v>284.09000000000003</v>
      </c>
      <c r="J172" s="7">
        <v>2.2162000000000002</v>
      </c>
      <c r="K172" s="7">
        <v>2.9428999999999998</v>
      </c>
      <c r="L172">
        <f t="shared" si="32"/>
        <v>0.72669999999999968</v>
      </c>
      <c r="M172" s="4">
        <f t="shared" si="33"/>
        <v>283.36330000000004</v>
      </c>
      <c r="N172">
        <v>80</v>
      </c>
      <c r="O172">
        <v>82</v>
      </c>
      <c r="P172">
        <v>2</v>
      </c>
      <c r="Q172" s="4">
        <f t="shared" si="34"/>
        <v>294.5243112740431</v>
      </c>
      <c r="R172" s="4">
        <f t="shared" si="37"/>
        <v>292.5243112740431</v>
      </c>
      <c r="S172" s="6">
        <f t="shared" si="35"/>
        <v>0.40103993707018504</v>
      </c>
      <c r="T172" s="6">
        <f t="shared" si="28"/>
        <v>0.38848053177207409</v>
      </c>
      <c r="U172" s="6">
        <f t="shared" si="36"/>
        <v>0.96868290627146947</v>
      </c>
    </row>
    <row r="173" spans="1:21" x14ac:dyDescent="0.25">
      <c r="A173" s="2">
        <v>45089</v>
      </c>
      <c r="B173" t="s">
        <v>26</v>
      </c>
      <c r="C173" t="s">
        <v>16</v>
      </c>
      <c r="D173" t="s">
        <v>13</v>
      </c>
      <c r="E173">
        <v>12.88</v>
      </c>
      <c r="F173">
        <v>303.79000000000002</v>
      </c>
      <c r="G173">
        <v>251.05</v>
      </c>
      <c r="H173">
        <f t="shared" si="30"/>
        <v>52.740000000000009</v>
      </c>
      <c r="I173" s="4">
        <f t="shared" si="31"/>
        <v>238.17000000000002</v>
      </c>
      <c r="J173" s="7">
        <v>2.2162000000000002</v>
      </c>
      <c r="K173" s="7">
        <v>4.2511999999999999</v>
      </c>
      <c r="L173">
        <f t="shared" si="32"/>
        <v>2.0349999999999997</v>
      </c>
      <c r="M173" s="4">
        <f t="shared" si="33"/>
        <v>236.13500000000002</v>
      </c>
      <c r="N173">
        <v>80</v>
      </c>
      <c r="O173">
        <v>84.5</v>
      </c>
      <c r="P173">
        <v>4.5</v>
      </c>
      <c r="Q173" s="4">
        <f t="shared" si="34"/>
        <v>294.5243112740431</v>
      </c>
      <c r="R173" s="4">
        <f t="shared" si="37"/>
        <v>290.0243112740431</v>
      </c>
      <c r="S173" s="6">
        <f t="shared" si="35"/>
        <v>0.22334681432231565</v>
      </c>
      <c r="T173" s="6">
        <f t="shared" si="28"/>
        <v>0.18184682438627064</v>
      </c>
      <c r="U173" s="6">
        <f t="shared" si="36"/>
        <v>0.81419036549965895</v>
      </c>
    </row>
    <row r="174" spans="1:21" x14ac:dyDescent="0.25">
      <c r="A174" s="2">
        <v>45089</v>
      </c>
      <c r="B174" t="s">
        <v>26</v>
      </c>
      <c r="C174" t="s">
        <v>16</v>
      </c>
      <c r="D174" t="s">
        <v>12</v>
      </c>
      <c r="E174">
        <v>13.38</v>
      </c>
      <c r="F174">
        <v>490.44</v>
      </c>
      <c r="G174">
        <v>400.15</v>
      </c>
      <c r="H174">
        <f t="shared" si="30"/>
        <v>90.29000000000002</v>
      </c>
      <c r="I174" s="4">
        <f t="shared" si="31"/>
        <v>386.77</v>
      </c>
      <c r="J174" s="7">
        <v>2.2162000000000002</v>
      </c>
      <c r="K174" s="7">
        <v>2.8267000000000002</v>
      </c>
      <c r="L174">
        <f t="shared" si="32"/>
        <v>0.61050000000000004</v>
      </c>
      <c r="M174" s="4">
        <f t="shared" si="33"/>
        <v>386.15949999999998</v>
      </c>
      <c r="N174">
        <v>80</v>
      </c>
      <c r="O174">
        <v>81.5</v>
      </c>
      <c r="P174">
        <v>1.5</v>
      </c>
      <c r="Q174" s="4">
        <f t="shared" si="34"/>
        <v>294.5243112740431</v>
      </c>
      <c r="R174" s="4">
        <f t="shared" si="37"/>
        <v>293.0243112740431</v>
      </c>
      <c r="S174" s="6">
        <f t="shared" si="35"/>
        <v>0.23381530170823203</v>
      </c>
      <c r="T174" s="6">
        <f t="shared" si="28"/>
        <v>0.30813142980330643</v>
      </c>
      <c r="U174" s="6">
        <f t="shared" si="36"/>
        <v>1.3178411658780582</v>
      </c>
    </row>
    <row r="175" spans="1:21" x14ac:dyDescent="0.25">
      <c r="A175" s="2">
        <v>45089</v>
      </c>
      <c r="B175" t="s">
        <v>26</v>
      </c>
      <c r="C175" t="s">
        <v>8</v>
      </c>
      <c r="D175" t="s">
        <v>13</v>
      </c>
      <c r="E175">
        <v>12.75</v>
      </c>
      <c r="F175">
        <v>308.63</v>
      </c>
      <c r="G175">
        <v>237.67</v>
      </c>
      <c r="H175">
        <f t="shared" si="30"/>
        <v>70.960000000000008</v>
      </c>
      <c r="I175" s="4">
        <f t="shared" si="31"/>
        <v>224.92</v>
      </c>
      <c r="J175" s="7">
        <v>2.2162000000000002</v>
      </c>
      <c r="K175" s="7">
        <v>4.6428000000000003</v>
      </c>
      <c r="L175">
        <f t="shared" si="32"/>
        <v>2.4266000000000001</v>
      </c>
      <c r="M175" s="4">
        <f t="shared" si="33"/>
        <v>222.49339999999998</v>
      </c>
      <c r="N175">
        <v>90</v>
      </c>
      <c r="O175">
        <v>94</v>
      </c>
      <c r="P175">
        <v>4</v>
      </c>
      <c r="Q175" s="4">
        <f t="shared" si="34"/>
        <v>294.5243112740431</v>
      </c>
      <c r="R175" s="4">
        <f t="shared" si="37"/>
        <v>290.5243112740431</v>
      </c>
      <c r="S175" s="6">
        <f t="shared" si="35"/>
        <v>0.31893080873410184</v>
      </c>
      <c r="T175" s="6">
        <f t="shared" si="28"/>
        <v>0.24424806202557525</v>
      </c>
      <c r="U175" s="6">
        <f t="shared" si="36"/>
        <v>0.76583401583259736</v>
      </c>
    </row>
    <row r="176" spans="1:21" x14ac:dyDescent="0.25">
      <c r="A176" s="2">
        <v>45089</v>
      </c>
      <c r="B176" t="s">
        <v>26</v>
      </c>
      <c r="C176" t="s">
        <v>8</v>
      </c>
      <c r="D176" t="s">
        <v>12</v>
      </c>
      <c r="E176">
        <v>13.21</v>
      </c>
      <c r="F176">
        <v>468.81</v>
      </c>
      <c r="G176">
        <v>358.31</v>
      </c>
      <c r="H176">
        <f t="shared" si="30"/>
        <v>110.5</v>
      </c>
      <c r="I176" s="4">
        <f t="shared" si="31"/>
        <v>345.1</v>
      </c>
      <c r="J176" s="7">
        <v>2.2162000000000002</v>
      </c>
      <c r="K176" s="7">
        <v>2.4380000000000002</v>
      </c>
      <c r="L176">
        <f t="shared" si="32"/>
        <v>0.2218</v>
      </c>
      <c r="M176" s="4">
        <f t="shared" si="33"/>
        <v>344.87820000000005</v>
      </c>
      <c r="N176">
        <v>80</v>
      </c>
      <c r="O176">
        <v>80.5</v>
      </c>
      <c r="P176">
        <v>0.5</v>
      </c>
      <c r="Q176" s="4">
        <f t="shared" si="34"/>
        <v>294.5243112740431</v>
      </c>
      <c r="R176" s="4">
        <f t="shared" si="37"/>
        <v>294.0243112740431</v>
      </c>
      <c r="S176" s="6">
        <f t="shared" si="35"/>
        <v>0.32040297125187961</v>
      </c>
      <c r="T176" s="6">
        <f t="shared" si="28"/>
        <v>0.37581926311191771</v>
      </c>
      <c r="U176" s="6">
        <f t="shared" si="36"/>
        <v>1.1729581084829375</v>
      </c>
    </row>
    <row r="177" spans="1:21" x14ac:dyDescent="0.25">
      <c r="A177" s="2">
        <v>45089</v>
      </c>
      <c r="B177" t="s">
        <v>26</v>
      </c>
      <c r="C177" t="s">
        <v>15</v>
      </c>
      <c r="D177" t="s">
        <v>13</v>
      </c>
      <c r="E177">
        <v>12.98</v>
      </c>
      <c r="F177">
        <v>267.22000000000003</v>
      </c>
      <c r="G177">
        <v>194.28</v>
      </c>
      <c r="H177">
        <f t="shared" si="30"/>
        <v>72.940000000000026</v>
      </c>
      <c r="I177" s="4">
        <f t="shared" si="31"/>
        <v>181.3</v>
      </c>
      <c r="J177" s="7">
        <v>2.2162000000000002</v>
      </c>
      <c r="K177" s="7">
        <v>12.2699</v>
      </c>
      <c r="L177">
        <f t="shared" si="32"/>
        <v>10.053699999999999</v>
      </c>
      <c r="M177" s="4">
        <f t="shared" si="33"/>
        <v>171.24630000000002</v>
      </c>
      <c r="N177">
        <v>60</v>
      </c>
      <c r="O177">
        <v>89</v>
      </c>
      <c r="P177">
        <v>29</v>
      </c>
      <c r="Q177" s="4">
        <f t="shared" si="34"/>
        <v>294.5243112740431</v>
      </c>
      <c r="R177" s="4">
        <f t="shared" si="37"/>
        <v>265.5243112740431</v>
      </c>
      <c r="S177" s="6">
        <f t="shared" si="35"/>
        <v>0.42593621000862508</v>
      </c>
      <c r="T177" s="6">
        <f t="shared" si="28"/>
        <v>0.27470177645887911</v>
      </c>
      <c r="U177" s="6">
        <f t="shared" si="36"/>
        <v>0.64493642476021584</v>
      </c>
    </row>
    <row r="178" spans="1:21" x14ac:dyDescent="0.25">
      <c r="A178" s="2">
        <v>45089</v>
      </c>
      <c r="B178" t="s">
        <v>26</v>
      </c>
      <c r="C178" t="s">
        <v>15</v>
      </c>
      <c r="D178" t="s">
        <v>12</v>
      </c>
      <c r="E178">
        <v>12.82</v>
      </c>
      <c r="F178">
        <v>330.82</v>
      </c>
      <c r="G178">
        <v>240.59</v>
      </c>
      <c r="H178">
        <f t="shared" si="30"/>
        <v>90.22999999999999</v>
      </c>
      <c r="I178" s="4">
        <f t="shared" si="31"/>
        <v>227.77</v>
      </c>
      <c r="J178" s="7">
        <v>2.2162000000000002</v>
      </c>
      <c r="K178" s="7">
        <v>4.4371999999999998</v>
      </c>
      <c r="L178">
        <f t="shared" si="32"/>
        <v>2.2209999999999996</v>
      </c>
      <c r="M178" s="4">
        <f t="shared" si="33"/>
        <v>225.54900000000001</v>
      </c>
      <c r="N178">
        <v>80</v>
      </c>
      <c r="O178">
        <v>82</v>
      </c>
      <c r="P178">
        <v>2</v>
      </c>
      <c r="Q178" s="4">
        <f t="shared" si="34"/>
        <v>294.5243112740431</v>
      </c>
      <c r="R178" s="4">
        <f t="shared" si="37"/>
        <v>292.5243112740431</v>
      </c>
      <c r="S178" s="6">
        <f t="shared" si="35"/>
        <v>0.40004610971451876</v>
      </c>
      <c r="T178" s="6">
        <f t="shared" si="28"/>
        <v>0.30845299526394088</v>
      </c>
      <c r="U178" s="6">
        <f t="shared" si="36"/>
        <v>0.771043606658391</v>
      </c>
    </row>
    <row r="179" spans="1:21" x14ac:dyDescent="0.25">
      <c r="A179" s="2">
        <v>45089</v>
      </c>
      <c r="B179" t="s">
        <v>26</v>
      </c>
      <c r="C179" t="s">
        <v>11</v>
      </c>
      <c r="D179" t="s">
        <v>13</v>
      </c>
      <c r="E179">
        <v>12.9</v>
      </c>
      <c r="F179">
        <v>324.7</v>
      </c>
      <c r="G179">
        <v>256.92</v>
      </c>
      <c r="H179">
        <f t="shared" si="30"/>
        <v>67.779999999999973</v>
      </c>
      <c r="I179" s="4">
        <f t="shared" si="31"/>
        <v>244.02</v>
      </c>
      <c r="J179" s="7">
        <v>2.2162000000000002</v>
      </c>
      <c r="K179" s="7">
        <v>3.9451999999999998</v>
      </c>
      <c r="L179">
        <f t="shared" si="32"/>
        <v>1.7289999999999996</v>
      </c>
      <c r="M179" s="4">
        <f t="shared" si="33"/>
        <v>242.291</v>
      </c>
      <c r="N179">
        <v>80</v>
      </c>
      <c r="O179">
        <v>83</v>
      </c>
      <c r="P179">
        <v>3</v>
      </c>
      <c r="Q179" s="4">
        <f t="shared" si="34"/>
        <v>294.5243112740431</v>
      </c>
      <c r="R179" s="4">
        <f t="shared" si="37"/>
        <v>291.5243112740431</v>
      </c>
      <c r="S179" s="6">
        <f t="shared" si="35"/>
        <v>0.27974625553569871</v>
      </c>
      <c r="T179" s="6">
        <f t="shared" si="28"/>
        <v>0.23250205001353863</v>
      </c>
      <c r="U179" s="6">
        <f t="shared" si="36"/>
        <v>0.83111764827132351</v>
      </c>
    </row>
    <row r="180" spans="1:21" x14ac:dyDescent="0.25">
      <c r="A180" s="2">
        <v>45089</v>
      </c>
      <c r="B180" t="s">
        <v>26</v>
      </c>
      <c r="C180" t="s">
        <v>11</v>
      </c>
      <c r="D180" t="s">
        <v>12</v>
      </c>
      <c r="E180">
        <v>12.78</v>
      </c>
      <c r="F180">
        <v>411.05</v>
      </c>
      <c r="G180">
        <v>321.18</v>
      </c>
      <c r="H180">
        <f t="shared" si="30"/>
        <v>89.87</v>
      </c>
      <c r="I180" s="4">
        <f t="shared" si="31"/>
        <v>308.40000000000003</v>
      </c>
      <c r="J180" s="7">
        <v>2.2162000000000002</v>
      </c>
      <c r="K180" s="7">
        <v>2.7725</v>
      </c>
      <c r="L180">
        <f t="shared" si="32"/>
        <v>0.55629999999999979</v>
      </c>
      <c r="M180" s="4">
        <f t="shared" si="33"/>
        <v>307.84370000000001</v>
      </c>
      <c r="N180">
        <v>80</v>
      </c>
      <c r="O180">
        <v>81.5</v>
      </c>
      <c r="P180">
        <v>1.5</v>
      </c>
      <c r="Q180" s="4">
        <f t="shared" si="34"/>
        <v>294.5243112740431</v>
      </c>
      <c r="R180" s="4">
        <f t="shared" si="37"/>
        <v>293.0243112740431</v>
      </c>
      <c r="S180" s="6">
        <f t="shared" si="35"/>
        <v>0.29193386124192244</v>
      </c>
      <c r="T180" s="6">
        <f t="shared" si="28"/>
        <v>0.30669810163277378</v>
      </c>
      <c r="U180" s="6">
        <f t="shared" si="36"/>
        <v>1.0505739222166364</v>
      </c>
    </row>
    <row r="181" spans="1:21" x14ac:dyDescent="0.25">
      <c r="A181" s="2">
        <v>45089</v>
      </c>
      <c r="B181" t="s">
        <v>26</v>
      </c>
      <c r="C181" t="s">
        <v>19</v>
      </c>
      <c r="D181" t="s">
        <v>13</v>
      </c>
      <c r="E181">
        <v>12.92</v>
      </c>
      <c r="F181">
        <v>366.63</v>
      </c>
      <c r="G181">
        <v>286.89999999999998</v>
      </c>
      <c r="H181">
        <f t="shared" si="30"/>
        <v>79.730000000000018</v>
      </c>
      <c r="I181" s="4">
        <f t="shared" si="31"/>
        <v>273.97999999999996</v>
      </c>
      <c r="J181" s="7">
        <v>2.2162000000000002</v>
      </c>
      <c r="K181" s="7">
        <v>2.4420000000000002</v>
      </c>
      <c r="L181">
        <f t="shared" si="32"/>
        <v>0.2258</v>
      </c>
      <c r="M181" s="4">
        <f t="shared" si="33"/>
        <v>273.75419999999997</v>
      </c>
      <c r="N181">
        <v>80</v>
      </c>
      <c r="O181">
        <v>80.5</v>
      </c>
      <c r="P181">
        <v>0.5</v>
      </c>
      <c r="Q181" s="4">
        <f t="shared" si="34"/>
        <v>294.5243112740431</v>
      </c>
      <c r="R181" s="4">
        <f t="shared" si="37"/>
        <v>294.0243112740431</v>
      </c>
      <c r="S181" s="6">
        <f t="shared" si="35"/>
        <v>0.29124667311040353</v>
      </c>
      <c r="T181" s="6">
        <f t="shared" si="28"/>
        <v>0.27116805292229146</v>
      </c>
      <c r="U181" s="6">
        <f t="shared" si="36"/>
        <v>0.93105974405242109</v>
      </c>
    </row>
    <row r="182" spans="1:21" x14ac:dyDescent="0.25">
      <c r="A182" s="2">
        <v>45089</v>
      </c>
      <c r="B182" t="s">
        <v>26</v>
      </c>
      <c r="C182" t="s">
        <v>19</v>
      </c>
      <c r="D182" t="s">
        <v>12</v>
      </c>
      <c r="E182">
        <v>12.92</v>
      </c>
      <c r="F182">
        <v>386.51</v>
      </c>
      <c r="G182">
        <v>296.23</v>
      </c>
      <c r="H182">
        <f t="shared" si="30"/>
        <v>90.279999999999973</v>
      </c>
      <c r="I182" s="4">
        <f t="shared" si="31"/>
        <v>283.31</v>
      </c>
      <c r="J182" s="7">
        <v>2.2162000000000002</v>
      </c>
      <c r="K182" s="7">
        <v>2.5003000000000002</v>
      </c>
      <c r="L182">
        <f t="shared" si="32"/>
        <v>0.28410000000000002</v>
      </c>
      <c r="M182" s="4">
        <f t="shared" si="33"/>
        <v>283.02589999999998</v>
      </c>
      <c r="N182">
        <v>80</v>
      </c>
      <c r="O182">
        <v>80.5</v>
      </c>
      <c r="P182">
        <v>0.5</v>
      </c>
      <c r="Q182" s="4">
        <f t="shared" si="34"/>
        <v>294.5243112740431</v>
      </c>
      <c r="R182" s="4">
        <f t="shared" si="37"/>
        <v>294.0243112740431</v>
      </c>
      <c r="S182" s="6">
        <f t="shared" si="35"/>
        <v>0.31898140770862304</v>
      </c>
      <c r="T182" s="6">
        <f t="shared" si="28"/>
        <v>0.30704943958139297</v>
      </c>
      <c r="U182" s="6">
        <f t="shared" si="36"/>
        <v>0.96259353103698919</v>
      </c>
    </row>
  </sheetData>
  <sortState xmlns:xlrd2="http://schemas.microsoft.com/office/spreadsheetml/2017/richdata2" ref="A2:J181">
    <sortCondition ref="B2:B181"/>
    <sortCondition ref="C2:C181"/>
    <sortCondition ref="D2:D181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189E-6C1D-43E7-8547-F69E3D1170CB}">
  <dimension ref="A1:F91"/>
  <sheetViews>
    <sheetView topLeftCell="A72" zoomScale="130" zoomScaleNormal="130" workbookViewId="0">
      <selection activeCell="E94" sqref="E94"/>
    </sheetView>
  </sheetViews>
  <sheetFormatPr defaultRowHeight="15" x14ac:dyDescent="0.25"/>
  <cols>
    <col min="1" max="1" width="11.7109375" customWidth="1"/>
    <col min="2" max="2" width="4.5703125" bestFit="1" customWidth="1"/>
    <col min="3" max="3" width="8.140625" bestFit="1" customWidth="1"/>
    <col min="4" max="4" width="17.42578125" bestFit="1" customWidth="1"/>
    <col min="5" max="5" width="29.140625" bestFit="1" customWidth="1"/>
    <col min="6" max="6" width="22.5703125" bestFit="1" customWidth="1"/>
  </cols>
  <sheetData>
    <row r="1" spans="1:6" x14ac:dyDescent="0.25">
      <c r="A1" s="5" t="s">
        <v>9</v>
      </c>
      <c r="B1" s="5" t="s">
        <v>3</v>
      </c>
      <c r="C1" s="5" t="s">
        <v>0</v>
      </c>
      <c r="D1" s="5" t="s">
        <v>32</v>
      </c>
      <c r="E1" s="5" t="s">
        <v>33</v>
      </c>
      <c r="F1" s="5" t="s">
        <v>35</v>
      </c>
    </row>
    <row r="2" spans="1:6" x14ac:dyDescent="0.25">
      <c r="A2" s="2">
        <v>45090</v>
      </c>
      <c r="B2" t="s">
        <v>6</v>
      </c>
      <c r="C2" t="s">
        <v>19</v>
      </c>
      <c r="D2">
        <v>12.72</v>
      </c>
      <c r="E2">
        <v>416.82</v>
      </c>
    </row>
    <row r="3" spans="1:6" x14ac:dyDescent="0.25">
      <c r="A3" s="2">
        <v>45090</v>
      </c>
      <c r="B3" t="s">
        <v>14</v>
      </c>
      <c r="C3" t="s">
        <v>15</v>
      </c>
      <c r="D3">
        <v>13.05</v>
      </c>
      <c r="E3">
        <v>421.26</v>
      </c>
    </row>
    <row r="4" spans="1:6" x14ac:dyDescent="0.25">
      <c r="A4" s="2">
        <v>45090</v>
      </c>
      <c r="B4" t="s">
        <v>22</v>
      </c>
      <c r="C4" t="s">
        <v>15</v>
      </c>
      <c r="D4">
        <v>13.1</v>
      </c>
      <c r="E4">
        <v>354.25</v>
      </c>
    </row>
    <row r="5" spans="1:6" x14ac:dyDescent="0.25">
      <c r="A5" s="2">
        <v>45090</v>
      </c>
      <c r="B5" t="s">
        <v>22</v>
      </c>
      <c r="C5" t="s">
        <v>11</v>
      </c>
      <c r="D5">
        <v>13.05</v>
      </c>
      <c r="E5">
        <v>356.24</v>
      </c>
    </row>
    <row r="6" spans="1:6" x14ac:dyDescent="0.25">
      <c r="A6" s="2">
        <v>45091</v>
      </c>
      <c r="B6" t="s">
        <v>23</v>
      </c>
      <c r="C6" t="s">
        <v>19</v>
      </c>
      <c r="D6">
        <v>12.78</v>
      </c>
      <c r="E6">
        <v>367.27</v>
      </c>
    </row>
    <row r="7" spans="1:6" x14ac:dyDescent="0.25">
      <c r="A7" s="2">
        <v>45091</v>
      </c>
      <c r="B7" t="s">
        <v>21</v>
      </c>
      <c r="C7" t="s">
        <v>16</v>
      </c>
      <c r="D7">
        <v>12.83</v>
      </c>
      <c r="E7">
        <v>371.54</v>
      </c>
    </row>
    <row r="8" spans="1:6" x14ac:dyDescent="0.25">
      <c r="A8" s="2">
        <v>45091</v>
      </c>
      <c r="B8" t="s">
        <v>18</v>
      </c>
      <c r="C8" t="s">
        <v>16</v>
      </c>
      <c r="D8">
        <v>12.85</v>
      </c>
      <c r="E8">
        <v>367.45</v>
      </c>
    </row>
    <row r="9" spans="1:6" x14ac:dyDescent="0.25">
      <c r="A9" s="2">
        <v>45090</v>
      </c>
      <c r="B9" t="s">
        <v>22</v>
      </c>
      <c r="C9" t="s">
        <v>16</v>
      </c>
      <c r="D9">
        <v>12.88</v>
      </c>
      <c r="E9">
        <v>380.33</v>
      </c>
    </row>
    <row r="10" spans="1:6" x14ac:dyDescent="0.25">
      <c r="A10" s="2">
        <v>45090</v>
      </c>
      <c r="B10" t="s">
        <v>6</v>
      </c>
      <c r="C10" t="s">
        <v>11</v>
      </c>
      <c r="D10">
        <v>12.91</v>
      </c>
      <c r="E10">
        <v>369.67</v>
      </c>
    </row>
    <row r="11" spans="1:6" x14ac:dyDescent="0.25">
      <c r="A11" s="2">
        <v>45090</v>
      </c>
      <c r="B11" t="s">
        <v>6</v>
      </c>
      <c r="C11" t="s">
        <v>15</v>
      </c>
      <c r="D11">
        <v>12.94</v>
      </c>
      <c r="E11">
        <v>380.23</v>
      </c>
    </row>
    <row r="12" spans="1:6" x14ac:dyDescent="0.25">
      <c r="A12" s="2">
        <v>45091</v>
      </c>
      <c r="B12" t="s">
        <v>23</v>
      </c>
      <c r="C12" t="s">
        <v>8</v>
      </c>
      <c r="D12">
        <v>12.92</v>
      </c>
      <c r="E12">
        <v>413.07</v>
      </c>
    </row>
    <row r="13" spans="1:6" x14ac:dyDescent="0.25">
      <c r="A13" s="2">
        <v>45091</v>
      </c>
      <c r="B13" t="s">
        <v>10</v>
      </c>
      <c r="C13" t="s">
        <v>15</v>
      </c>
      <c r="D13">
        <v>12.93</v>
      </c>
      <c r="E13">
        <v>398.29</v>
      </c>
    </row>
    <row r="14" spans="1:6" x14ac:dyDescent="0.25">
      <c r="A14" s="2">
        <v>45091</v>
      </c>
      <c r="B14" t="s">
        <v>10</v>
      </c>
      <c r="C14" t="s">
        <v>11</v>
      </c>
      <c r="D14">
        <v>12.95</v>
      </c>
      <c r="E14">
        <v>399.32</v>
      </c>
    </row>
    <row r="15" spans="1:6" x14ac:dyDescent="0.25">
      <c r="A15" s="2">
        <v>45091</v>
      </c>
      <c r="B15" t="s">
        <v>23</v>
      </c>
      <c r="C15" t="s">
        <v>11</v>
      </c>
      <c r="D15">
        <v>12.8</v>
      </c>
      <c r="E15">
        <v>412</v>
      </c>
    </row>
    <row r="16" spans="1:6" x14ac:dyDescent="0.25">
      <c r="A16" s="2">
        <v>45089</v>
      </c>
      <c r="B16" t="s">
        <v>26</v>
      </c>
      <c r="C16" t="s">
        <v>15</v>
      </c>
      <c r="D16">
        <v>12.89</v>
      </c>
      <c r="E16">
        <v>401.35</v>
      </c>
    </row>
    <row r="17" spans="1:5" x14ac:dyDescent="0.25">
      <c r="A17" s="2">
        <v>45091</v>
      </c>
      <c r="B17" t="s">
        <v>10</v>
      </c>
      <c r="C17" t="s">
        <v>16</v>
      </c>
      <c r="D17">
        <v>12.93</v>
      </c>
      <c r="E17">
        <v>406.82</v>
      </c>
    </row>
    <row r="18" spans="1:5" x14ac:dyDescent="0.25">
      <c r="A18" s="2">
        <v>45091</v>
      </c>
      <c r="B18" t="s">
        <v>18</v>
      </c>
      <c r="C18" t="s">
        <v>15</v>
      </c>
      <c r="D18">
        <v>12.85</v>
      </c>
      <c r="E18">
        <v>482.4</v>
      </c>
    </row>
    <row r="19" spans="1:5" x14ac:dyDescent="0.25">
      <c r="A19" s="2">
        <v>45089</v>
      </c>
      <c r="B19" t="s">
        <v>7</v>
      </c>
      <c r="C19" t="s">
        <v>15</v>
      </c>
      <c r="D19">
        <v>12.87</v>
      </c>
      <c r="E19">
        <v>489.57</v>
      </c>
    </row>
    <row r="20" spans="1:5" x14ac:dyDescent="0.25">
      <c r="A20" s="2">
        <v>45089</v>
      </c>
      <c r="B20" t="s">
        <v>7</v>
      </c>
      <c r="C20" t="s">
        <v>16</v>
      </c>
      <c r="D20">
        <v>12.79</v>
      </c>
      <c r="E20">
        <v>443.59</v>
      </c>
    </row>
    <row r="21" spans="1:5" x14ac:dyDescent="0.25">
      <c r="A21" s="2">
        <v>45089</v>
      </c>
      <c r="B21" t="s">
        <v>7</v>
      </c>
      <c r="C21" t="s">
        <v>19</v>
      </c>
      <c r="D21">
        <v>12.73</v>
      </c>
      <c r="E21">
        <v>451.66</v>
      </c>
    </row>
    <row r="22" spans="1:5" x14ac:dyDescent="0.25">
      <c r="A22" s="2">
        <v>45089</v>
      </c>
      <c r="B22" t="s">
        <v>25</v>
      </c>
      <c r="C22" t="s">
        <v>16</v>
      </c>
      <c r="D22">
        <v>12.81</v>
      </c>
      <c r="E22">
        <v>464.22</v>
      </c>
    </row>
    <row r="23" spans="1:5" x14ac:dyDescent="0.25">
      <c r="A23" s="2">
        <v>45091</v>
      </c>
      <c r="B23" t="s">
        <v>21</v>
      </c>
      <c r="C23" t="s">
        <v>19</v>
      </c>
      <c r="D23">
        <v>12.8</v>
      </c>
      <c r="E23">
        <v>467.43</v>
      </c>
    </row>
    <row r="24" spans="1:5" x14ac:dyDescent="0.25">
      <c r="A24" s="2">
        <v>45089</v>
      </c>
      <c r="B24" t="s">
        <v>26</v>
      </c>
      <c r="C24" t="s">
        <v>19</v>
      </c>
      <c r="D24">
        <v>12.85</v>
      </c>
      <c r="E24">
        <v>451.54</v>
      </c>
    </row>
    <row r="25" spans="1:5" x14ac:dyDescent="0.25">
      <c r="A25" s="2">
        <v>45089</v>
      </c>
      <c r="B25" t="s">
        <v>7</v>
      </c>
      <c r="C25" t="s">
        <v>11</v>
      </c>
      <c r="D25">
        <v>12.88</v>
      </c>
      <c r="E25">
        <v>455.24</v>
      </c>
    </row>
    <row r="26" spans="1:5" x14ac:dyDescent="0.25">
      <c r="A26" s="2">
        <v>45090</v>
      </c>
      <c r="B26" t="s">
        <v>17</v>
      </c>
      <c r="C26" t="s">
        <v>15</v>
      </c>
      <c r="D26">
        <v>12.86</v>
      </c>
      <c r="E26">
        <v>452.52</v>
      </c>
    </row>
    <row r="27" spans="1:5" x14ac:dyDescent="0.25">
      <c r="A27" s="2">
        <v>45091</v>
      </c>
      <c r="B27" t="s">
        <v>23</v>
      </c>
      <c r="C27" t="s">
        <v>16</v>
      </c>
      <c r="D27">
        <v>12.93</v>
      </c>
      <c r="E27">
        <v>448.33</v>
      </c>
    </row>
    <row r="28" spans="1:5" x14ac:dyDescent="0.25">
      <c r="A28" s="2">
        <v>45089</v>
      </c>
      <c r="B28" t="s">
        <v>25</v>
      </c>
      <c r="C28" t="s">
        <v>15</v>
      </c>
      <c r="D28">
        <v>12.92</v>
      </c>
      <c r="E28">
        <v>451.34</v>
      </c>
    </row>
    <row r="29" spans="1:5" x14ac:dyDescent="0.25">
      <c r="A29" s="2">
        <v>45090</v>
      </c>
      <c r="B29" t="s">
        <v>24</v>
      </c>
      <c r="C29" t="s">
        <v>19</v>
      </c>
      <c r="D29">
        <v>12.92</v>
      </c>
      <c r="E29">
        <v>442.37</v>
      </c>
    </row>
    <row r="30" spans="1:5" x14ac:dyDescent="0.25">
      <c r="A30" s="2">
        <v>45090</v>
      </c>
      <c r="B30" t="s">
        <v>24</v>
      </c>
      <c r="C30" t="s">
        <v>16</v>
      </c>
      <c r="D30">
        <v>12.97</v>
      </c>
      <c r="E30">
        <v>446.81</v>
      </c>
    </row>
    <row r="31" spans="1:5" x14ac:dyDescent="0.25">
      <c r="A31" s="2">
        <v>45090</v>
      </c>
      <c r="B31" t="s">
        <v>27</v>
      </c>
      <c r="C31" t="s">
        <v>15</v>
      </c>
      <c r="D31">
        <v>12.96</v>
      </c>
      <c r="E31">
        <v>449.68</v>
      </c>
    </row>
    <row r="32" spans="1:5" x14ac:dyDescent="0.25">
      <c r="A32" s="2">
        <v>45090</v>
      </c>
      <c r="B32" t="s">
        <v>22</v>
      </c>
      <c r="C32" t="s">
        <v>19</v>
      </c>
      <c r="D32">
        <v>12.94</v>
      </c>
      <c r="E32">
        <v>448.27</v>
      </c>
    </row>
    <row r="33" spans="1:5" x14ac:dyDescent="0.25">
      <c r="A33" s="2">
        <v>45091</v>
      </c>
      <c r="B33" t="s">
        <v>21</v>
      </c>
      <c r="C33" t="s">
        <v>15</v>
      </c>
      <c r="D33">
        <v>12.96</v>
      </c>
      <c r="E33">
        <v>450.57</v>
      </c>
    </row>
    <row r="34" spans="1:5" x14ac:dyDescent="0.25">
      <c r="A34" s="2">
        <v>45090</v>
      </c>
      <c r="B34" t="s">
        <v>18</v>
      </c>
      <c r="C34" t="s">
        <v>11</v>
      </c>
      <c r="D34">
        <v>12.94</v>
      </c>
      <c r="E34">
        <v>451.63</v>
      </c>
    </row>
    <row r="35" spans="1:5" x14ac:dyDescent="0.25">
      <c r="A35" s="2">
        <v>45091</v>
      </c>
      <c r="B35" t="s">
        <v>21</v>
      </c>
      <c r="C35" t="s">
        <v>8</v>
      </c>
      <c r="D35">
        <v>12.9</v>
      </c>
      <c r="E35">
        <v>456.51</v>
      </c>
    </row>
    <row r="36" spans="1:5" x14ac:dyDescent="0.25">
      <c r="A36" s="2">
        <v>45090</v>
      </c>
      <c r="B36" t="s">
        <v>18</v>
      </c>
      <c r="C36" t="s">
        <v>8</v>
      </c>
      <c r="D36">
        <v>12.99</v>
      </c>
      <c r="E36">
        <v>461.23</v>
      </c>
    </row>
    <row r="37" spans="1:5" x14ac:dyDescent="0.25">
      <c r="A37" s="2">
        <v>45089</v>
      </c>
      <c r="B37" t="s">
        <v>26</v>
      </c>
      <c r="C37" t="s">
        <v>16</v>
      </c>
      <c r="D37">
        <v>12.93</v>
      </c>
      <c r="E37">
        <v>453.09</v>
      </c>
    </row>
    <row r="38" spans="1:5" x14ac:dyDescent="0.25">
      <c r="A38" s="2">
        <v>45089</v>
      </c>
      <c r="B38" t="s">
        <v>25</v>
      </c>
      <c r="C38" t="s">
        <v>19</v>
      </c>
      <c r="D38">
        <v>12.88</v>
      </c>
      <c r="E38">
        <v>462.8</v>
      </c>
    </row>
    <row r="39" spans="1:5" x14ac:dyDescent="0.25">
      <c r="A39" s="2">
        <v>45090</v>
      </c>
      <c r="B39" t="s">
        <v>29</v>
      </c>
      <c r="C39" t="s">
        <v>11</v>
      </c>
      <c r="D39">
        <v>13.08</v>
      </c>
      <c r="E39">
        <v>440.47</v>
      </c>
    </row>
    <row r="40" spans="1:5" x14ac:dyDescent="0.25">
      <c r="A40" s="2">
        <v>45091</v>
      </c>
      <c r="B40" t="s">
        <v>23</v>
      </c>
      <c r="C40" t="s">
        <v>15</v>
      </c>
      <c r="D40">
        <v>13.14</v>
      </c>
      <c r="E40">
        <v>452.59</v>
      </c>
    </row>
    <row r="41" spans="1:5" x14ac:dyDescent="0.25">
      <c r="A41" s="2">
        <v>45090</v>
      </c>
      <c r="B41" t="s">
        <v>6</v>
      </c>
      <c r="C41" t="s">
        <v>16</v>
      </c>
      <c r="D41">
        <v>13.1</v>
      </c>
      <c r="E41">
        <v>450.12</v>
      </c>
    </row>
    <row r="42" spans="1:5" x14ac:dyDescent="0.25">
      <c r="A42" s="2">
        <v>45090</v>
      </c>
      <c r="B42" t="s">
        <v>28</v>
      </c>
      <c r="C42" t="s">
        <v>16</v>
      </c>
      <c r="D42">
        <v>13.12</v>
      </c>
      <c r="E42">
        <v>448.67</v>
      </c>
    </row>
    <row r="43" spans="1:5" x14ac:dyDescent="0.25">
      <c r="A43" s="2">
        <v>45090</v>
      </c>
      <c r="B43" t="s">
        <v>17</v>
      </c>
      <c r="C43" t="s">
        <v>19</v>
      </c>
      <c r="D43">
        <v>13.13</v>
      </c>
      <c r="E43">
        <v>449.8</v>
      </c>
    </row>
    <row r="44" spans="1:5" x14ac:dyDescent="0.25">
      <c r="A44" s="2">
        <v>45089</v>
      </c>
      <c r="B44" t="s">
        <v>26</v>
      </c>
      <c r="C44" t="s">
        <v>11</v>
      </c>
      <c r="D44">
        <v>13.06</v>
      </c>
      <c r="E44">
        <v>455.04</v>
      </c>
    </row>
    <row r="45" spans="1:5" x14ac:dyDescent="0.25">
      <c r="A45" s="2">
        <v>45090</v>
      </c>
      <c r="B45" t="s">
        <v>24</v>
      </c>
      <c r="C45" t="s">
        <v>15</v>
      </c>
      <c r="D45">
        <v>13.1</v>
      </c>
      <c r="E45">
        <v>456</v>
      </c>
    </row>
    <row r="46" spans="1:5" x14ac:dyDescent="0.25">
      <c r="A46" s="2">
        <v>45091</v>
      </c>
      <c r="B46" t="s">
        <v>21</v>
      </c>
      <c r="C46" t="s">
        <v>11</v>
      </c>
      <c r="D46">
        <v>13.16</v>
      </c>
      <c r="E46">
        <v>448.92</v>
      </c>
    </row>
    <row r="47" spans="1:5" x14ac:dyDescent="0.25">
      <c r="A47" s="2">
        <v>45091</v>
      </c>
      <c r="B47" t="s">
        <v>20</v>
      </c>
      <c r="C47" t="s">
        <v>8</v>
      </c>
      <c r="D47">
        <v>13.22</v>
      </c>
      <c r="E47">
        <v>436.37</v>
      </c>
    </row>
    <row r="48" spans="1:5" x14ac:dyDescent="0.25">
      <c r="A48" s="2">
        <v>45091</v>
      </c>
      <c r="B48" t="s">
        <v>20</v>
      </c>
      <c r="C48" t="s">
        <v>19</v>
      </c>
      <c r="D48">
        <v>13.01</v>
      </c>
      <c r="E48">
        <v>454.54</v>
      </c>
    </row>
    <row r="49" spans="1:6" x14ac:dyDescent="0.25">
      <c r="A49" s="2">
        <v>45090</v>
      </c>
      <c r="B49" t="s">
        <v>24</v>
      </c>
      <c r="C49" t="s">
        <v>11</v>
      </c>
      <c r="D49">
        <v>13.03</v>
      </c>
      <c r="E49">
        <v>399.06</v>
      </c>
      <c r="F49" t="s">
        <v>36</v>
      </c>
    </row>
    <row r="50" spans="1:6" x14ac:dyDescent="0.25">
      <c r="A50" s="2">
        <v>45090</v>
      </c>
      <c r="B50" t="s">
        <v>17</v>
      </c>
      <c r="C50" t="s">
        <v>8</v>
      </c>
      <c r="D50">
        <v>13.16</v>
      </c>
      <c r="E50">
        <v>447.96</v>
      </c>
    </row>
    <row r="51" spans="1:6" x14ac:dyDescent="0.25">
      <c r="A51" s="2">
        <v>45090</v>
      </c>
      <c r="B51" t="s">
        <v>28</v>
      </c>
      <c r="C51" t="s">
        <v>15</v>
      </c>
      <c r="D51">
        <v>13.16</v>
      </c>
      <c r="E51">
        <v>446.53</v>
      </c>
    </row>
    <row r="52" spans="1:6" x14ac:dyDescent="0.25">
      <c r="A52" s="2">
        <v>45090</v>
      </c>
      <c r="B52" t="s">
        <v>27</v>
      </c>
      <c r="C52" t="s">
        <v>16</v>
      </c>
      <c r="D52">
        <v>13.19</v>
      </c>
      <c r="E52">
        <v>453.95</v>
      </c>
    </row>
    <row r="53" spans="1:6" x14ac:dyDescent="0.25">
      <c r="A53" s="2">
        <v>45090</v>
      </c>
      <c r="B53" t="s">
        <v>24</v>
      </c>
      <c r="C53" t="s">
        <v>8</v>
      </c>
      <c r="D53">
        <v>13.28</v>
      </c>
      <c r="E53">
        <v>443.23</v>
      </c>
    </row>
    <row r="54" spans="1:6" x14ac:dyDescent="0.25">
      <c r="A54" s="2">
        <v>45090</v>
      </c>
      <c r="B54" t="s">
        <v>27</v>
      </c>
      <c r="C54" t="s">
        <v>19</v>
      </c>
      <c r="D54">
        <v>13.06</v>
      </c>
      <c r="E54">
        <v>456.14</v>
      </c>
    </row>
    <row r="55" spans="1:6" x14ac:dyDescent="0.25">
      <c r="A55" s="2">
        <v>45090</v>
      </c>
      <c r="B55" t="s">
        <v>18</v>
      </c>
      <c r="C55" t="s">
        <v>19</v>
      </c>
      <c r="D55">
        <v>13.11</v>
      </c>
      <c r="E55">
        <v>451.61</v>
      </c>
    </row>
    <row r="56" spans="1:6" x14ac:dyDescent="0.25">
      <c r="A56" s="2">
        <v>45090</v>
      </c>
      <c r="B56" t="s">
        <v>27</v>
      </c>
      <c r="C56" t="s">
        <v>8</v>
      </c>
      <c r="D56">
        <v>13.15</v>
      </c>
      <c r="E56">
        <v>451.62</v>
      </c>
    </row>
    <row r="57" spans="1:6" x14ac:dyDescent="0.25">
      <c r="A57" s="2">
        <v>45090</v>
      </c>
      <c r="B57" t="s">
        <v>29</v>
      </c>
      <c r="C57" t="s">
        <v>8</v>
      </c>
      <c r="D57">
        <v>13.17</v>
      </c>
      <c r="E57">
        <v>446.25</v>
      </c>
    </row>
    <row r="58" spans="1:6" x14ac:dyDescent="0.25">
      <c r="A58" s="2">
        <v>45089</v>
      </c>
      <c r="B58" t="s">
        <v>25</v>
      </c>
      <c r="C58" t="s">
        <v>8</v>
      </c>
      <c r="D58">
        <v>13.12</v>
      </c>
      <c r="E58">
        <v>458.11</v>
      </c>
    </row>
    <row r="59" spans="1:6" x14ac:dyDescent="0.25">
      <c r="A59" s="2">
        <v>45090</v>
      </c>
      <c r="B59" t="s">
        <v>29</v>
      </c>
      <c r="C59" t="s">
        <v>15</v>
      </c>
      <c r="D59">
        <v>13.17</v>
      </c>
      <c r="E59">
        <v>452.57</v>
      </c>
    </row>
    <row r="60" spans="1:6" x14ac:dyDescent="0.25">
      <c r="A60" s="2">
        <v>45091</v>
      </c>
      <c r="B60" t="s">
        <v>20</v>
      </c>
      <c r="C60" t="s">
        <v>11</v>
      </c>
      <c r="D60">
        <v>13.15</v>
      </c>
      <c r="E60">
        <v>448.31</v>
      </c>
    </row>
    <row r="61" spans="1:6" x14ac:dyDescent="0.25">
      <c r="A61" s="2">
        <v>45090</v>
      </c>
      <c r="B61" t="s">
        <v>14</v>
      </c>
      <c r="C61" t="s">
        <v>11</v>
      </c>
      <c r="D61">
        <v>13.06</v>
      </c>
      <c r="E61">
        <v>447.41</v>
      </c>
    </row>
    <row r="62" spans="1:6" x14ac:dyDescent="0.25">
      <c r="A62" s="2">
        <v>45090</v>
      </c>
      <c r="B62" t="s">
        <v>17</v>
      </c>
      <c r="C62" t="s">
        <v>11</v>
      </c>
      <c r="D62">
        <v>13.22</v>
      </c>
      <c r="E62">
        <v>455.29</v>
      </c>
    </row>
    <row r="63" spans="1:6" x14ac:dyDescent="0.25">
      <c r="A63" s="2">
        <v>45091</v>
      </c>
      <c r="B63" t="s">
        <v>20</v>
      </c>
      <c r="C63" t="s">
        <v>16</v>
      </c>
      <c r="D63">
        <v>13.09</v>
      </c>
      <c r="E63">
        <v>449.6</v>
      </c>
    </row>
    <row r="64" spans="1:6" x14ac:dyDescent="0.25">
      <c r="A64" s="2">
        <v>45090</v>
      </c>
      <c r="B64" t="s">
        <v>14</v>
      </c>
      <c r="C64" t="s">
        <v>19</v>
      </c>
      <c r="D64">
        <v>13.1</v>
      </c>
      <c r="E64">
        <v>449.92</v>
      </c>
    </row>
    <row r="65" spans="1:5" x14ac:dyDescent="0.25">
      <c r="A65" s="2">
        <v>45089</v>
      </c>
      <c r="B65" t="s">
        <v>25</v>
      </c>
      <c r="C65" t="s">
        <v>11</v>
      </c>
      <c r="D65">
        <v>13.15</v>
      </c>
      <c r="E65">
        <v>457.16</v>
      </c>
    </row>
    <row r="66" spans="1:5" x14ac:dyDescent="0.25">
      <c r="A66" s="2">
        <v>45090</v>
      </c>
      <c r="B66" t="s">
        <v>14</v>
      </c>
      <c r="C66" t="s">
        <v>16</v>
      </c>
      <c r="D66">
        <v>12.8</v>
      </c>
      <c r="E66">
        <v>448.22</v>
      </c>
    </row>
    <row r="67" spans="1:5" x14ac:dyDescent="0.25">
      <c r="A67" s="2">
        <v>45089</v>
      </c>
      <c r="B67" t="s">
        <v>30</v>
      </c>
      <c r="C67" t="s">
        <v>19</v>
      </c>
      <c r="D67">
        <v>12.83</v>
      </c>
      <c r="E67">
        <v>448.39</v>
      </c>
    </row>
    <row r="68" spans="1:5" x14ac:dyDescent="0.25">
      <c r="A68" s="2">
        <v>45089</v>
      </c>
      <c r="B68" t="s">
        <v>30</v>
      </c>
      <c r="C68" t="s">
        <v>8</v>
      </c>
      <c r="D68">
        <v>12.92</v>
      </c>
      <c r="E68">
        <v>448.23</v>
      </c>
    </row>
    <row r="69" spans="1:5" x14ac:dyDescent="0.25">
      <c r="A69" s="2">
        <v>45091</v>
      </c>
      <c r="B69" t="s">
        <v>10</v>
      </c>
      <c r="C69" t="s">
        <v>19</v>
      </c>
      <c r="D69">
        <v>12.94</v>
      </c>
      <c r="E69">
        <v>454.17</v>
      </c>
    </row>
    <row r="70" spans="1:5" x14ac:dyDescent="0.25">
      <c r="A70" s="2">
        <v>45090</v>
      </c>
      <c r="B70" t="s">
        <v>6</v>
      </c>
      <c r="C70" t="s">
        <v>8</v>
      </c>
      <c r="D70">
        <v>12.89</v>
      </c>
      <c r="E70">
        <v>449.37</v>
      </c>
    </row>
    <row r="71" spans="1:5" x14ac:dyDescent="0.25">
      <c r="A71" s="2">
        <v>45089</v>
      </c>
      <c r="B71" t="s">
        <v>30</v>
      </c>
      <c r="C71" t="s">
        <v>11</v>
      </c>
      <c r="D71">
        <v>12.87</v>
      </c>
      <c r="E71">
        <v>449.43</v>
      </c>
    </row>
    <row r="72" spans="1:5" x14ac:dyDescent="0.25">
      <c r="A72" s="2">
        <v>45090</v>
      </c>
      <c r="B72" t="s">
        <v>14</v>
      </c>
      <c r="C72" t="s">
        <v>8</v>
      </c>
      <c r="D72">
        <v>12.81</v>
      </c>
      <c r="E72">
        <v>452.83</v>
      </c>
    </row>
    <row r="73" spans="1:5" x14ac:dyDescent="0.25">
      <c r="A73" s="2">
        <v>45089</v>
      </c>
      <c r="B73" t="s">
        <v>31</v>
      </c>
      <c r="C73" t="s">
        <v>15</v>
      </c>
      <c r="D73">
        <v>12.73</v>
      </c>
      <c r="E73">
        <v>450.46</v>
      </c>
    </row>
    <row r="74" spans="1:5" x14ac:dyDescent="0.25">
      <c r="A74" s="2">
        <v>45089</v>
      </c>
      <c r="B74" t="s">
        <v>31</v>
      </c>
      <c r="C74" t="s">
        <v>8</v>
      </c>
      <c r="D74">
        <v>12.82</v>
      </c>
      <c r="E74">
        <v>451.29</v>
      </c>
    </row>
    <row r="75" spans="1:5" x14ac:dyDescent="0.25">
      <c r="A75" s="2">
        <v>45089</v>
      </c>
      <c r="B75" t="s">
        <v>31</v>
      </c>
      <c r="C75" t="s">
        <v>19</v>
      </c>
      <c r="D75">
        <v>12.81</v>
      </c>
      <c r="E75">
        <v>449.21</v>
      </c>
    </row>
    <row r="76" spans="1:5" x14ac:dyDescent="0.25">
      <c r="A76" s="2">
        <v>45089</v>
      </c>
      <c r="B76" t="s">
        <v>30</v>
      </c>
      <c r="C76" t="s">
        <v>16</v>
      </c>
      <c r="D76">
        <v>12.87</v>
      </c>
      <c r="E76">
        <v>449.72</v>
      </c>
    </row>
    <row r="77" spans="1:5" x14ac:dyDescent="0.25">
      <c r="A77" s="2">
        <v>45089</v>
      </c>
      <c r="B77" t="s">
        <v>31</v>
      </c>
      <c r="C77" t="s">
        <v>16</v>
      </c>
      <c r="D77">
        <v>12.89</v>
      </c>
      <c r="E77">
        <v>452.46</v>
      </c>
    </row>
    <row r="78" spans="1:5" x14ac:dyDescent="0.25">
      <c r="A78" s="2">
        <v>45089</v>
      </c>
      <c r="B78" t="s">
        <v>30</v>
      </c>
      <c r="C78" t="s">
        <v>15</v>
      </c>
      <c r="D78">
        <v>12.89</v>
      </c>
      <c r="E78">
        <v>453.72</v>
      </c>
    </row>
    <row r="79" spans="1:5" x14ac:dyDescent="0.25">
      <c r="A79" s="2">
        <v>45089</v>
      </c>
      <c r="B79" t="s">
        <v>7</v>
      </c>
      <c r="C79" t="s">
        <v>8</v>
      </c>
      <c r="D79">
        <v>12.94</v>
      </c>
      <c r="E79">
        <v>450.37</v>
      </c>
    </row>
    <row r="80" spans="1:5" x14ac:dyDescent="0.25">
      <c r="A80" s="2">
        <v>45091</v>
      </c>
      <c r="B80" t="s">
        <v>10</v>
      </c>
      <c r="C80" t="s">
        <v>8</v>
      </c>
      <c r="D80">
        <v>12.96</v>
      </c>
      <c r="E80">
        <v>448.95</v>
      </c>
    </row>
    <row r="81" spans="1:5" x14ac:dyDescent="0.25">
      <c r="A81" s="2">
        <v>45090</v>
      </c>
      <c r="B81" t="s">
        <v>29</v>
      </c>
      <c r="C81" t="s">
        <v>16</v>
      </c>
      <c r="D81">
        <v>12.95</v>
      </c>
      <c r="E81">
        <v>453.03</v>
      </c>
    </row>
    <row r="82" spans="1:5" x14ac:dyDescent="0.25">
      <c r="A82" s="2">
        <v>45089</v>
      </c>
      <c r="B82" t="s">
        <v>31</v>
      </c>
      <c r="C82" t="s">
        <v>11</v>
      </c>
      <c r="D82">
        <v>13</v>
      </c>
      <c r="E82">
        <v>446.36</v>
      </c>
    </row>
    <row r="83" spans="1:5" x14ac:dyDescent="0.25">
      <c r="A83" s="2">
        <v>45090</v>
      </c>
      <c r="B83" t="s">
        <v>22</v>
      </c>
      <c r="C83" t="s">
        <v>8</v>
      </c>
      <c r="D83">
        <v>13</v>
      </c>
      <c r="E83">
        <v>449.28</v>
      </c>
    </row>
    <row r="84" spans="1:5" x14ac:dyDescent="0.25">
      <c r="A84" s="2">
        <v>45090</v>
      </c>
      <c r="B84" t="s">
        <v>28</v>
      </c>
      <c r="C84" t="s">
        <v>11</v>
      </c>
      <c r="D84">
        <v>12.98</v>
      </c>
      <c r="E84">
        <v>448.42</v>
      </c>
    </row>
    <row r="85" spans="1:5" x14ac:dyDescent="0.25">
      <c r="A85" s="2">
        <v>45090</v>
      </c>
      <c r="B85" t="s">
        <v>27</v>
      </c>
      <c r="C85" t="s">
        <v>11</v>
      </c>
      <c r="D85">
        <v>12.94</v>
      </c>
      <c r="E85">
        <v>453.16</v>
      </c>
    </row>
    <row r="86" spans="1:5" x14ac:dyDescent="0.25">
      <c r="A86" s="2">
        <v>45091</v>
      </c>
      <c r="B86" t="s">
        <v>20</v>
      </c>
      <c r="C86" t="s">
        <v>15</v>
      </c>
      <c r="D86">
        <v>13.02</v>
      </c>
      <c r="E86">
        <v>449.52</v>
      </c>
    </row>
    <row r="87" spans="1:5" x14ac:dyDescent="0.25">
      <c r="A87" s="2">
        <v>45090</v>
      </c>
      <c r="B87" t="s">
        <v>28</v>
      </c>
      <c r="C87" t="s">
        <v>19</v>
      </c>
      <c r="D87">
        <v>12.99</v>
      </c>
      <c r="E87">
        <v>450.71</v>
      </c>
    </row>
    <row r="88" spans="1:5" x14ac:dyDescent="0.25">
      <c r="A88" s="2">
        <v>45090</v>
      </c>
      <c r="B88" t="s">
        <v>29</v>
      </c>
      <c r="C88" t="s">
        <v>19</v>
      </c>
      <c r="D88">
        <v>12.92</v>
      </c>
      <c r="E88">
        <v>452.6</v>
      </c>
    </row>
    <row r="89" spans="1:5" x14ac:dyDescent="0.25">
      <c r="A89" s="2">
        <v>45090</v>
      </c>
      <c r="B89" t="s">
        <v>17</v>
      </c>
      <c r="C89" t="s">
        <v>16</v>
      </c>
      <c r="D89">
        <v>12.82</v>
      </c>
      <c r="E89">
        <v>450.07</v>
      </c>
    </row>
    <row r="90" spans="1:5" x14ac:dyDescent="0.25">
      <c r="A90" s="2">
        <v>45089</v>
      </c>
      <c r="B90" t="s">
        <v>26</v>
      </c>
      <c r="C90" t="s">
        <v>8</v>
      </c>
      <c r="D90">
        <v>12.95</v>
      </c>
      <c r="E90">
        <v>448.76</v>
      </c>
    </row>
    <row r="91" spans="1:5" x14ac:dyDescent="0.25">
      <c r="A91" s="2">
        <v>45090</v>
      </c>
      <c r="B91" t="s">
        <v>28</v>
      </c>
      <c r="C91" t="s">
        <v>8</v>
      </c>
      <c r="D91">
        <v>12.83</v>
      </c>
      <c r="E91">
        <v>447.49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62E41-8C31-42AE-973E-397898FC5139}">
  <dimension ref="A1:K91"/>
  <sheetViews>
    <sheetView zoomScale="94" workbookViewId="0">
      <pane ySplit="1" topLeftCell="A2" activePane="bottomLeft" state="frozen"/>
      <selection pane="bottomLeft" activeCell="J2" sqref="J2:J91"/>
    </sheetView>
  </sheetViews>
  <sheetFormatPr defaultRowHeight="15" x14ac:dyDescent="0.25"/>
  <cols>
    <col min="1" max="1" width="11.7109375" customWidth="1"/>
    <col min="4" max="4" width="16.42578125" bestFit="1" customWidth="1"/>
    <col min="5" max="5" width="16.7109375" customWidth="1"/>
    <col min="6" max="6" width="10.42578125" style="1" customWidth="1"/>
    <col min="7" max="7" width="11.7109375" customWidth="1"/>
    <col min="8" max="8" width="13.140625" bestFit="1" customWidth="1"/>
    <col min="9" max="9" width="17.28515625" customWidth="1"/>
    <col min="10" max="10" width="20.140625" customWidth="1"/>
    <col min="11" max="11" width="17.28515625" customWidth="1"/>
  </cols>
  <sheetData>
    <row r="1" spans="1:11" ht="30" x14ac:dyDescent="0.25">
      <c r="A1" s="3" t="s">
        <v>9</v>
      </c>
      <c r="B1" s="3" t="s">
        <v>3</v>
      </c>
      <c r="C1" s="3" t="s">
        <v>0</v>
      </c>
      <c r="D1" s="3" t="s">
        <v>32</v>
      </c>
      <c r="E1" s="3" t="s">
        <v>33</v>
      </c>
      <c r="F1" s="3" t="s">
        <v>35</v>
      </c>
      <c r="G1" s="3" t="s">
        <v>42</v>
      </c>
      <c r="H1" s="3" t="s">
        <v>40</v>
      </c>
      <c r="I1" s="3" t="s">
        <v>41</v>
      </c>
      <c r="J1" s="3" t="s">
        <v>38</v>
      </c>
      <c r="K1" s="3" t="s">
        <v>39</v>
      </c>
    </row>
    <row r="2" spans="1:11" x14ac:dyDescent="0.25">
      <c r="A2" s="2">
        <v>45090</v>
      </c>
      <c r="B2" t="s">
        <v>6</v>
      </c>
      <c r="C2" t="s">
        <v>16</v>
      </c>
      <c r="D2">
        <v>13.1</v>
      </c>
      <c r="E2">
        <v>450.12</v>
      </c>
      <c r="G2" s="2">
        <v>45100</v>
      </c>
      <c r="H2">
        <v>12.5</v>
      </c>
      <c r="I2">
        <v>661.77</v>
      </c>
      <c r="J2">
        <f>I2-H2</f>
        <v>649.27</v>
      </c>
    </row>
    <row r="3" spans="1:11" x14ac:dyDescent="0.25">
      <c r="A3" s="2">
        <v>45090</v>
      </c>
      <c r="B3" t="s">
        <v>6</v>
      </c>
      <c r="C3" t="s">
        <v>8</v>
      </c>
      <c r="D3">
        <v>12.89</v>
      </c>
      <c r="E3">
        <v>449.37</v>
      </c>
      <c r="G3" s="2">
        <v>45099</v>
      </c>
      <c r="H3">
        <v>13.08</v>
      </c>
      <c r="I3">
        <v>579.73</v>
      </c>
      <c r="J3">
        <f t="shared" ref="J3:J66" si="0">I3-H3</f>
        <v>566.65</v>
      </c>
    </row>
    <row r="4" spans="1:11" x14ac:dyDescent="0.25">
      <c r="A4" s="2">
        <v>45090</v>
      </c>
      <c r="B4" t="s">
        <v>6</v>
      </c>
      <c r="C4" t="s">
        <v>15</v>
      </c>
      <c r="D4">
        <v>12.94</v>
      </c>
      <c r="E4">
        <v>380.23</v>
      </c>
      <c r="G4" s="2">
        <v>45100</v>
      </c>
      <c r="H4">
        <v>12.28</v>
      </c>
      <c r="I4">
        <v>581.89</v>
      </c>
      <c r="J4">
        <f t="shared" si="0"/>
        <v>569.61</v>
      </c>
    </row>
    <row r="5" spans="1:11" x14ac:dyDescent="0.25">
      <c r="A5" s="2">
        <v>45090</v>
      </c>
      <c r="B5" t="s">
        <v>6</v>
      </c>
      <c r="C5" t="s">
        <v>11</v>
      </c>
      <c r="D5">
        <v>12.91</v>
      </c>
      <c r="E5">
        <v>369.67</v>
      </c>
      <c r="G5" s="2">
        <v>45100</v>
      </c>
      <c r="H5">
        <v>13.16</v>
      </c>
      <c r="I5">
        <v>537.84</v>
      </c>
      <c r="J5">
        <f t="shared" si="0"/>
        <v>524.68000000000006</v>
      </c>
    </row>
    <row r="6" spans="1:11" x14ac:dyDescent="0.25">
      <c r="A6" s="2">
        <v>45090</v>
      </c>
      <c r="B6" t="s">
        <v>6</v>
      </c>
      <c r="C6" t="s">
        <v>19</v>
      </c>
      <c r="D6">
        <v>12.72</v>
      </c>
      <c r="E6">
        <v>416.82</v>
      </c>
      <c r="G6" s="2">
        <v>45099</v>
      </c>
      <c r="H6">
        <v>11.51</v>
      </c>
      <c r="I6">
        <v>375.23</v>
      </c>
      <c r="J6">
        <f t="shared" si="0"/>
        <v>363.72</v>
      </c>
    </row>
    <row r="7" spans="1:11" x14ac:dyDescent="0.25">
      <c r="A7" s="2">
        <v>45090</v>
      </c>
      <c r="B7" t="s">
        <v>22</v>
      </c>
      <c r="C7" t="s">
        <v>16</v>
      </c>
      <c r="D7">
        <v>12.88</v>
      </c>
      <c r="E7">
        <v>380.33</v>
      </c>
      <c r="G7" s="2">
        <v>45100</v>
      </c>
      <c r="H7">
        <v>12.22</v>
      </c>
      <c r="I7">
        <v>326.02999999999997</v>
      </c>
      <c r="J7">
        <f t="shared" si="0"/>
        <v>313.80999999999995</v>
      </c>
    </row>
    <row r="8" spans="1:11" x14ac:dyDescent="0.25">
      <c r="A8" s="2">
        <v>45090</v>
      </c>
      <c r="B8" t="s">
        <v>22</v>
      </c>
      <c r="C8" t="s">
        <v>8</v>
      </c>
      <c r="D8">
        <v>13</v>
      </c>
      <c r="E8">
        <v>449.28</v>
      </c>
      <c r="G8" s="2">
        <v>45098</v>
      </c>
      <c r="H8">
        <v>0</v>
      </c>
      <c r="I8">
        <v>395.56</v>
      </c>
      <c r="J8">
        <f t="shared" si="0"/>
        <v>395.56</v>
      </c>
    </row>
    <row r="9" spans="1:11" x14ac:dyDescent="0.25">
      <c r="A9" s="2">
        <v>45090</v>
      </c>
      <c r="B9" t="s">
        <v>22</v>
      </c>
      <c r="C9" t="s">
        <v>15</v>
      </c>
      <c r="D9">
        <v>13.1</v>
      </c>
      <c r="E9">
        <v>354.25</v>
      </c>
      <c r="G9" s="2">
        <v>45100</v>
      </c>
      <c r="H9">
        <v>11.42</v>
      </c>
      <c r="I9">
        <v>443.15</v>
      </c>
      <c r="J9">
        <f t="shared" si="0"/>
        <v>431.72999999999996</v>
      </c>
    </row>
    <row r="10" spans="1:11" x14ac:dyDescent="0.25">
      <c r="A10" s="2">
        <v>45090</v>
      </c>
      <c r="B10" t="s">
        <v>22</v>
      </c>
      <c r="C10" t="s">
        <v>11</v>
      </c>
      <c r="D10">
        <v>13.05</v>
      </c>
      <c r="E10">
        <v>356.24</v>
      </c>
      <c r="G10" s="2">
        <v>45100</v>
      </c>
      <c r="H10">
        <v>12.33</v>
      </c>
      <c r="I10">
        <v>516.25</v>
      </c>
      <c r="J10">
        <f t="shared" si="0"/>
        <v>503.92</v>
      </c>
    </row>
    <row r="11" spans="1:11" x14ac:dyDescent="0.25">
      <c r="A11" s="2">
        <v>45090</v>
      </c>
      <c r="B11" t="s">
        <v>22</v>
      </c>
      <c r="C11" t="s">
        <v>19</v>
      </c>
      <c r="D11">
        <v>12.94</v>
      </c>
      <c r="E11">
        <v>448.27</v>
      </c>
      <c r="G11" s="2">
        <v>45099</v>
      </c>
      <c r="H11">
        <v>12.91</v>
      </c>
      <c r="I11">
        <v>816.66</v>
      </c>
      <c r="J11">
        <f t="shared" si="0"/>
        <v>803.75</v>
      </c>
    </row>
    <row r="12" spans="1:11" x14ac:dyDescent="0.25">
      <c r="A12" s="2">
        <v>45090</v>
      </c>
      <c r="B12" t="s">
        <v>29</v>
      </c>
      <c r="C12" t="s">
        <v>16</v>
      </c>
      <c r="D12">
        <v>12.95</v>
      </c>
      <c r="E12">
        <v>453.03</v>
      </c>
      <c r="G12" s="2">
        <v>45098</v>
      </c>
      <c r="H12">
        <v>0</v>
      </c>
      <c r="I12">
        <v>286.45999999999998</v>
      </c>
      <c r="J12">
        <f t="shared" si="0"/>
        <v>286.45999999999998</v>
      </c>
    </row>
    <row r="13" spans="1:11" x14ac:dyDescent="0.25">
      <c r="A13" s="2">
        <v>45090</v>
      </c>
      <c r="B13" t="s">
        <v>29</v>
      </c>
      <c r="C13" t="s">
        <v>8</v>
      </c>
      <c r="D13">
        <v>13.17</v>
      </c>
      <c r="E13">
        <v>446.25</v>
      </c>
      <c r="G13" s="2">
        <v>45099</v>
      </c>
      <c r="H13">
        <v>11.62</v>
      </c>
      <c r="I13">
        <v>561.64</v>
      </c>
      <c r="J13">
        <f t="shared" si="0"/>
        <v>550.02</v>
      </c>
    </row>
    <row r="14" spans="1:11" x14ac:dyDescent="0.25">
      <c r="A14" s="2">
        <v>45090</v>
      </c>
      <c r="B14" t="s">
        <v>29</v>
      </c>
      <c r="C14" t="s">
        <v>15</v>
      </c>
      <c r="D14">
        <v>13.17</v>
      </c>
      <c r="E14">
        <v>452.57</v>
      </c>
      <c r="G14" s="2">
        <v>45099</v>
      </c>
      <c r="H14">
        <v>12.6</v>
      </c>
      <c r="I14">
        <v>430.78</v>
      </c>
      <c r="J14">
        <f t="shared" si="0"/>
        <v>418.17999999999995</v>
      </c>
    </row>
    <row r="15" spans="1:11" x14ac:dyDescent="0.25">
      <c r="A15" s="2">
        <v>45090</v>
      </c>
      <c r="B15" t="s">
        <v>29</v>
      </c>
      <c r="C15" t="s">
        <v>11</v>
      </c>
      <c r="D15">
        <v>13.08</v>
      </c>
      <c r="E15">
        <v>440.47</v>
      </c>
      <c r="G15" s="2">
        <v>45099</v>
      </c>
      <c r="H15">
        <v>11.11</v>
      </c>
      <c r="I15">
        <v>416.66</v>
      </c>
      <c r="J15">
        <f t="shared" si="0"/>
        <v>405.55</v>
      </c>
    </row>
    <row r="16" spans="1:11" x14ac:dyDescent="0.25">
      <c r="A16" s="2">
        <v>45090</v>
      </c>
      <c r="B16" t="s">
        <v>29</v>
      </c>
      <c r="C16" t="s">
        <v>19</v>
      </c>
      <c r="D16">
        <v>12.92</v>
      </c>
      <c r="E16">
        <v>452.6</v>
      </c>
      <c r="G16" s="2">
        <v>45099</v>
      </c>
      <c r="H16">
        <v>11.64</v>
      </c>
      <c r="I16">
        <v>390.65</v>
      </c>
      <c r="J16">
        <f t="shared" si="0"/>
        <v>379.01</v>
      </c>
    </row>
    <row r="17" spans="1:10" x14ac:dyDescent="0.25">
      <c r="A17" s="2">
        <v>45090</v>
      </c>
      <c r="B17" t="s">
        <v>17</v>
      </c>
      <c r="C17" t="s">
        <v>16</v>
      </c>
      <c r="D17">
        <v>12.82</v>
      </c>
      <c r="E17">
        <v>450.07</v>
      </c>
      <c r="G17" s="2">
        <v>45098</v>
      </c>
      <c r="H17">
        <v>10.87</v>
      </c>
      <c r="I17">
        <v>360.2</v>
      </c>
      <c r="J17">
        <f t="shared" si="0"/>
        <v>349.33</v>
      </c>
    </row>
    <row r="18" spans="1:10" x14ac:dyDescent="0.25">
      <c r="A18" s="2">
        <v>45090</v>
      </c>
      <c r="B18" t="s">
        <v>17</v>
      </c>
      <c r="C18" t="s">
        <v>8</v>
      </c>
      <c r="D18">
        <v>13.16</v>
      </c>
      <c r="E18">
        <v>447.96</v>
      </c>
      <c r="G18" s="2">
        <v>45100</v>
      </c>
      <c r="H18">
        <v>11.88</v>
      </c>
      <c r="I18">
        <v>361.74</v>
      </c>
      <c r="J18">
        <f t="shared" si="0"/>
        <v>349.86</v>
      </c>
    </row>
    <row r="19" spans="1:10" x14ac:dyDescent="0.25">
      <c r="A19" s="2">
        <v>45090</v>
      </c>
      <c r="B19" t="s">
        <v>17</v>
      </c>
      <c r="C19" t="s">
        <v>15</v>
      </c>
      <c r="D19">
        <v>12.86</v>
      </c>
      <c r="E19">
        <v>452.52</v>
      </c>
      <c r="G19" s="2">
        <v>45100</v>
      </c>
      <c r="H19">
        <v>15.35</v>
      </c>
      <c r="I19">
        <v>374.98</v>
      </c>
      <c r="J19">
        <f t="shared" si="0"/>
        <v>359.63</v>
      </c>
    </row>
    <row r="20" spans="1:10" x14ac:dyDescent="0.25">
      <c r="A20" s="2">
        <v>45090</v>
      </c>
      <c r="B20" t="s">
        <v>17</v>
      </c>
      <c r="C20" t="s">
        <v>11</v>
      </c>
      <c r="D20">
        <v>13.22</v>
      </c>
      <c r="E20">
        <v>455.29</v>
      </c>
      <c r="G20" s="2">
        <v>45098</v>
      </c>
      <c r="H20">
        <v>10.81</v>
      </c>
      <c r="I20">
        <v>441.76</v>
      </c>
      <c r="J20">
        <f t="shared" si="0"/>
        <v>430.95</v>
      </c>
    </row>
    <row r="21" spans="1:10" x14ac:dyDescent="0.25">
      <c r="A21" s="2">
        <v>45090</v>
      </c>
      <c r="B21" t="s">
        <v>17</v>
      </c>
      <c r="C21" t="s">
        <v>19</v>
      </c>
      <c r="D21">
        <v>13.13</v>
      </c>
      <c r="E21">
        <v>449.8</v>
      </c>
      <c r="G21" s="2">
        <v>45100</v>
      </c>
      <c r="H21">
        <v>11.05</v>
      </c>
      <c r="I21">
        <v>295.77999999999997</v>
      </c>
      <c r="J21">
        <f t="shared" si="0"/>
        <v>284.72999999999996</v>
      </c>
    </row>
    <row r="22" spans="1:10" x14ac:dyDescent="0.25">
      <c r="A22" s="2">
        <v>45091</v>
      </c>
      <c r="B22" t="s">
        <v>21</v>
      </c>
      <c r="C22" t="s">
        <v>16</v>
      </c>
      <c r="D22">
        <v>12.83</v>
      </c>
      <c r="E22">
        <v>371.54</v>
      </c>
      <c r="G22" s="2">
        <v>45100</v>
      </c>
      <c r="H22">
        <v>11.73</v>
      </c>
      <c r="I22">
        <v>341.84</v>
      </c>
      <c r="J22">
        <f t="shared" si="0"/>
        <v>330.10999999999996</v>
      </c>
    </row>
    <row r="23" spans="1:10" x14ac:dyDescent="0.25">
      <c r="A23" s="2">
        <v>45091</v>
      </c>
      <c r="B23" t="s">
        <v>21</v>
      </c>
      <c r="C23" t="s">
        <v>8</v>
      </c>
      <c r="D23">
        <v>12.9</v>
      </c>
      <c r="E23">
        <v>456.51</v>
      </c>
      <c r="G23" s="2">
        <v>45100</v>
      </c>
      <c r="H23">
        <v>11.21</v>
      </c>
      <c r="I23">
        <v>501.92</v>
      </c>
      <c r="J23">
        <f t="shared" si="0"/>
        <v>490.71000000000004</v>
      </c>
    </row>
    <row r="24" spans="1:10" x14ac:dyDescent="0.25">
      <c r="A24" s="2">
        <v>45091</v>
      </c>
      <c r="B24" t="s">
        <v>21</v>
      </c>
      <c r="C24" t="s">
        <v>15</v>
      </c>
      <c r="D24">
        <v>12.96</v>
      </c>
      <c r="E24">
        <v>450.57</v>
      </c>
      <c r="G24" s="2">
        <v>45100</v>
      </c>
      <c r="H24">
        <v>11.58</v>
      </c>
      <c r="I24">
        <v>504.93</v>
      </c>
      <c r="J24">
        <f t="shared" si="0"/>
        <v>493.35</v>
      </c>
    </row>
    <row r="25" spans="1:10" x14ac:dyDescent="0.25">
      <c r="A25" s="2">
        <v>45091</v>
      </c>
      <c r="B25" t="s">
        <v>21</v>
      </c>
      <c r="C25" t="s">
        <v>11</v>
      </c>
      <c r="D25">
        <v>13.16</v>
      </c>
      <c r="E25">
        <v>448.92</v>
      </c>
      <c r="G25" s="2">
        <v>45100</v>
      </c>
      <c r="H25">
        <v>11.41</v>
      </c>
      <c r="I25">
        <v>580.09</v>
      </c>
      <c r="J25">
        <f t="shared" si="0"/>
        <v>568.68000000000006</v>
      </c>
    </row>
    <row r="26" spans="1:10" x14ac:dyDescent="0.25">
      <c r="A26" s="2">
        <v>45091</v>
      </c>
      <c r="B26" t="s">
        <v>21</v>
      </c>
      <c r="C26" t="s">
        <v>19</v>
      </c>
      <c r="D26">
        <v>12.8</v>
      </c>
      <c r="E26">
        <v>467.43</v>
      </c>
      <c r="G26" s="2">
        <v>45100</v>
      </c>
      <c r="H26">
        <v>11.49</v>
      </c>
      <c r="I26">
        <v>377.9</v>
      </c>
      <c r="J26">
        <f t="shared" si="0"/>
        <v>366.40999999999997</v>
      </c>
    </row>
    <row r="27" spans="1:10" x14ac:dyDescent="0.25">
      <c r="A27" s="2">
        <v>45091</v>
      </c>
      <c r="B27" t="s">
        <v>10</v>
      </c>
      <c r="C27" t="s">
        <v>16</v>
      </c>
      <c r="D27">
        <v>12.93</v>
      </c>
      <c r="E27">
        <v>406.82</v>
      </c>
      <c r="G27" s="2">
        <v>45100</v>
      </c>
      <c r="H27">
        <v>10.44</v>
      </c>
      <c r="I27">
        <v>312.56</v>
      </c>
      <c r="J27">
        <f t="shared" si="0"/>
        <v>302.12</v>
      </c>
    </row>
    <row r="28" spans="1:10" x14ac:dyDescent="0.25">
      <c r="A28" s="2">
        <v>45091</v>
      </c>
      <c r="B28" t="s">
        <v>10</v>
      </c>
      <c r="C28" t="s">
        <v>8</v>
      </c>
      <c r="D28">
        <v>12.96</v>
      </c>
      <c r="E28">
        <v>448.95</v>
      </c>
      <c r="G28" s="2">
        <v>45098</v>
      </c>
      <c r="H28">
        <v>10.210000000000001</v>
      </c>
      <c r="I28">
        <v>341.42</v>
      </c>
      <c r="J28">
        <f t="shared" si="0"/>
        <v>331.21000000000004</v>
      </c>
    </row>
    <row r="29" spans="1:10" x14ac:dyDescent="0.25">
      <c r="A29" s="2">
        <v>45091</v>
      </c>
      <c r="B29" t="s">
        <v>10</v>
      </c>
      <c r="C29" t="s">
        <v>15</v>
      </c>
      <c r="D29">
        <v>12.93</v>
      </c>
      <c r="E29">
        <v>398.29</v>
      </c>
      <c r="G29" s="2">
        <v>45100</v>
      </c>
      <c r="H29">
        <v>11.33</v>
      </c>
      <c r="I29">
        <v>391.51</v>
      </c>
      <c r="J29">
        <f t="shared" si="0"/>
        <v>380.18</v>
      </c>
    </row>
    <row r="30" spans="1:10" x14ac:dyDescent="0.25">
      <c r="A30" s="2">
        <v>45091</v>
      </c>
      <c r="B30" t="s">
        <v>10</v>
      </c>
      <c r="C30" t="s">
        <v>11</v>
      </c>
      <c r="D30">
        <v>12.95</v>
      </c>
      <c r="E30">
        <v>399.32</v>
      </c>
      <c r="G30" s="2">
        <v>45100</v>
      </c>
      <c r="H30">
        <v>11.07</v>
      </c>
      <c r="I30">
        <v>543.66999999999996</v>
      </c>
      <c r="J30">
        <f t="shared" si="0"/>
        <v>532.59999999999991</v>
      </c>
    </row>
    <row r="31" spans="1:10" x14ac:dyDescent="0.25">
      <c r="A31" s="2">
        <v>45091</v>
      </c>
      <c r="B31" t="s">
        <v>10</v>
      </c>
      <c r="C31" t="s">
        <v>19</v>
      </c>
      <c r="D31">
        <v>12.94</v>
      </c>
      <c r="E31">
        <v>454.17</v>
      </c>
      <c r="G31" s="2">
        <v>45098</v>
      </c>
      <c r="H31">
        <v>10.57</v>
      </c>
      <c r="I31">
        <v>434.42</v>
      </c>
      <c r="J31">
        <f t="shared" si="0"/>
        <v>423.85</v>
      </c>
    </row>
    <row r="32" spans="1:10" x14ac:dyDescent="0.25">
      <c r="A32" s="2">
        <v>45089</v>
      </c>
      <c r="B32" t="s">
        <v>7</v>
      </c>
      <c r="C32" t="s">
        <v>16</v>
      </c>
      <c r="D32">
        <v>12.79</v>
      </c>
      <c r="E32">
        <v>443.59</v>
      </c>
      <c r="G32" s="2">
        <v>45100</v>
      </c>
      <c r="H32">
        <v>10.210000000000001</v>
      </c>
      <c r="I32">
        <v>259.54000000000002</v>
      </c>
      <c r="J32">
        <f t="shared" si="0"/>
        <v>249.33</v>
      </c>
    </row>
    <row r="33" spans="1:10" x14ac:dyDescent="0.25">
      <c r="A33" s="2">
        <v>45089</v>
      </c>
      <c r="B33" t="s">
        <v>7</v>
      </c>
      <c r="C33" t="s">
        <v>8</v>
      </c>
      <c r="D33">
        <v>12.94</v>
      </c>
      <c r="E33">
        <v>450.37</v>
      </c>
      <c r="G33" s="2">
        <v>45099</v>
      </c>
      <c r="H33">
        <v>12.2</v>
      </c>
      <c r="I33">
        <v>386.14</v>
      </c>
      <c r="J33">
        <f t="shared" si="0"/>
        <v>373.94</v>
      </c>
    </row>
    <row r="34" spans="1:10" x14ac:dyDescent="0.25">
      <c r="A34" s="2">
        <v>45089</v>
      </c>
      <c r="B34" t="s">
        <v>7</v>
      </c>
      <c r="C34" t="s">
        <v>15</v>
      </c>
      <c r="D34">
        <v>12.87</v>
      </c>
      <c r="E34">
        <v>489.57</v>
      </c>
      <c r="G34" s="2">
        <v>45100</v>
      </c>
      <c r="H34">
        <v>12.36</v>
      </c>
      <c r="I34">
        <v>673.15</v>
      </c>
      <c r="J34">
        <f t="shared" si="0"/>
        <v>660.79</v>
      </c>
    </row>
    <row r="35" spans="1:10" x14ac:dyDescent="0.25">
      <c r="A35" s="2">
        <v>45089</v>
      </c>
      <c r="B35" t="s">
        <v>7</v>
      </c>
      <c r="C35" t="s">
        <v>11</v>
      </c>
      <c r="D35">
        <v>12.88</v>
      </c>
      <c r="E35">
        <v>455.24</v>
      </c>
      <c r="G35" s="2">
        <v>45100</v>
      </c>
      <c r="H35">
        <v>11.1</v>
      </c>
      <c r="I35">
        <v>416.29</v>
      </c>
      <c r="J35">
        <f t="shared" si="0"/>
        <v>405.19</v>
      </c>
    </row>
    <row r="36" spans="1:10" x14ac:dyDescent="0.25">
      <c r="A36" s="2">
        <v>45089</v>
      </c>
      <c r="B36" t="s">
        <v>7</v>
      </c>
      <c r="C36" t="s">
        <v>19</v>
      </c>
      <c r="D36">
        <v>12.73</v>
      </c>
      <c r="E36">
        <v>451.66</v>
      </c>
      <c r="G36" s="2">
        <v>45100</v>
      </c>
      <c r="H36">
        <v>10.45</v>
      </c>
      <c r="I36">
        <v>406.95</v>
      </c>
      <c r="J36">
        <f t="shared" si="0"/>
        <v>396.5</v>
      </c>
    </row>
    <row r="37" spans="1:10" x14ac:dyDescent="0.25">
      <c r="A37" s="2">
        <v>45091</v>
      </c>
      <c r="B37" t="s">
        <v>18</v>
      </c>
      <c r="C37" t="s">
        <v>16</v>
      </c>
      <c r="D37">
        <v>12.85</v>
      </c>
      <c r="E37">
        <v>367.45</v>
      </c>
      <c r="G37" s="2">
        <v>45100</v>
      </c>
      <c r="H37">
        <v>10.58</v>
      </c>
      <c r="I37">
        <v>230.1</v>
      </c>
      <c r="J37">
        <f t="shared" si="0"/>
        <v>219.51999999999998</v>
      </c>
    </row>
    <row r="38" spans="1:10" x14ac:dyDescent="0.25">
      <c r="A38" s="2">
        <v>45090</v>
      </c>
      <c r="B38" t="s">
        <v>18</v>
      </c>
      <c r="C38" t="s">
        <v>8</v>
      </c>
      <c r="D38">
        <v>12.99</v>
      </c>
      <c r="E38">
        <v>461.23</v>
      </c>
      <c r="G38" s="2">
        <v>45100</v>
      </c>
      <c r="H38">
        <v>11.82</v>
      </c>
      <c r="I38">
        <v>289.32</v>
      </c>
      <c r="J38">
        <f t="shared" si="0"/>
        <v>277.5</v>
      </c>
    </row>
    <row r="39" spans="1:10" x14ac:dyDescent="0.25">
      <c r="A39" s="2">
        <v>45091</v>
      </c>
      <c r="B39" t="s">
        <v>18</v>
      </c>
      <c r="C39" t="s">
        <v>15</v>
      </c>
      <c r="D39">
        <v>12.85</v>
      </c>
      <c r="E39">
        <v>482.4</v>
      </c>
      <c r="G39" s="2">
        <v>45100</v>
      </c>
      <c r="H39">
        <v>9.83</v>
      </c>
      <c r="I39">
        <v>683.72</v>
      </c>
      <c r="J39">
        <f t="shared" si="0"/>
        <v>673.89</v>
      </c>
    </row>
    <row r="40" spans="1:10" x14ac:dyDescent="0.25">
      <c r="A40" s="2">
        <v>45090</v>
      </c>
      <c r="B40" t="s">
        <v>18</v>
      </c>
      <c r="C40" t="s">
        <v>11</v>
      </c>
      <c r="D40">
        <v>12.94</v>
      </c>
      <c r="E40">
        <v>451.63</v>
      </c>
      <c r="G40" s="2">
        <v>45100</v>
      </c>
      <c r="H40">
        <v>11.27</v>
      </c>
      <c r="I40">
        <v>589.48</v>
      </c>
      <c r="J40">
        <f t="shared" si="0"/>
        <v>578.21</v>
      </c>
    </row>
    <row r="41" spans="1:10" x14ac:dyDescent="0.25">
      <c r="A41" s="2">
        <v>45090</v>
      </c>
      <c r="B41" t="s">
        <v>18</v>
      </c>
      <c r="C41" t="s">
        <v>19</v>
      </c>
      <c r="D41">
        <v>13.11</v>
      </c>
      <c r="E41">
        <v>451.61</v>
      </c>
      <c r="G41" s="2">
        <v>45100</v>
      </c>
      <c r="H41">
        <v>10.32</v>
      </c>
      <c r="I41">
        <v>312.01</v>
      </c>
      <c r="J41">
        <f t="shared" si="0"/>
        <v>301.69</v>
      </c>
    </row>
    <row r="42" spans="1:10" x14ac:dyDescent="0.25">
      <c r="A42" s="2">
        <v>45090</v>
      </c>
      <c r="B42" t="s">
        <v>24</v>
      </c>
      <c r="C42" t="s">
        <v>16</v>
      </c>
      <c r="D42">
        <v>12.97</v>
      </c>
      <c r="E42">
        <v>446.81</v>
      </c>
      <c r="G42" s="2">
        <v>45100</v>
      </c>
      <c r="H42">
        <v>11.11</v>
      </c>
      <c r="I42">
        <v>365.16</v>
      </c>
      <c r="J42">
        <f t="shared" si="0"/>
        <v>354.05</v>
      </c>
    </row>
    <row r="43" spans="1:10" x14ac:dyDescent="0.25">
      <c r="A43" s="2">
        <v>45090</v>
      </c>
      <c r="B43" t="s">
        <v>24</v>
      </c>
      <c r="C43" t="s">
        <v>8</v>
      </c>
      <c r="D43">
        <v>13.28</v>
      </c>
      <c r="E43">
        <v>443.23</v>
      </c>
      <c r="G43" s="2">
        <v>45099</v>
      </c>
      <c r="H43">
        <v>10.71</v>
      </c>
      <c r="I43">
        <v>401.11</v>
      </c>
      <c r="J43">
        <f t="shared" si="0"/>
        <v>390.40000000000003</v>
      </c>
    </row>
    <row r="44" spans="1:10" x14ac:dyDescent="0.25">
      <c r="A44" s="2">
        <v>45090</v>
      </c>
      <c r="B44" t="s">
        <v>24</v>
      </c>
      <c r="C44" t="s">
        <v>15</v>
      </c>
      <c r="D44">
        <v>13.1</v>
      </c>
      <c r="E44">
        <v>456</v>
      </c>
      <c r="G44" s="2">
        <v>45098</v>
      </c>
      <c r="H44">
        <v>10.59</v>
      </c>
      <c r="I44">
        <v>491.43</v>
      </c>
      <c r="J44">
        <f t="shared" si="0"/>
        <v>480.84000000000003</v>
      </c>
    </row>
    <row r="45" spans="1:10" ht="27" customHeight="1" x14ac:dyDescent="0.25">
      <c r="A45" s="2">
        <v>45090</v>
      </c>
      <c r="B45" t="s">
        <v>24</v>
      </c>
      <c r="C45" t="s">
        <v>11</v>
      </c>
      <c r="D45">
        <v>13.03</v>
      </c>
      <c r="E45">
        <v>399.06</v>
      </c>
      <c r="F45" s="1" t="s">
        <v>36</v>
      </c>
      <c r="G45" s="2">
        <v>45099</v>
      </c>
      <c r="H45">
        <v>10</v>
      </c>
      <c r="I45">
        <v>161.13</v>
      </c>
      <c r="J45">
        <f t="shared" si="0"/>
        <v>151.13</v>
      </c>
    </row>
    <row r="46" spans="1:10" x14ac:dyDescent="0.25">
      <c r="A46" s="2">
        <v>45090</v>
      </c>
      <c r="B46" t="s">
        <v>24</v>
      </c>
      <c r="C46" t="s">
        <v>19</v>
      </c>
      <c r="D46">
        <v>12.92</v>
      </c>
      <c r="E46">
        <v>442.37</v>
      </c>
      <c r="G46" s="2">
        <v>45100</v>
      </c>
      <c r="H46">
        <v>10.57</v>
      </c>
      <c r="I46">
        <v>263.02999999999997</v>
      </c>
      <c r="J46">
        <f t="shared" si="0"/>
        <v>252.45999999999998</v>
      </c>
    </row>
    <row r="47" spans="1:10" x14ac:dyDescent="0.25">
      <c r="A47" s="2">
        <v>45091</v>
      </c>
      <c r="B47" t="s">
        <v>23</v>
      </c>
      <c r="C47" t="s">
        <v>16</v>
      </c>
      <c r="D47">
        <v>12.93</v>
      </c>
      <c r="E47">
        <v>448.33</v>
      </c>
      <c r="G47" s="2">
        <v>45099</v>
      </c>
      <c r="H47">
        <v>12.77</v>
      </c>
      <c r="I47">
        <v>526.32000000000005</v>
      </c>
      <c r="J47">
        <f t="shared" si="0"/>
        <v>513.55000000000007</v>
      </c>
    </row>
    <row r="48" spans="1:10" x14ac:dyDescent="0.25">
      <c r="A48" s="2">
        <v>45091</v>
      </c>
      <c r="B48" t="s">
        <v>23</v>
      </c>
      <c r="C48" t="s">
        <v>8</v>
      </c>
      <c r="D48">
        <v>12.92</v>
      </c>
      <c r="E48">
        <v>413.07</v>
      </c>
      <c r="G48" s="2">
        <v>45099</v>
      </c>
      <c r="H48">
        <v>12.42</v>
      </c>
      <c r="I48">
        <v>463.88</v>
      </c>
      <c r="J48">
        <f t="shared" si="0"/>
        <v>451.46</v>
      </c>
    </row>
    <row r="49" spans="1:10" x14ac:dyDescent="0.25">
      <c r="A49" s="2">
        <v>45091</v>
      </c>
      <c r="B49" t="s">
        <v>23</v>
      </c>
      <c r="C49" t="s">
        <v>15</v>
      </c>
      <c r="D49">
        <v>13.14</v>
      </c>
      <c r="E49">
        <v>452.59</v>
      </c>
      <c r="G49" s="2">
        <v>45099</v>
      </c>
      <c r="H49">
        <v>12.54</v>
      </c>
      <c r="I49">
        <v>623.57000000000005</v>
      </c>
      <c r="J49">
        <f t="shared" si="0"/>
        <v>611.03000000000009</v>
      </c>
    </row>
    <row r="50" spans="1:10" x14ac:dyDescent="0.25">
      <c r="A50" s="2">
        <v>45091</v>
      </c>
      <c r="B50" t="s">
        <v>23</v>
      </c>
      <c r="C50" t="s">
        <v>11</v>
      </c>
      <c r="D50">
        <v>12.8</v>
      </c>
      <c r="E50">
        <v>412</v>
      </c>
      <c r="G50" s="2">
        <v>45099</v>
      </c>
      <c r="H50">
        <v>13.17</v>
      </c>
      <c r="I50">
        <v>1051.1500000000001</v>
      </c>
      <c r="J50">
        <f t="shared" si="0"/>
        <v>1037.98</v>
      </c>
    </row>
    <row r="51" spans="1:10" x14ac:dyDescent="0.25">
      <c r="A51" s="2">
        <v>45091</v>
      </c>
      <c r="B51" t="s">
        <v>23</v>
      </c>
      <c r="C51" t="s">
        <v>19</v>
      </c>
      <c r="D51">
        <v>12.78</v>
      </c>
      <c r="E51">
        <v>367.27</v>
      </c>
      <c r="G51" s="2">
        <v>45099</v>
      </c>
      <c r="H51">
        <v>12.11</v>
      </c>
      <c r="I51">
        <v>517.64</v>
      </c>
      <c r="J51">
        <f t="shared" si="0"/>
        <v>505.53</v>
      </c>
    </row>
    <row r="52" spans="1:10" x14ac:dyDescent="0.25">
      <c r="A52" s="2">
        <v>45091</v>
      </c>
      <c r="B52" t="s">
        <v>20</v>
      </c>
      <c r="C52" t="s">
        <v>16</v>
      </c>
      <c r="D52">
        <v>13.09</v>
      </c>
      <c r="E52">
        <v>449.6</v>
      </c>
      <c r="G52" s="2">
        <v>45098</v>
      </c>
      <c r="H52">
        <v>0</v>
      </c>
      <c r="I52">
        <v>138.06</v>
      </c>
      <c r="J52">
        <f t="shared" si="0"/>
        <v>138.06</v>
      </c>
    </row>
    <row r="53" spans="1:10" x14ac:dyDescent="0.25">
      <c r="A53" s="2">
        <v>45091</v>
      </c>
      <c r="B53" t="s">
        <v>20</v>
      </c>
      <c r="C53" t="s">
        <v>8</v>
      </c>
      <c r="D53">
        <v>13.22</v>
      </c>
      <c r="E53">
        <v>436.37</v>
      </c>
      <c r="G53" s="2">
        <v>45098</v>
      </c>
      <c r="H53">
        <v>12.1</v>
      </c>
      <c r="I53">
        <v>596.45000000000005</v>
      </c>
      <c r="J53">
        <f t="shared" si="0"/>
        <v>584.35</v>
      </c>
    </row>
    <row r="54" spans="1:10" x14ac:dyDescent="0.25">
      <c r="A54" s="2">
        <v>45091</v>
      </c>
      <c r="B54" t="s">
        <v>20</v>
      </c>
      <c r="C54" t="s">
        <v>15</v>
      </c>
      <c r="D54">
        <v>13.02</v>
      </c>
      <c r="E54">
        <v>449.52</v>
      </c>
      <c r="F54" s="1" t="s">
        <v>43</v>
      </c>
      <c r="G54" s="2">
        <v>45100</v>
      </c>
      <c r="H54">
        <v>22.63</v>
      </c>
      <c r="I54">
        <v>484.74</v>
      </c>
      <c r="J54">
        <f t="shared" si="0"/>
        <v>462.11</v>
      </c>
    </row>
    <row r="55" spans="1:10" x14ac:dyDescent="0.25">
      <c r="A55" s="2">
        <v>45091</v>
      </c>
      <c r="B55" t="s">
        <v>20</v>
      </c>
      <c r="C55" t="s">
        <v>11</v>
      </c>
      <c r="D55">
        <v>13.15</v>
      </c>
      <c r="E55">
        <v>448.31</v>
      </c>
      <c r="G55" s="2">
        <v>45098</v>
      </c>
      <c r="H55">
        <v>12.67</v>
      </c>
      <c r="I55">
        <v>394.74</v>
      </c>
      <c r="J55">
        <f t="shared" si="0"/>
        <v>382.07</v>
      </c>
    </row>
    <row r="56" spans="1:10" x14ac:dyDescent="0.25">
      <c r="A56" s="2">
        <v>45091</v>
      </c>
      <c r="B56" t="s">
        <v>20</v>
      </c>
      <c r="C56" t="s">
        <v>19</v>
      </c>
      <c r="D56">
        <v>13.01</v>
      </c>
      <c r="E56">
        <v>454.54</v>
      </c>
      <c r="G56" s="2">
        <v>45098</v>
      </c>
      <c r="H56">
        <v>11.97</v>
      </c>
      <c r="I56">
        <v>458.59</v>
      </c>
      <c r="J56">
        <f t="shared" si="0"/>
        <v>446.61999999999995</v>
      </c>
    </row>
    <row r="57" spans="1:10" x14ac:dyDescent="0.25">
      <c r="A57" s="2">
        <v>45090</v>
      </c>
      <c r="B57" t="s">
        <v>14</v>
      </c>
      <c r="C57" t="s">
        <v>16</v>
      </c>
      <c r="D57">
        <v>12.8</v>
      </c>
      <c r="E57">
        <v>448.22</v>
      </c>
      <c r="G57" s="2">
        <v>45098</v>
      </c>
      <c r="H57">
        <v>0</v>
      </c>
      <c r="I57">
        <v>352.59</v>
      </c>
      <c r="J57">
        <f t="shared" si="0"/>
        <v>352.59</v>
      </c>
    </row>
    <row r="58" spans="1:10" x14ac:dyDescent="0.25">
      <c r="A58" s="2">
        <v>45090</v>
      </c>
      <c r="B58" t="s">
        <v>14</v>
      </c>
      <c r="C58" t="s">
        <v>8</v>
      </c>
      <c r="D58">
        <v>12.81</v>
      </c>
      <c r="E58">
        <v>452.83</v>
      </c>
      <c r="G58" s="2">
        <v>45099</v>
      </c>
      <c r="H58">
        <v>11.36</v>
      </c>
      <c r="I58">
        <v>1153.07</v>
      </c>
      <c r="J58">
        <f t="shared" si="0"/>
        <v>1141.71</v>
      </c>
    </row>
    <row r="59" spans="1:10" x14ac:dyDescent="0.25">
      <c r="A59" s="2">
        <v>45090</v>
      </c>
      <c r="B59" t="s">
        <v>14</v>
      </c>
      <c r="C59" t="s">
        <v>15</v>
      </c>
      <c r="D59">
        <v>13.05</v>
      </c>
      <c r="E59">
        <v>421.26</v>
      </c>
      <c r="G59" s="2">
        <v>45099</v>
      </c>
      <c r="H59">
        <v>11.28</v>
      </c>
      <c r="I59">
        <v>635.34</v>
      </c>
      <c r="J59">
        <f t="shared" si="0"/>
        <v>624.06000000000006</v>
      </c>
    </row>
    <row r="60" spans="1:10" x14ac:dyDescent="0.25">
      <c r="A60" s="2">
        <v>45090</v>
      </c>
      <c r="B60" t="s">
        <v>14</v>
      </c>
      <c r="C60" t="s">
        <v>11</v>
      </c>
      <c r="D60">
        <v>13.06</v>
      </c>
      <c r="E60">
        <v>447.41</v>
      </c>
      <c r="G60" s="2">
        <v>45099</v>
      </c>
      <c r="H60">
        <v>10.19</v>
      </c>
      <c r="I60">
        <v>583.87</v>
      </c>
      <c r="J60">
        <f t="shared" si="0"/>
        <v>573.67999999999995</v>
      </c>
    </row>
    <row r="61" spans="1:10" x14ac:dyDescent="0.25">
      <c r="A61" s="2">
        <v>45090</v>
      </c>
      <c r="B61" t="s">
        <v>14</v>
      </c>
      <c r="C61" t="s">
        <v>19</v>
      </c>
      <c r="D61">
        <v>13.1</v>
      </c>
      <c r="E61">
        <v>449.92</v>
      </c>
      <c r="G61" s="2">
        <v>45098</v>
      </c>
      <c r="H61">
        <v>0</v>
      </c>
      <c r="I61">
        <v>434.34</v>
      </c>
      <c r="J61">
        <f t="shared" si="0"/>
        <v>434.34</v>
      </c>
    </row>
    <row r="62" spans="1:10" x14ac:dyDescent="0.25">
      <c r="A62" s="2">
        <v>45089</v>
      </c>
      <c r="B62" t="s">
        <v>25</v>
      </c>
      <c r="C62" t="s">
        <v>16</v>
      </c>
      <c r="D62">
        <v>12.81</v>
      </c>
      <c r="E62">
        <v>464.22</v>
      </c>
      <c r="G62" s="2">
        <v>45099</v>
      </c>
      <c r="H62">
        <v>10.6</v>
      </c>
      <c r="I62">
        <v>558.23</v>
      </c>
      <c r="J62">
        <f t="shared" si="0"/>
        <v>547.63</v>
      </c>
    </row>
    <row r="63" spans="1:10" x14ac:dyDescent="0.25">
      <c r="A63" s="2">
        <v>45089</v>
      </c>
      <c r="B63" t="s">
        <v>25</v>
      </c>
      <c r="C63" t="s">
        <v>8</v>
      </c>
      <c r="D63">
        <v>13.12</v>
      </c>
      <c r="E63">
        <v>458.11</v>
      </c>
      <c r="G63" s="2">
        <v>45099</v>
      </c>
      <c r="H63">
        <v>10.33</v>
      </c>
      <c r="I63">
        <v>611.71</v>
      </c>
      <c r="J63">
        <f t="shared" si="0"/>
        <v>601.38</v>
      </c>
    </row>
    <row r="64" spans="1:10" x14ac:dyDescent="0.25">
      <c r="A64" s="2">
        <v>45089</v>
      </c>
      <c r="B64" t="s">
        <v>25</v>
      </c>
      <c r="C64" t="s">
        <v>15</v>
      </c>
      <c r="D64">
        <v>12.92</v>
      </c>
      <c r="E64">
        <v>451.34</v>
      </c>
      <c r="G64" s="2">
        <v>45099</v>
      </c>
      <c r="H64">
        <v>10.36</v>
      </c>
      <c r="I64">
        <v>510.11</v>
      </c>
      <c r="J64">
        <f t="shared" si="0"/>
        <v>499.75</v>
      </c>
    </row>
    <row r="65" spans="1:10" x14ac:dyDescent="0.25">
      <c r="A65" s="2">
        <v>45089</v>
      </c>
      <c r="B65" t="s">
        <v>25</v>
      </c>
      <c r="C65" t="s">
        <v>11</v>
      </c>
      <c r="D65">
        <v>13.15</v>
      </c>
      <c r="E65">
        <v>457.16</v>
      </c>
      <c r="G65" s="2">
        <v>45098</v>
      </c>
      <c r="H65">
        <v>0</v>
      </c>
      <c r="I65">
        <v>348.62</v>
      </c>
      <c r="J65">
        <f t="shared" si="0"/>
        <v>348.62</v>
      </c>
    </row>
    <row r="66" spans="1:10" x14ac:dyDescent="0.25">
      <c r="A66" s="2">
        <v>45089</v>
      </c>
      <c r="B66" t="s">
        <v>25</v>
      </c>
      <c r="C66" t="s">
        <v>19</v>
      </c>
      <c r="D66">
        <v>12.88</v>
      </c>
      <c r="E66">
        <v>462.8</v>
      </c>
      <c r="G66" s="2">
        <v>45099</v>
      </c>
      <c r="H66">
        <v>10.81</v>
      </c>
      <c r="I66">
        <v>284.88</v>
      </c>
      <c r="J66">
        <f t="shared" si="0"/>
        <v>274.07</v>
      </c>
    </row>
    <row r="67" spans="1:10" x14ac:dyDescent="0.25">
      <c r="A67" s="2">
        <v>45090</v>
      </c>
      <c r="B67" t="s">
        <v>27</v>
      </c>
      <c r="C67" t="s">
        <v>16</v>
      </c>
      <c r="D67">
        <v>13.19</v>
      </c>
      <c r="E67">
        <v>453.95</v>
      </c>
      <c r="G67" s="2">
        <v>45098</v>
      </c>
      <c r="H67">
        <v>11.48</v>
      </c>
      <c r="I67">
        <v>476.15</v>
      </c>
      <c r="J67">
        <f t="shared" ref="J67:J91" si="1">I67-H67</f>
        <v>464.66999999999996</v>
      </c>
    </row>
    <row r="68" spans="1:10" x14ac:dyDescent="0.25">
      <c r="A68" s="2">
        <v>45090</v>
      </c>
      <c r="B68" t="s">
        <v>27</v>
      </c>
      <c r="C68" t="s">
        <v>8</v>
      </c>
      <c r="D68">
        <v>13.15</v>
      </c>
      <c r="E68">
        <v>451.62</v>
      </c>
      <c r="G68" s="2">
        <v>45098</v>
      </c>
      <c r="H68">
        <v>11.45</v>
      </c>
      <c r="I68">
        <v>461.59</v>
      </c>
      <c r="J68">
        <f t="shared" si="1"/>
        <v>450.14</v>
      </c>
    </row>
    <row r="69" spans="1:10" x14ac:dyDescent="0.25">
      <c r="A69" s="2">
        <v>45090</v>
      </c>
      <c r="B69" t="s">
        <v>27</v>
      </c>
      <c r="C69" t="s">
        <v>15</v>
      </c>
      <c r="D69">
        <v>12.96</v>
      </c>
      <c r="E69">
        <v>449.68</v>
      </c>
      <c r="G69" s="2">
        <v>45098</v>
      </c>
      <c r="H69">
        <v>10.77</v>
      </c>
      <c r="I69">
        <v>519.73</v>
      </c>
      <c r="J69">
        <f t="shared" si="1"/>
        <v>508.96000000000004</v>
      </c>
    </row>
    <row r="70" spans="1:10" x14ac:dyDescent="0.25">
      <c r="A70" s="2">
        <v>45090</v>
      </c>
      <c r="B70" t="s">
        <v>27</v>
      </c>
      <c r="C70" t="s">
        <v>11</v>
      </c>
      <c r="D70">
        <v>12.94</v>
      </c>
      <c r="E70">
        <v>453.16</v>
      </c>
      <c r="G70" s="2">
        <v>45098</v>
      </c>
      <c r="H70">
        <v>12.02</v>
      </c>
      <c r="I70">
        <v>504.51</v>
      </c>
      <c r="J70">
        <f t="shared" si="1"/>
        <v>492.49</v>
      </c>
    </row>
    <row r="71" spans="1:10" x14ac:dyDescent="0.25">
      <c r="A71" s="2">
        <v>45090</v>
      </c>
      <c r="B71" t="s">
        <v>27</v>
      </c>
      <c r="C71" t="s">
        <v>19</v>
      </c>
      <c r="D71">
        <v>13.06</v>
      </c>
      <c r="E71">
        <v>456.14</v>
      </c>
      <c r="G71" s="2">
        <v>45098</v>
      </c>
      <c r="H71">
        <v>11.44</v>
      </c>
      <c r="I71">
        <v>655.28</v>
      </c>
      <c r="J71">
        <f t="shared" si="1"/>
        <v>643.83999999999992</v>
      </c>
    </row>
    <row r="72" spans="1:10" x14ac:dyDescent="0.25">
      <c r="A72" s="2">
        <v>45090</v>
      </c>
      <c r="B72" t="s">
        <v>28</v>
      </c>
      <c r="C72" t="s">
        <v>16</v>
      </c>
      <c r="D72">
        <v>13.12</v>
      </c>
      <c r="E72">
        <v>448.67</v>
      </c>
      <c r="G72" s="2">
        <v>45099</v>
      </c>
      <c r="H72">
        <v>10.49</v>
      </c>
      <c r="I72">
        <v>435.21</v>
      </c>
      <c r="J72">
        <f t="shared" si="1"/>
        <v>424.71999999999997</v>
      </c>
    </row>
    <row r="73" spans="1:10" x14ac:dyDescent="0.25">
      <c r="A73" s="2">
        <v>45090</v>
      </c>
      <c r="B73" t="s">
        <v>28</v>
      </c>
      <c r="C73" t="s">
        <v>8</v>
      </c>
      <c r="D73">
        <v>12.83</v>
      </c>
      <c r="E73">
        <v>447.49</v>
      </c>
      <c r="G73" s="2">
        <v>45098</v>
      </c>
      <c r="H73">
        <v>10.69</v>
      </c>
      <c r="I73">
        <v>929.45</v>
      </c>
      <c r="J73">
        <f t="shared" si="1"/>
        <v>918.76</v>
      </c>
    </row>
    <row r="74" spans="1:10" x14ac:dyDescent="0.25">
      <c r="A74" s="2">
        <v>45090</v>
      </c>
      <c r="B74" t="s">
        <v>28</v>
      </c>
      <c r="C74" t="s">
        <v>15</v>
      </c>
      <c r="D74">
        <v>13.16</v>
      </c>
      <c r="E74">
        <v>446.53</v>
      </c>
      <c r="G74" s="2">
        <v>45098</v>
      </c>
      <c r="H74">
        <v>10.210000000000001</v>
      </c>
      <c r="I74">
        <v>488.17</v>
      </c>
      <c r="J74">
        <f t="shared" si="1"/>
        <v>477.96000000000004</v>
      </c>
    </row>
    <row r="75" spans="1:10" x14ac:dyDescent="0.25">
      <c r="A75" s="2">
        <v>45090</v>
      </c>
      <c r="B75" t="s">
        <v>28</v>
      </c>
      <c r="C75" t="s">
        <v>11</v>
      </c>
      <c r="D75">
        <v>12.98</v>
      </c>
      <c r="E75">
        <v>448.42</v>
      </c>
      <c r="G75" s="2">
        <v>45100</v>
      </c>
      <c r="H75">
        <v>11.53</v>
      </c>
      <c r="I75">
        <v>649.75</v>
      </c>
      <c r="J75">
        <f t="shared" si="1"/>
        <v>638.22</v>
      </c>
    </row>
    <row r="76" spans="1:10" x14ac:dyDescent="0.25">
      <c r="A76" s="2">
        <v>45090</v>
      </c>
      <c r="B76" t="s">
        <v>28</v>
      </c>
      <c r="C76" t="s">
        <v>19</v>
      </c>
      <c r="D76">
        <v>12.99</v>
      </c>
      <c r="E76">
        <v>450.71</v>
      </c>
      <c r="G76" s="2">
        <v>45098</v>
      </c>
      <c r="H76">
        <v>10.57</v>
      </c>
      <c r="I76">
        <v>928.94</v>
      </c>
      <c r="J76">
        <f t="shared" si="1"/>
        <v>918.37</v>
      </c>
    </row>
    <row r="77" spans="1:10" x14ac:dyDescent="0.25">
      <c r="A77" s="2">
        <v>45089</v>
      </c>
      <c r="B77" t="s">
        <v>31</v>
      </c>
      <c r="C77" t="s">
        <v>16</v>
      </c>
      <c r="D77">
        <v>12.89</v>
      </c>
      <c r="E77">
        <v>452.46</v>
      </c>
      <c r="G77" s="2">
        <v>45098</v>
      </c>
      <c r="H77">
        <v>10.57</v>
      </c>
      <c r="I77">
        <v>303.8</v>
      </c>
      <c r="J77">
        <f t="shared" si="1"/>
        <v>293.23</v>
      </c>
    </row>
    <row r="78" spans="1:10" x14ac:dyDescent="0.25">
      <c r="A78" s="2">
        <v>45089</v>
      </c>
      <c r="B78" t="s">
        <v>31</v>
      </c>
      <c r="C78" t="s">
        <v>8</v>
      </c>
      <c r="D78">
        <v>12.82</v>
      </c>
      <c r="E78">
        <v>451.29</v>
      </c>
      <c r="G78" s="2">
        <v>45098</v>
      </c>
      <c r="H78">
        <v>10.89</v>
      </c>
      <c r="I78">
        <v>448.38</v>
      </c>
      <c r="J78">
        <f t="shared" si="1"/>
        <v>437.49</v>
      </c>
    </row>
    <row r="79" spans="1:10" x14ac:dyDescent="0.25">
      <c r="A79" s="2">
        <v>45089</v>
      </c>
      <c r="B79" t="s">
        <v>31</v>
      </c>
      <c r="C79" t="s">
        <v>15</v>
      </c>
      <c r="D79">
        <v>12.73</v>
      </c>
      <c r="E79">
        <v>450.46</v>
      </c>
      <c r="G79" s="2">
        <v>45098</v>
      </c>
      <c r="H79">
        <v>11.42</v>
      </c>
      <c r="I79">
        <v>327.69</v>
      </c>
      <c r="J79">
        <f t="shared" si="1"/>
        <v>316.27</v>
      </c>
    </row>
    <row r="80" spans="1:10" x14ac:dyDescent="0.25">
      <c r="A80" s="2">
        <v>45089</v>
      </c>
      <c r="B80" t="s">
        <v>31</v>
      </c>
      <c r="C80" t="s">
        <v>11</v>
      </c>
      <c r="D80">
        <v>13</v>
      </c>
      <c r="E80">
        <v>446.36</v>
      </c>
      <c r="G80" s="2">
        <v>45099</v>
      </c>
      <c r="H80">
        <v>11.87</v>
      </c>
      <c r="I80">
        <v>560.6</v>
      </c>
      <c r="J80">
        <f t="shared" si="1"/>
        <v>548.73</v>
      </c>
    </row>
    <row r="81" spans="1:10" x14ac:dyDescent="0.25">
      <c r="A81" s="2">
        <v>45089</v>
      </c>
      <c r="B81" t="s">
        <v>31</v>
      </c>
      <c r="C81" t="s">
        <v>19</v>
      </c>
      <c r="D81">
        <v>12.81</v>
      </c>
      <c r="E81">
        <v>449.21</v>
      </c>
      <c r="G81" s="2">
        <v>45098</v>
      </c>
      <c r="H81">
        <v>10.6</v>
      </c>
      <c r="I81">
        <v>298.58999999999997</v>
      </c>
      <c r="J81">
        <f t="shared" si="1"/>
        <v>287.98999999999995</v>
      </c>
    </row>
    <row r="82" spans="1:10" x14ac:dyDescent="0.25">
      <c r="A82" s="2">
        <v>45089</v>
      </c>
      <c r="B82" t="s">
        <v>30</v>
      </c>
      <c r="C82" t="s">
        <v>16</v>
      </c>
      <c r="D82">
        <v>12.87</v>
      </c>
      <c r="E82">
        <v>449.72</v>
      </c>
      <c r="G82" s="2">
        <v>45098</v>
      </c>
      <c r="H82">
        <v>10.07</v>
      </c>
      <c r="I82">
        <v>400.72</v>
      </c>
      <c r="J82">
        <f t="shared" si="1"/>
        <v>390.65000000000003</v>
      </c>
    </row>
    <row r="83" spans="1:10" x14ac:dyDescent="0.25">
      <c r="A83" s="2">
        <v>45089</v>
      </c>
      <c r="B83" t="s">
        <v>30</v>
      </c>
      <c r="C83" t="s">
        <v>8</v>
      </c>
      <c r="D83">
        <v>12.92</v>
      </c>
      <c r="E83">
        <v>448.23</v>
      </c>
      <c r="G83" s="2">
        <v>45098</v>
      </c>
      <c r="H83">
        <v>10.24</v>
      </c>
      <c r="I83">
        <v>390.5</v>
      </c>
      <c r="J83">
        <f t="shared" si="1"/>
        <v>380.26</v>
      </c>
    </row>
    <row r="84" spans="1:10" x14ac:dyDescent="0.25">
      <c r="A84" s="2">
        <v>45089</v>
      </c>
      <c r="B84" t="s">
        <v>30</v>
      </c>
      <c r="C84" t="s">
        <v>15</v>
      </c>
      <c r="D84">
        <v>12.89</v>
      </c>
      <c r="E84">
        <v>453.72</v>
      </c>
      <c r="G84" s="2">
        <v>45099</v>
      </c>
      <c r="H84">
        <v>10.63</v>
      </c>
      <c r="I84">
        <v>423.21</v>
      </c>
      <c r="J84">
        <f t="shared" si="1"/>
        <v>412.58</v>
      </c>
    </row>
    <row r="85" spans="1:10" x14ac:dyDescent="0.25">
      <c r="A85" s="2">
        <v>45089</v>
      </c>
      <c r="B85" t="s">
        <v>30</v>
      </c>
      <c r="C85" t="s">
        <v>11</v>
      </c>
      <c r="D85">
        <v>12.87</v>
      </c>
      <c r="E85">
        <v>449.43</v>
      </c>
      <c r="G85" s="2">
        <v>45099</v>
      </c>
      <c r="H85">
        <v>10.5</v>
      </c>
      <c r="I85">
        <v>252.08</v>
      </c>
      <c r="J85">
        <f t="shared" si="1"/>
        <v>241.58</v>
      </c>
    </row>
    <row r="86" spans="1:10" x14ac:dyDescent="0.25">
      <c r="A86" s="2">
        <v>45089</v>
      </c>
      <c r="B86" t="s">
        <v>30</v>
      </c>
      <c r="C86" t="s">
        <v>19</v>
      </c>
      <c r="D86">
        <v>12.83</v>
      </c>
      <c r="E86">
        <v>448.39</v>
      </c>
      <c r="G86" s="2">
        <v>45098</v>
      </c>
      <c r="H86">
        <v>11</v>
      </c>
      <c r="I86">
        <v>773.76</v>
      </c>
      <c r="J86">
        <f t="shared" si="1"/>
        <v>762.76</v>
      </c>
    </row>
    <row r="87" spans="1:10" x14ac:dyDescent="0.25">
      <c r="A87" s="2">
        <v>45089</v>
      </c>
      <c r="B87" t="s">
        <v>26</v>
      </c>
      <c r="C87" t="s">
        <v>16</v>
      </c>
      <c r="D87">
        <v>12.93</v>
      </c>
      <c r="E87">
        <v>453.09</v>
      </c>
      <c r="G87" s="2">
        <v>45099</v>
      </c>
      <c r="H87">
        <v>10.39</v>
      </c>
      <c r="I87">
        <v>338.19</v>
      </c>
      <c r="J87">
        <f t="shared" si="1"/>
        <v>327.8</v>
      </c>
    </row>
    <row r="88" spans="1:10" x14ac:dyDescent="0.25">
      <c r="A88" s="2">
        <v>45089</v>
      </c>
      <c r="B88" t="s">
        <v>26</v>
      </c>
      <c r="C88" t="s">
        <v>8</v>
      </c>
      <c r="D88">
        <v>12.95</v>
      </c>
      <c r="E88">
        <v>448.76</v>
      </c>
      <c r="G88" s="2">
        <v>45098</v>
      </c>
      <c r="H88">
        <v>10.84</v>
      </c>
      <c r="I88">
        <v>653.1</v>
      </c>
      <c r="J88">
        <f t="shared" si="1"/>
        <v>642.26</v>
      </c>
    </row>
    <row r="89" spans="1:10" x14ac:dyDescent="0.25">
      <c r="A89" s="2">
        <v>45089</v>
      </c>
      <c r="B89" t="s">
        <v>26</v>
      </c>
      <c r="C89" t="s">
        <v>15</v>
      </c>
      <c r="D89">
        <v>12.89</v>
      </c>
      <c r="E89">
        <v>401.35</v>
      </c>
      <c r="G89" s="2">
        <v>45099</v>
      </c>
      <c r="H89">
        <v>11.16</v>
      </c>
      <c r="I89">
        <v>1039.33</v>
      </c>
      <c r="J89">
        <f t="shared" si="1"/>
        <v>1028.1699999999998</v>
      </c>
    </row>
    <row r="90" spans="1:10" x14ac:dyDescent="0.25">
      <c r="A90" s="2">
        <v>45089</v>
      </c>
      <c r="B90" t="s">
        <v>26</v>
      </c>
      <c r="C90" t="s">
        <v>11</v>
      </c>
      <c r="D90">
        <v>13.06</v>
      </c>
      <c r="E90">
        <v>455.04</v>
      </c>
      <c r="G90" s="2">
        <v>45099</v>
      </c>
      <c r="H90">
        <v>10.54</v>
      </c>
      <c r="I90">
        <v>674.09</v>
      </c>
      <c r="J90">
        <f t="shared" si="1"/>
        <v>663.55000000000007</v>
      </c>
    </row>
    <row r="91" spans="1:10" x14ac:dyDescent="0.25">
      <c r="A91" s="2">
        <v>45089</v>
      </c>
      <c r="B91" t="s">
        <v>26</v>
      </c>
      <c r="C91" t="s">
        <v>19</v>
      </c>
      <c r="D91">
        <v>12.85</v>
      </c>
      <c r="E91">
        <v>451.54</v>
      </c>
      <c r="G91" s="2">
        <v>45099</v>
      </c>
      <c r="H91">
        <v>10.62</v>
      </c>
      <c r="I91">
        <v>808.06</v>
      </c>
      <c r="J91">
        <f t="shared" si="1"/>
        <v>797.43999999999994</v>
      </c>
    </row>
  </sheetData>
  <sortState xmlns:xlrd2="http://schemas.microsoft.com/office/spreadsheetml/2017/richdata2" ref="A2:H92">
    <sortCondition ref="B2:B92"/>
    <sortCondition ref="C2:C92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DE5AC48780B940ACC96352D716F853" ma:contentTypeVersion="15" ma:contentTypeDescription="Create a new document." ma:contentTypeScope="" ma:versionID="ffe332696f9bdfb2ad078658d3c2d2b9">
  <xsd:schema xmlns:xsd="http://www.w3.org/2001/XMLSchema" xmlns:xs="http://www.w3.org/2001/XMLSchema" xmlns:p="http://schemas.microsoft.com/office/2006/metadata/properties" xmlns:ns3="df7010a6-f3bc-41e9-a68f-377461453183" xmlns:ns4="b4d49d2f-5112-4fbc-8895-b5e4fadc9e22" targetNamespace="http://schemas.microsoft.com/office/2006/metadata/properties" ma:root="true" ma:fieldsID="afa252e09228f1fed31ab58b5f20d816" ns3:_="" ns4:_="">
    <xsd:import namespace="df7010a6-f3bc-41e9-a68f-377461453183"/>
    <xsd:import namespace="b4d49d2f-5112-4fbc-8895-b5e4fadc9e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7010a6-f3bc-41e9-a68f-3774614531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d49d2f-5112-4fbc-8895-b5e4fadc9e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f7010a6-f3bc-41e9-a68f-37746145318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A6163D-335C-43FD-9D40-FCA8B7C784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7010a6-f3bc-41e9-a68f-377461453183"/>
    <ds:schemaRef ds:uri="b4d49d2f-5112-4fbc-8895-b5e4fadc9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4E631B-1B5C-4567-96F6-E728205545E3}">
  <ds:schemaRefs>
    <ds:schemaRef ds:uri="http://purl.org/dc/dcmitype/"/>
    <ds:schemaRef ds:uri="http://schemas.microsoft.com/office/2006/metadata/properties"/>
    <ds:schemaRef ds:uri="http://www.w3.org/XML/1998/namespace"/>
    <ds:schemaRef ds:uri="b4d49d2f-5112-4fbc-8895-b5e4fadc9e22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df7010a6-f3bc-41e9-a68f-377461453183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595CC13-3F59-4AE4-80B7-2484531F20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Bulk density</vt:lpstr>
      <vt:lpstr>Waypoint results</vt:lpstr>
      <vt:lpstr>Bulk density sorted</vt:lpstr>
      <vt:lpstr>Waypoint &amp; ag samples</vt:lpstr>
      <vt:lpstr>Waypoint &amp; agg samples sorted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Chelsea Marie Peterson</dc:creator>
  <cp:lastModifiedBy>Peterson, Chelsea Marie</cp:lastModifiedBy>
  <cp:lastPrinted>2023-05-24T19:10:28Z</cp:lastPrinted>
  <dcterms:created xsi:type="dcterms:W3CDTF">2023-05-24T18:59:41Z</dcterms:created>
  <dcterms:modified xsi:type="dcterms:W3CDTF">2024-09-06T15:44:43Z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0x010100AFDE5AC48780B940ACC96352D716F853</vt:lpwstr>
  </property>
</Properties>
</file>