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Ch1/VegetationData/"/>
    </mc:Choice>
  </mc:AlternateContent>
  <xr:revisionPtr revIDLastSave="4420" documentId="8_{28428EA0-E883-4C07-9CB0-86DC23281E7F}" xr6:coauthVersionLast="47" xr6:coauthVersionMax="47" xr10:uidLastSave="{388FB80B-A95C-4C63-B5E7-783B2D52DD25}"/>
  <bookViews>
    <workbookView xWindow="-108" yWindow="-108" windowWidth="23256" windowHeight="12720" activeTab="1" xr2:uid="{452373FE-9CA5-45AC-A0D0-5531FE62606F}"/>
  </bookViews>
  <sheets>
    <sheet name="ActualBiomass" sheetId="6" r:id="rId1"/>
    <sheet name="ActualBiomass_Sorted" sheetId="7" r:id="rId2"/>
    <sheet name="MassWBag" sheetId="1" r:id="rId3"/>
    <sheet name="PrelimBiomass" sheetId="5" r:id="rId4"/>
    <sheet name="BagMasses" sheetId="2" r:id="rId5"/>
  </sheets>
  <definedNames>
    <definedName name="_xlnm._FilterDatabase" localSheetId="2" hidden="1">MassWBag!$C$18:$C$58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01" i="7" l="1"/>
  <c r="H263" i="7"/>
  <c r="H250" i="7"/>
  <c r="G196" i="5"/>
  <c r="G204" i="5"/>
  <c r="J263" i="7"/>
  <c r="I263" i="7"/>
  <c r="J250" i="7"/>
  <c r="I250" i="7"/>
  <c r="F160" i="5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" i="6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E12" i="2"/>
  <c r="F12" i="2"/>
  <c r="D12" i="2"/>
  <c r="C12" i="2"/>
  <c r="B12" i="2"/>
  <c r="F2" i="5" l="1"/>
</calcChain>
</file>

<file path=xl/sharedStrings.xml><?xml version="1.0" encoding="utf-8"?>
<sst xmlns="http://schemas.openxmlformats.org/spreadsheetml/2006/main" count="4929" uniqueCount="106">
  <si>
    <t>Plot</t>
  </si>
  <si>
    <t>Quadrat</t>
  </si>
  <si>
    <t>Species/type</t>
  </si>
  <si>
    <t>Average</t>
  </si>
  <si>
    <t>Small bag mass (g)</t>
  </si>
  <si>
    <t>Med bag mass (g)</t>
  </si>
  <si>
    <t>B1</t>
  </si>
  <si>
    <t>Q5</t>
  </si>
  <si>
    <t>Phalaris arundinacea</t>
  </si>
  <si>
    <t>Bag size</t>
  </si>
  <si>
    <t>Mass with bag (g)</t>
  </si>
  <si>
    <t>Q4</t>
  </si>
  <si>
    <t>Acer saccharinum</t>
  </si>
  <si>
    <t>Humulus japonicus</t>
  </si>
  <si>
    <t>Q3</t>
  </si>
  <si>
    <t>Litter</t>
  </si>
  <si>
    <t xml:space="preserve">B1 </t>
  </si>
  <si>
    <t>Q2</t>
  </si>
  <si>
    <t>Urtica gracilis</t>
  </si>
  <si>
    <t>Toxicodendron radicans</t>
  </si>
  <si>
    <t>A1</t>
  </si>
  <si>
    <t>Impatiens capensis</t>
  </si>
  <si>
    <t>Start time</t>
  </si>
  <si>
    <t>Batch</t>
  </si>
  <si>
    <t>Q1</t>
  </si>
  <si>
    <t>C1</t>
  </si>
  <si>
    <t>E1</t>
  </si>
  <si>
    <t>R2</t>
  </si>
  <si>
    <t>R3</t>
  </si>
  <si>
    <t>Sicyos angulatus</t>
  </si>
  <si>
    <t>Persicaria punctata</t>
  </si>
  <si>
    <t>Symphiotrichum ontarionis</t>
  </si>
  <si>
    <t>Laportea canadensis</t>
  </si>
  <si>
    <t>Pilea pumila</t>
  </si>
  <si>
    <t>Elymus virginicus</t>
  </si>
  <si>
    <t>Ulmus americana</t>
  </si>
  <si>
    <t>Viola sororia</t>
  </si>
  <si>
    <t>Fraxinus pennsylvannica</t>
  </si>
  <si>
    <t>Spp</t>
  </si>
  <si>
    <t>Bag</t>
  </si>
  <si>
    <t>Dry mass w/ bag (g)</t>
  </si>
  <si>
    <t>Vitis riparia</t>
  </si>
  <si>
    <t>S</t>
  </si>
  <si>
    <t>Scutellaria lateriflora</t>
  </si>
  <si>
    <t>M</t>
  </si>
  <si>
    <t>Boehmerica cylindrica</t>
  </si>
  <si>
    <t>Bidens frondosa</t>
  </si>
  <si>
    <t>Morus alba</t>
  </si>
  <si>
    <t>R1</t>
  </si>
  <si>
    <t>Stachys palustris</t>
  </si>
  <si>
    <t>Smilax tamnoides</t>
  </si>
  <si>
    <t>Unidentified seedling</t>
  </si>
  <si>
    <t>Leersia virginica</t>
  </si>
  <si>
    <t>Acalcypha rhomboidea</t>
  </si>
  <si>
    <t>Ambrosia trifida</t>
  </si>
  <si>
    <t>Leersia oryzoides</t>
  </si>
  <si>
    <t>Carex grisea</t>
  </si>
  <si>
    <t>Phytolacca americana</t>
  </si>
  <si>
    <t>C2</t>
  </si>
  <si>
    <t>D3</t>
  </si>
  <si>
    <t>D2</t>
  </si>
  <si>
    <t>L</t>
  </si>
  <si>
    <t>E3</t>
  </si>
  <si>
    <t>SM</t>
  </si>
  <si>
    <t>UNK</t>
  </si>
  <si>
    <t>B3</t>
  </si>
  <si>
    <t>Packera glabella</t>
  </si>
  <si>
    <t>E</t>
  </si>
  <si>
    <t>D1</t>
  </si>
  <si>
    <t>Carex grayi</t>
  </si>
  <si>
    <t>B2</t>
  </si>
  <si>
    <t>Galium aparine</t>
  </si>
  <si>
    <t>C3</t>
  </si>
  <si>
    <t>Parthenocissus quinquefolia</t>
  </si>
  <si>
    <t>Ageratina altissima</t>
  </si>
  <si>
    <t>Small-Medium bag mass (g)</t>
  </si>
  <si>
    <t>Large bag mass (g)</t>
  </si>
  <si>
    <t>Envelope mass (g)</t>
  </si>
  <si>
    <t>Prelimary biomass data</t>
  </si>
  <si>
    <t>Amaranthus tuberculatus</t>
  </si>
  <si>
    <t>Persicaria pensylvanica</t>
  </si>
  <si>
    <t>A3</t>
  </si>
  <si>
    <t>E2</t>
  </si>
  <si>
    <t>Solanum ptycanthum</t>
  </si>
  <si>
    <t>A2</t>
  </si>
  <si>
    <t>Trifolium repens</t>
  </si>
  <si>
    <t>End time</t>
  </si>
  <si>
    <t>Carya illinoinensis</t>
  </si>
  <si>
    <t>Initially unknown quadrat because bag not labelled</t>
  </si>
  <si>
    <t>Comment</t>
  </si>
  <si>
    <t>Estimated dry mass w/o bag (g)</t>
  </si>
  <si>
    <t>Actual dry mass w/o bag (g)</t>
  </si>
  <si>
    <t>Container mass (g)</t>
  </si>
  <si>
    <t>Actual dry mass + container w/o bag (g)</t>
  </si>
  <si>
    <t>Herbaceous litter</t>
  </si>
  <si>
    <t>Fine woody debris</t>
  </si>
  <si>
    <t>Max diameter (cm)</t>
  </si>
  <si>
    <t>Acalypha rhomboidea</t>
  </si>
  <si>
    <t>Symphyotrichum ontarionisis</t>
  </si>
  <si>
    <t>Carya illinoinensis</t>
  </si>
  <si>
    <t>Fraxinus pennsylvanica</t>
  </si>
  <si>
    <t>Solanum ptychanthum</t>
  </si>
  <si>
    <t>Total FWD</t>
  </si>
  <si>
    <t>Total herb litter</t>
  </si>
  <si>
    <t>Total litter</t>
  </si>
  <si>
    <t>B1 total hum jap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</si>
</sst>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AE034-4C35-486B-8082-0AE2176171C0}">
  <dimension ref="A1:G399"/>
  <sheetViews>
    <sheetView topLeftCell="A111" zoomScale="85" zoomScaleNormal="85" workbookViewId="0">
      <selection activeCell="A298" sqref="A298"/>
    </sheetView>
  </sheetViews>
  <sheetFormatPr defaultRowHeight="14.4" x14ac:dyDescent="0.3"/>
  <cols>
    <col min="1" max="1" width="11" customWidth="1"/>
    <col min="2" max="2" width="16.44140625" customWidth="1"/>
    <col min="3" max="3" width="25" bestFit="1" customWidth="1"/>
    <col min="4" max="4" width="38" style="2" bestFit="1" customWidth="1"/>
    <col min="5" max="5" width="18.5546875" bestFit="1" customWidth="1"/>
    <col min="6" max="6" width="26.88671875" bestFit="1" customWidth="1"/>
    <col min="7" max="7" width="16.6640625" bestFit="1" customWidth="1"/>
  </cols>
  <sheetData>
    <row r="1" spans="1:7" x14ac:dyDescent="0.3">
      <c r="A1" t="s">
        <v>0</v>
      </c>
      <c r="B1" t="s">
        <v>1</v>
      </c>
      <c r="C1" t="s">
        <v>38</v>
      </c>
      <c r="D1" s="2" t="s">
        <v>93</v>
      </c>
      <c r="E1" t="s">
        <v>92</v>
      </c>
      <c r="F1" t="s">
        <v>91</v>
      </c>
      <c r="G1" t="s">
        <v>96</v>
      </c>
    </row>
    <row r="2" spans="1:7" x14ac:dyDescent="0.3">
      <c r="A2" t="s">
        <v>20</v>
      </c>
      <c r="B2" t="s">
        <v>11</v>
      </c>
      <c r="C2" t="s">
        <v>21</v>
      </c>
      <c r="D2" s="2">
        <v>407.11</v>
      </c>
      <c r="E2">
        <v>406.57</v>
      </c>
      <c r="F2" s="2">
        <f>MAX(D2-E2, 0)</f>
        <v>0.54000000000002046</v>
      </c>
    </row>
    <row r="3" spans="1:7" x14ac:dyDescent="0.3">
      <c r="A3" t="s">
        <v>6</v>
      </c>
      <c r="B3" t="s">
        <v>17</v>
      </c>
      <c r="C3" t="s">
        <v>13</v>
      </c>
      <c r="D3" s="2">
        <v>424.37</v>
      </c>
      <c r="E3">
        <v>406.5</v>
      </c>
      <c r="F3" s="2">
        <f t="shared" ref="F3:F66" si="0">MAX(D3-E3, 0)</f>
        <v>17.870000000000005</v>
      </c>
    </row>
    <row r="4" spans="1:7" x14ac:dyDescent="0.3">
      <c r="A4" t="s">
        <v>6</v>
      </c>
      <c r="B4" t="s">
        <v>11</v>
      </c>
      <c r="C4" t="s">
        <v>12</v>
      </c>
      <c r="D4" s="2">
        <v>406.74</v>
      </c>
      <c r="E4">
        <v>406.55</v>
      </c>
      <c r="F4" s="2">
        <f t="shared" si="0"/>
        <v>0.18999999999999773</v>
      </c>
    </row>
    <row r="5" spans="1:7" x14ac:dyDescent="0.3">
      <c r="A5" t="s">
        <v>6</v>
      </c>
      <c r="B5" t="s">
        <v>11</v>
      </c>
      <c r="C5" t="s">
        <v>19</v>
      </c>
      <c r="D5" s="2">
        <v>406.88</v>
      </c>
      <c r="E5" s="2">
        <v>406.8</v>
      </c>
      <c r="F5" s="2">
        <f t="shared" si="0"/>
        <v>7.9999999999984084E-2</v>
      </c>
    </row>
    <row r="6" spans="1:7" x14ac:dyDescent="0.3">
      <c r="A6" t="s">
        <v>6</v>
      </c>
      <c r="B6" t="s">
        <v>11</v>
      </c>
      <c r="C6" t="s">
        <v>18</v>
      </c>
      <c r="D6" s="2">
        <v>487.07</v>
      </c>
      <c r="E6" s="2">
        <v>406.99</v>
      </c>
      <c r="F6" s="2">
        <f t="shared" si="0"/>
        <v>80.079999999999984</v>
      </c>
    </row>
    <row r="7" spans="1:7" x14ac:dyDescent="0.3">
      <c r="A7" t="s">
        <v>6</v>
      </c>
      <c r="B7" t="s">
        <v>7</v>
      </c>
      <c r="C7" t="s">
        <v>13</v>
      </c>
      <c r="D7" s="2">
        <v>420.26</v>
      </c>
      <c r="E7">
        <v>406.8</v>
      </c>
      <c r="F7" s="2">
        <f t="shared" si="0"/>
        <v>13.45999999999998</v>
      </c>
    </row>
    <row r="8" spans="1:7" x14ac:dyDescent="0.3">
      <c r="A8" t="s">
        <v>6</v>
      </c>
      <c r="B8" t="s">
        <v>7</v>
      </c>
      <c r="C8" t="s">
        <v>8</v>
      </c>
      <c r="D8" s="2">
        <v>410.7</v>
      </c>
      <c r="E8">
        <v>406.61</v>
      </c>
      <c r="F8" s="2">
        <f t="shared" si="0"/>
        <v>4.089999999999975</v>
      </c>
    </row>
    <row r="9" spans="1:7" x14ac:dyDescent="0.3">
      <c r="A9" t="s">
        <v>6</v>
      </c>
      <c r="B9" t="s">
        <v>7</v>
      </c>
      <c r="C9" t="s">
        <v>18</v>
      </c>
      <c r="D9" s="2">
        <v>408.65</v>
      </c>
      <c r="E9">
        <v>407.05</v>
      </c>
      <c r="F9" s="2">
        <f t="shared" si="0"/>
        <v>1.5999999999999659</v>
      </c>
    </row>
    <row r="10" spans="1:7" x14ac:dyDescent="0.3">
      <c r="A10" t="s">
        <v>68</v>
      </c>
      <c r="B10" t="s">
        <v>11</v>
      </c>
      <c r="C10" t="s">
        <v>30</v>
      </c>
      <c r="D10" s="2">
        <v>412.44</v>
      </c>
      <c r="E10">
        <v>407.1</v>
      </c>
      <c r="F10" s="2">
        <f t="shared" si="0"/>
        <v>5.339999999999975</v>
      </c>
    </row>
    <row r="11" spans="1:7" x14ac:dyDescent="0.3">
      <c r="A11" t="s">
        <v>60</v>
      </c>
      <c r="B11" t="s">
        <v>7</v>
      </c>
      <c r="C11" t="s">
        <v>74</v>
      </c>
      <c r="D11" s="2">
        <v>412</v>
      </c>
      <c r="E11">
        <v>406.51</v>
      </c>
      <c r="F11" s="2">
        <f t="shared" si="0"/>
        <v>5.4900000000000091</v>
      </c>
    </row>
    <row r="12" spans="1:7" x14ac:dyDescent="0.3">
      <c r="A12" t="s">
        <v>62</v>
      </c>
      <c r="B12" t="s">
        <v>14</v>
      </c>
      <c r="C12" t="s">
        <v>13</v>
      </c>
      <c r="D12" s="2">
        <v>437.59</v>
      </c>
      <c r="E12">
        <v>406.48</v>
      </c>
      <c r="F12" s="2">
        <f t="shared" si="0"/>
        <v>31.109999999999957</v>
      </c>
    </row>
    <row r="13" spans="1:7" x14ac:dyDescent="0.3">
      <c r="A13" t="s">
        <v>6</v>
      </c>
      <c r="B13" t="s">
        <v>24</v>
      </c>
      <c r="C13" t="s">
        <v>94</v>
      </c>
      <c r="D13" s="2">
        <v>480.63</v>
      </c>
      <c r="E13">
        <v>406.77</v>
      </c>
      <c r="F13" s="2">
        <f t="shared" si="0"/>
        <v>73.860000000000014</v>
      </c>
    </row>
    <row r="14" spans="1:7" x14ac:dyDescent="0.3">
      <c r="A14" t="s">
        <v>6</v>
      </c>
      <c r="B14" t="s">
        <v>24</v>
      </c>
      <c r="C14" t="s">
        <v>95</v>
      </c>
      <c r="D14" s="2">
        <v>462.37</v>
      </c>
      <c r="E14">
        <v>406.48</v>
      </c>
      <c r="F14" s="2">
        <f t="shared" si="0"/>
        <v>55.889999999999986</v>
      </c>
    </row>
    <row r="15" spans="1:7" x14ac:dyDescent="0.3">
      <c r="A15" t="s">
        <v>27</v>
      </c>
      <c r="B15" t="s">
        <v>14</v>
      </c>
      <c r="C15" t="s">
        <v>47</v>
      </c>
      <c r="D15" s="2">
        <v>420.26</v>
      </c>
      <c r="E15">
        <v>406.79</v>
      </c>
      <c r="F15" s="2">
        <f t="shared" si="0"/>
        <v>13.46999999999997</v>
      </c>
    </row>
    <row r="16" spans="1:7" x14ac:dyDescent="0.3">
      <c r="A16" t="s">
        <v>27</v>
      </c>
      <c r="B16" t="s">
        <v>11</v>
      </c>
      <c r="C16" t="s">
        <v>35</v>
      </c>
      <c r="D16" s="2">
        <v>411.83</v>
      </c>
      <c r="E16">
        <v>406.52</v>
      </c>
      <c r="F16" s="2">
        <f t="shared" si="0"/>
        <v>5.3100000000000023</v>
      </c>
    </row>
    <row r="17" spans="1:6" x14ac:dyDescent="0.3">
      <c r="A17" t="s">
        <v>27</v>
      </c>
      <c r="B17" t="s">
        <v>14</v>
      </c>
      <c r="C17" t="s">
        <v>29</v>
      </c>
      <c r="D17" s="2">
        <v>408.32</v>
      </c>
      <c r="E17">
        <v>406.43</v>
      </c>
      <c r="F17" s="2">
        <f t="shared" si="0"/>
        <v>1.8899999999999864</v>
      </c>
    </row>
    <row r="18" spans="1:6" x14ac:dyDescent="0.3">
      <c r="A18" t="s">
        <v>27</v>
      </c>
      <c r="B18" t="s">
        <v>17</v>
      </c>
      <c r="C18" t="s">
        <v>54</v>
      </c>
      <c r="D18" s="2">
        <v>412.64</v>
      </c>
      <c r="E18">
        <v>406.41</v>
      </c>
      <c r="F18" s="2">
        <f t="shared" si="0"/>
        <v>6.2299999999999613</v>
      </c>
    </row>
    <row r="19" spans="1:6" x14ac:dyDescent="0.3">
      <c r="A19" t="s">
        <v>27</v>
      </c>
      <c r="B19" t="s">
        <v>17</v>
      </c>
      <c r="C19" t="s">
        <v>33</v>
      </c>
      <c r="D19" s="2">
        <v>414.87</v>
      </c>
      <c r="E19">
        <v>406.41</v>
      </c>
      <c r="F19" s="2">
        <f t="shared" si="0"/>
        <v>8.4599999999999795</v>
      </c>
    </row>
    <row r="20" spans="1:6" x14ac:dyDescent="0.3">
      <c r="A20" t="s">
        <v>27</v>
      </c>
      <c r="B20" t="s">
        <v>17</v>
      </c>
      <c r="C20" t="s">
        <v>47</v>
      </c>
      <c r="D20" s="2">
        <v>407.1</v>
      </c>
      <c r="E20">
        <v>406.43</v>
      </c>
      <c r="F20" s="2">
        <f t="shared" si="0"/>
        <v>0.67000000000001592</v>
      </c>
    </row>
    <row r="21" spans="1:6" x14ac:dyDescent="0.3">
      <c r="A21" t="s">
        <v>27</v>
      </c>
      <c r="B21" t="s">
        <v>17</v>
      </c>
      <c r="C21" t="s">
        <v>55</v>
      </c>
      <c r="D21" s="2">
        <v>407.82</v>
      </c>
      <c r="E21">
        <v>406.41</v>
      </c>
      <c r="F21" s="2">
        <f t="shared" si="0"/>
        <v>1.4099999999999682</v>
      </c>
    </row>
    <row r="22" spans="1:6" x14ac:dyDescent="0.3">
      <c r="A22" t="s">
        <v>27</v>
      </c>
      <c r="B22" t="s">
        <v>11</v>
      </c>
      <c r="C22" t="s">
        <v>12</v>
      </c>
      <c r="D22" s="2">
        <v>406.75</v>
      </c>
      <c r="E22">
        <v>406.41</v>
      </c>
      <c r="F22" s="2">
        <f t="shared" si="0"/>
        <v>0.33999999999997499</v>
      </c>
    </row>
    <row r="23" spans="1:6" x14ac:dyDescent="0.3">
      <c r="A23" t="s">
        <v>27</v>
      </c>
      <c r="B23" t="s">
        <v>17</v>
      </c>
      <c r="C23" t="s">
        <v>29</v>
      </c>
      <c r="D23" s="2">
        <v>408.89</v>
      </c>
      <c r="E23">
        <v>406.41</v>
      </c>
      <c r="F23" s="2">
        <f t="shared" si="0"/>
        <v>2.4799999999999613</v>
      </c>
    </row>
    <row r="24" spans="1:6" x14ac:dyDescent="0.3">
      <c r="A24" t="s">
        <v>27</v>
      </c>
      <c r="B24" t="s">
        <v>7</v>
      </c>
      <c r="C24" t="s">
        <v>29</v>
      </c>
      <c r="D24" s="2">
        <v>419.37</v>
      </c>
      <c r="E24">
        <v>406.41</v>
      </c>
      <c r="F24" s="2">
        <f t="shared" si="0"/>
        <v>12.95999999999998</v>
      </c>
    </row>
    <row r="25" spans="1:6" x14ac:dyDescent="0.3">
      <c r="A25" t="s">
        <v>27</v>
      </c>
      <c r="B25" t="s">
        <v>14</v>
      </c>
      <c r="C25" t="s">
        <v>33</v>
      </c>
      <c r="D25" s="2">
        <v>411.19</v>
      </c>
      <c r="E25">
        <v>406.41</v>
      </c>
      <c r="F25" s="2">
        <f t="shared" si="0"/>
        <v>4.7799999999999727</v>
      </c>
    </row>
    <row r="26" spans="1:6" x14ac:dyDescent="0.3">
      <c r="A26" t="s">
        <v>27</v>
      </c>
      <c r="B26" t="s">
        <v>17</v>
      </c>
      <c r="C26" t="s">
        <v>46</v>
      </c>
      <c r="D26" s="2">
        <v>409.28</v>
      </c>
      <c r="E26">
        <v>406.41</v>
      </c>
      <c r="F26" s="2">
        <f t="shared" si="0"/>
        <v>2.8699999999999477</v>
      </c>
    </row>
    <row r="27" spans="1:6" x14ac:dyDescent="0.3">
      <c r="A27" t="s">
        <v>27</v>
      </c>
      <c r="B27" t="s">
        <v>14</v>
      </c>
      <c r="C27" t="s">
        <v>46</v>
      </c>
      <c r="D27" s="2">
        <v>425.57</v>
      </c>
      <c r="E27">
        <v>406.41</v>
      </c>
      <c r="F27" s="2">
        <f t="shared" si="0"/>
        <v>19.159999999999968</v>
      </c>
    </row>
    <row r="28" spans="1:6" x14ac:dyDescent="0.3">
      <c r="A28" t="s">
        <v>27</v>
      </c>
      <c r="B28" t="s">
        <v>17</v>
      </c>
      <c r="C28" t="s">
        <v>97</v>
      </c>
      <c r="D28" s="2">
        <v>406.49</v>
      </c>
      <c r="E28">
        <v>406.41</v>
      </c>
      <c r="F28" s="2">
        <f t="shared" si="0"/>
        <v>7.9999999999984084E-2</v>
      </c>
    </row>
    <row r="29" spans="1:6" x14ac:dyDescent="0.3">
      <c r="A29" t="s">
        <v>27</v>
      </c>
      <c r="B29" t="s">
        <v>14</v>
      </c>
      <c r="C29" t="s">
        <v>35</v>
      </c>
      <c r="D29" s="2">
        <v>406.62</v>
      </c>
      <c r="E29">
        <v>406.41</v>
      </c>
      <c r="F29" s="2">
        <f t="shared" si="0"/>
        <v>0.20999999999997954</v>
      </c>
    </row>
    <row r="30" spans="1:6" x14ac:dyDescent="0.3">
      <c r="A30" t="s">
        <v>27</v>
      </c>
      <c r="B30" t="s">
        <v>24</v>
      </c>
      <c r="C30" t="s">
        <v>33</v>
      </c>
      <c r="D30" s="2">
        <v>406.68</v>
      </c>
      <c r="E30">
        <v>406.41</v>
      </c>
      <c r="F30" s="2">
        <f t="shared" si="0"/>
        <v>0.26999999999998181</v>
      </c>
    </row>
    <row r="31" spans="1:6" x14ac:dyDescent="0.3">
      <c r="A31" t="s">
        <v>27</v>
      </c>
      <c r="B31" t="s">
        <v>24</v>
      </c>
      <c r="C31" t="s">
        <v>35</v>
      </c>
      <c r="D31" s="2">
        <v>406.99</v>
      </c>
      <c r="E31">
        <v>406.41</v>
      </c>
      <c r="F31" s="2">
        <f t="shared" si="0"/>
        <v>0.57999999999998408</v>
      </c>
    </row>
    <row r="32" spans="1:6" x14ac:dyDescent="0.3">
      <c r="A32" t="s">
        <v>27</v>
      </c>
      <c r="B32" t="s">
        <v>7</v>
      </c>
      <c r="C32" t="s">
        <v>32</v>
      </c>
      <c r="D32" s="2">
        <v>412.01</v>
      </c>
      <c r="E32">
        <v>406.41</v>
      </c>
      <c r="F32" s="2">
        <f t="shared" si="0"/>
        <v>5.5999999999999659</v>
      </c>
    </row>
    <row r="33" spans="1:6" x14ac:dyDescent="0.3">
      <c r="A33" t="s">
        <v>27</v>
      </c>
      <c r="B33" t="s">
        <v>24</v>
      </c>
      <c r="C33" t="s">
        <v>46</v>
      </c>
      <c r="D33" s="2">
        <v>413.93</v>
      </c>
      <c r="E33">
        <v>406.41</v>
      </c>
      <c r="F33" s="2">
        <f t="shared" si="0"/>
        <v>7.5199999999999818</v>
      </c>
    </row>
    <row r="34" spans="1:6" x14ac:dyDescent="0.3">
      <c r="A34" t="s">
        <v>27</v>
      </c>
      <c r="B34" t="s">
        <v>24</v>
      </c>
      <c r="C34" t="s">
        <v>29</v>
      </c>
      <c r="D34" s="2">
        <v>407.64</v>
      </c>
      <c r="E34">
        <v>406.41</v>
      </c>
      <c r="F34" s="2">
        <f t="shared" si="0"/>
        <v>1.2299999999999613</v>
      </c>
    </row>
    <row r="35" spans="1:6" x14ac:dyDescent="0.3">
      <c r="A35" t="s">
        <v>48</v>
      </c>
      <c r="B35" t="s">
        <v>11</v>
      </c>
      <c r="C35" t="s">
        <v>30</v>
      </c>
      <c r="D35" s="2">
        <v>406.32</v>
      </c>
      <c r="E35">
        <v>406.36</v>
      </c>
      <c r="F35" s="2">
        <f t="shared" si="0"/>
        <v>0</v>
      </c>
    </row>
    <row r="36" spans="1:6" x14ac:dyDescent="0.3">
      <c r="A36" t="s">
        <v>48</v>
      </c>
      <c r="B36" t="s">
        <v>17</v>
      </c>
      <c r="C36" t="s">
        <v>56</v>
      </c>
      <c r="D36" s="2">
        <v>411.28</v>
      </c>
      <c r="E36">
        <v>406.36</v>
      </c>
      <c r="F36" s="2">
        <f t="shared" si="0"/>
        <v>4.9199999999999591</v>
      </c>
    </row>
    <row r="37" spans="1:6" x14ac:dyDescent="0.3">
      <c r="A37" t="s">
        <v>48</v>
      </c>
      <c r="B37" t="s">
        <v>14</v>
      </c>
      <c r="C37" t="s">
        <v>49</v>
      </c>
      <c r="D37" s="2">
        <v>406.52</v>
      </c>
      <c r="E37">
        <v>406.36</v>
      </c>
      <c r="F37" s="2">
        <f t="shared" si="0"/>
        <v>0.15999999999996817</v>
      </c>
    </row>
    <row r="38" spans="1:6" x14ac:dyDescent="0.3">
      <c r="A38" t="s">
        <v>48</v>
      </c>
      <c r="B38" t="s">
        <v>14</v>
      </c>
      <c r="C38" t="s">
        <v>52</v>
      </c>
      <c r="D38" s="2">
        <v>406.37</v>
      </c>
      <c r="E38">
        <v>406.36</v>
      </c>
      <c r="F38" s="2">
        <f t="shared" si="0"/>
        <v>9.9999999999909051E-3</v>
      </c>
    </row>
    <row r="39" spans="1:6" x14ac:dyDescent="0.3">
      <c r="A39" t="s">
        <v>48</v>
      </c>
      <c r="B39" t="s">
        <v>17</v>
      </c>
      <c r="C39" t="s">
        <v>29</v>
      </c>
      <c r="D39" s="2">
        <v>411.74</v>
      </c>
      <c r="E39">
        <v>406.36</v>
      </c>
      <c r="F39" s="2">
        <f t="shared" si="0"/>
        <v>5.3799999999999955</v>
      </c>
    </row>
    <row r="40" spans="1:6" x14ac:dyDescent="0.3">
      <c r="A40" t="s">
        <v>48</v>
      </c>
      <c r="B40" t="s">
        <v>24</v>
      </c>
      <c r="C40" t="s">
        <v>29</v>
      </c>
      <c r="D40" s="2">
        <v>407.23</v>
      </c>
      <c r="E40">
        <v>406.36</v>
      </c>
      <c r="F40" s="2">
        <f t="shared" si="0"/>
        <v>0.87000000000000455</v>
      </c>
    </row>
    <row r="41" spans="1:6" x14ac:dyDescent="0.3">
      <c r="A41" t="s">
        <v>48</v>
      </c>
      <c r="B41" t="s">
        <v>24</v>
      </c>
      <c r="C41" t="s">
        <v>49</v>
      </c>
      <c r="D41" s="2">
        <v>407.2</v>
      </c>
      <c r="E41">
        <v>406.36</v>
      </c>
      <c r="F41" s="2">
        <f t="shared" si="0"/>
        <v>0.83999999999997499</v>
      </c>
    </row>
    <row r="42" spans="1:6" x14ac:dyDescent="0.3">
      <c r="A42" t="s">
        <v>48</v>
      </c>
      <c r="B42" t="s">
        <v>11</v>
      </c>
      <c r="C42" t="s">
        <v>71</v>
      </c>
      <c r="D42" s="2">
        <v>406.36</v>
      </c>
      <c r="E42">
        <v>406.36</v>
      </c>
      <c r="F42" s="2">
        <f t="shared" si="0"/>
        <v>0</v>
      </c>
    </row>
    <row r="43" spans="1:6" x14ac:dyDescent="0.3">
      <c r="A43" t="s">
        <v>48</v>
      </c>
      <c r="B43" t="s">
        <v>24</v>
      </c>
      <c r="C43" t="s">
        <v>50</v>
      </c>
      <c r="D43" s="2">
        <v>406.97</v>
      </c>
      <c r="E43">
        <v>406.36</v>
      </c>
      <c r="F43" s="2">
        <f t="shared" si="0"/>
        <v>0.61000000000001364</v>
      </c>
    </row>
    <row r="44" spans="1:6" x14ac:dyDescent="0.3">
      <c r="A44" t="s">
        <v>48</v>
      </c>
      <c r="B44" t="s">
        <v>17</v>
      </c>
      <c r="C44" t="s">
        <v>57</v>
      </c>
      <c r="D44" s="2">
        <v>421.77</v>
      </c>
      <c r="E44">
        <v>406.36</v>
      </c>
      <c r="F44" s="2">
        <f t="shared" si="0"/>
        <v>15.409999999999968</v>
      </c>
    </row>
    <row r="45" spans="1:6" x14ac:dyDescent="0.3">
      <c r="A45" t="s">
        <v>28</v>
      </c>
      <c r="B45" t="s">
        <v>14</v>
      </c>
      <c r="C45" t="s">
        <v>12</v>
      </c>
      <c r="D45" s="2">
        <v>406.45</v>
      </c>
      <c r="E45">
        <v>406.36</v>
      </c>
      <c r="F45" s="2">
        <f t="shared" si="0"/>
        <v>8.9999999999974989E-2</v>
      </c>
    </row>
    <row r="46" spans="1:6" x14ac:dyDescent="0.3">
      <c r="A46" t="s">
        <v>28</v>
      </c>
      <c r="B46" t="s">
        <v>24</v>
      </c>
      <c r="C46" t="s">
        <v>30</v>
      </c>
      <c r="D46" s="2">
        <v>406.58</v>
      </c>
      <c r="E46">
        <v>406.36</v>
      </c>
      <c r="F46" s="2">
        <f t="shared" si="0"/>
        <v>0.21999999999997044</v>
      </c>
    </row>
    <row r="47" spans="1:6" x14ac:dyDescent="0.3">
      <c r="A47" t="s">
        <v>28</v>
      </c>
      <c r="B47" t="s">
        <v>7</v>
      </c>
      <c r="C47" t="s">
        <v>43</v>
      </c>
      <c r="D47" s="2">
        <v>407.2</v>
      </c>
      <c r="E47">
        <v>406.36</v>
      </c>
      <c r="F47" s="2">
        <f t="shared" si="0"/>
        <v>0.83999999999997499</v>
      </c>
    </row>
    <row r="48" spans="1:6" x14ac:dyDescent="0.3">
      <c r="A48" t="s">
        <v>28</v>
      </c>
      <c r="B48" t="s">
        <v>24</v>
      </c>
      <c r="C48" t="s">
        <v>47</v>
      </c>
      <c r="D48" s="2">
        <v>407.3</v>
      </c>
      <c r="E48">
        <v>406.36</v>
      </c>
      <c r="F48" s="2">
        <f t="shared" si="0"/>
        <v>0.93999999999999773</v>
      </c>
    </row>
    <row r="49" spans="1:6" x14ac:dyDescent="0.3">
      <c r="A49" t="s">
        <v>28</v>
      </c>
      <c r="B49" t="s">
        <v>24</v>
      </c>
      <c r="C49" t="s">
        <v>33</v>
      </c>
      <c r="D49" s="2">
        <v>406.38</v>
      </c>
      <c r="E49">
        <v>406.36</v>
      </c>
      <c r="F49" s="2">
        <f t="shared" si="0"/>
        <v>1.999999999998181E-2</v>
      </c>
    </row>
    <row r="50" spans="1:6" x14ac:dyDescent="0.3">
      <c r="A50" t="s">
        <v>28</v>
      </c>
      <c r="B50" t="s">
        <v>17</v>
      </c>
      <c r="C50" t="s">
        <v>80</v>
      </c>
      <c r="D50" s="2">
        <v>406.65</v>
      </c>
      <c r="E50">
        <v>406.36</v>
      </c>
      <c r="F50" s="2">
        <f t="shared" si="0"/>
        <v>0.28999999999996362</v>
      </c>
    </row>
    <row r="51" spans="1:6" x14ac:dyDescent="0.3">
      <c r="A51" t="s">
        <v>28</v>
      </c>
      <c r="B51" t="s">
        <v>24</v>
      </c>
      <c r="C51" t="s">
        <v>46</v>
      </c>
      <c r="D51" s="2">
        <v>422.68</v>
      </c>
      <c r="E51">
        <v>406.36</v>
      </c>
      <c r="F51" s="2">
        <f t="shared" si="0"/>
        <v>16.319999999999993</v>
      </c>
    </row>
    <row r="52" spans="1:6" x14ac:dyDescent="0.3">
      <c r="A52" t="s">
        <v>28</v>
      </c>
      <c r="B52" t="s">
        <v>11</v>
      </c>
      <c r="C52" t="s">
        <v>45</v>
      </c>
      <c r="D52" s="2">
        <v>407.08</v>
      </c>
      <c r="E52">
        <v>406.36</v>
      </c>
      <c r="F52" s="2">
        <f t="shared" si="0"/>
        <v>0.71999999999997044</v>
      </c>
    </row>
    <row r="53" spans="1:6" x14ac:dyDescent="0.3">
      <c r="A53" t="s">
        <v>26</v>
      </c>
      <c r="B53" t="s">
        <v>17</v>
      </c>
      <c r="C53" t="s">
        <v>13</v>
      </c>
      <c r="D53" s="2">
        <v>470.94</v>
      </c>
      <c r="E53">
        <v>406.36</v>
      </c>
      <c r="F53" s="2">
        <f t="shared" si="0"/>
        <v>64.579999999999984</v>
      </c>
    </row>
    <row r="54" spans="1:6" x14ac:dyDescent="0.3">
      <c r="A54" t="s">
        <v>26</v>
      </c>
      <c r="B54" t="s">
        <v>11</v>
      </c>
      <c r="C54" t="s">
        <v>13</v>
      </c>
      <c r="D54" s="2">
        <v>411.33</v>
      </c>
      <c r="E54">
        <v>406.36</v>
      </c>
      <c r="F54" s="2">
        <f t="shared" si="0"/>
        <v>4.9699999999999704</v>
      </c>
    </row>
    <row r="55" spans="1:6" x14ac:dyDescent="0.3">
      <c r="A55" t="s">
        <v>26</v>
      </c>
      <c r="B55" t="s">
        <v>14</v>
      </c>
      <c r="C55" t="s">
        <v>13</v>
      </c>
      <c r="D55" s="2">
        <v>418.73</v>
      </c>
      <c r="E55">
        <v>406.36</v>
      </c>
      <c r="F55" s="2">
        <f t="shared" si="0"/>
        <v>12.370000000000005</v>
      </c>
    </row>
    <row r="56" spans="1:6" x14ac:dyDescent="0.3">
      <c r="A56" t="s">
        <v>26</v>
      </c>
      <c r="B56" t="s">
        <v>7</v>
      </c>
      <c r="C56" t="s">
        <v>29</v>
      </c>
      <c r="D56" s="2">
        <v>410</v>
      </c>
      <c r="E56">
        <v>406.36</v>
      </c>
      <c r="F56" s="2">
        <f t="shared" si="0"/>
        <v>3.6399999999999864</v>
      </c>
    </row>
    <row r="57" spans="1:6" x14ac:dyDescent="0.3">
      <c r="A57" t="s">
        <v>6</v>
      </c>
      <c r="B57" t="s">
        <v>24</v>
      </c>
      <c r="C57" t="s">
        <v>13</v>
      </c>
      <c r="D57" s="2">
        <v>444.08</v>
      </c>
      <c r="E57">
        <v>406.36</v>
      </c>
      <c r="F57" s="2">
        <f t="shared" si="0"/>
        <v>37.71999999999997</v>
      </c>
    </row>
    <row r="58" spans="1:6" x14ac:dyDescent="0.3">
      <c r="A58" t="s">
        <v>70</v>
      </c>
      <c r="B58" t="s">
        <v>11</v>
      </c>
      <c r="C58" t="s">
        <v>30</v>
      </c>
      <c r="D58" s="2">
        <v>406.63</v>
      </c>
      <c r="E58">
        <v>406.36</v>
      </c>
      <c r="F58" s="2">
        <f t="shared" si="0"/>
        <v>0.26999999999998181</v>
      </c>
    </row>
    <row r="59" spans="1:6" x14ac:dyDescent="0.3">
      <c r="A59" t="s">
        <v>70</v>
      </c>
      <c r="B59" t="s">
        <v>14</v>
      </c>
      <c r="C59" t="s">
        <v>41</v>
      </c>
      <c r="D59" s="2">
        <v>406.46</v>
      </c>
      <c r="E59">
        <v>406.36</v>
      </c>
      <c r="F59" s="2">
        <f t="shared" si="0"/>
        <v>9.9999999999965894E-2</v>
      </c>
    </row>
    <row r="60" spans="1:6" x14ac:dyDescent="0.3">
      <c r="A60" t="s">
        <v>70</v>
      </c>
      <c r="B60" t="s">
        <v>14</v>
      </c>
      <c r="C60" t="s">
        <v>71</v>
      </c>
      <c r="D60" s="2">
        <v>406.42</v>
      </c>
      <c r="E60">
        <v>406.36</v>
      </c>
      <c r="F60" s="2">
        <f t="shared" si="0"/>
        <v>6.0000000000002274E-2</v>
      </c>
    </row>
    <row r="61" spans="1:6" x14ac:dyDescent="0.3">
      <c r="A61" t="s">
        <v>70</v>
      </c>
      <c r="B61" t="s">
        <v>14</v>
      </c>
      <c r="C61" t="s">
        <v>13</v>
      </c>
      <c r="D61" s="2">
        <v>406.61</v>
      </c>
      <c r="E61">
        <v>406.36</v>
      </c>
      <c r="F61" s="2">
        <f t="shared" si="0"/>
        <v>0.25</v>
      </c>
    </row>
    <row r="62" spans="1:6" x14ac:dyDescent="0.3">
      <c r="A62" t="s">
        <v>70</v>
      </c>
      <c r="B62" t="s">
        <v>17</v>
      </c>
      <c r="C62" t="s">
        <v>71</v>
      </c>
      <c r="D62" s="2">
        <v>406.43</v>
      </c>
      <c r="E62">
        <v>406.36</v>
      </c>
      <c r="F62" s="2">
        <f t="shared" si="0"/>
        <v>6.9999999999993179E-2</v>
      </c>
    </row>
    <row r="63" spans="1:6" x14ac:dyDescent="0.3">
      <c r="A63" t="s">
        <v>70</v>
      </c>
      <c r="B63" t="s">
        <v>24</v>
      </c>
      <c r="C63" t="s">
        <v>71</v>
      </c>
      <c r="D63" s="2">
        <v>406.41</v>
      </c>
      <c r="E63">
        <v>406.36</v>
      </c>
      <c r="F63" s="2">
        <f t="shared" si="0"/>
        <v>5.0000000000011369E-2</v>
      </c>
    </row>
    <row r="64" spans="1:6" x14ac:dyDescent="0.3">
      <c r="A64" t="s">
        <v>70</v>
      </c>
      <c r="B64" t="s">
        <v>11</v>
      </c>
      <c r="C64" t="s">
        <v>29</v>
      </c>
      <c r="D64" s="2">
        <v>406.92</v>
      </c>
      <c r="E64">
        <v>406.36</v>
      </c>
      <c r="F64" s="2">
        <f t="shared" si="0"/>
        <v>0.56000000000000227</v>
      </c>
    </row>
    <row r="65" spans="1:6" x14ac:dyDescent="0.3">
      <c r="A65" t="s">
        <v>70</v>
      </c>
      <c r="B65" t="s">
        <v>7</v>
      </c>
      <c r="C65" t="s">
        <v>71</v>
      </c>
      <c r="D65" s="2">
        <v>407.02</v>
      </c>
      <c r="E65">
        <v>406.36</v>
      </c>
      <c r="F65" s="2">
        <f t="shared" si="0"/>
        <v>0.65999999999996817</v>
      </c>
    </row>
    <row r="66" spans="1:6" x14ac:dyDescent="0.3">
      <c r="A66" t="s">
        <v>65</v>
      </c>
      <c r="B66" t="s">
        <v>24</v>
      </c>
      <c r="C66" t="s">
        <v>71</v>
      </c>
      <c r="D66" s="2">
        <v>406.37</v>
      </c>
      <c r="E66">
        <v>406.36</v>
      </c>
      <c r="F66" s="2">
        <f t="shared" si="0"/>
        <v>9.9999999999909051E-3</v>
      </c>
    </row>
    <row r="67" spans="1:6" x14ac:dyDescent="0.3">
      <c r="A67" t="s">
        <v>65</v>
      </c>
      <c r="B67" t="s">
        <v>17</v>
      </c>
      <c r="C67" t="s">
        <v>71</v>
      </c>
      <c r="D67" s="2">
        <v>406.36</v>
      </c>
      <c r="E67">
        <v>406.36</v>
      </c>
      <c r="F67" s="2">
        <f t="shared" ref="F67:F130" si="1">MAX(D67-E67, 0)</f>
        <v>0</v>
      </c>
    </row>
    <row r="68" spans="1:6" x14ac:dyDescent="0.3">
      <c r="A68" t="s">
        <v>65</v>
      </c>
      <c r="B68" t="s">
        <v>11</v>
      </c>
      <c r="C68" t="s">
        <v>71</v>
      </c>
      <c r="D68" s="2">
        <v>406.38</v>
      </c>
      <c r="E68">
        <v>406.36</v>
      </c>
      <c r="F68" s="2">
        <f t="shared" si="1"/>
        <v>1.999999999998181E-2</v>
      </c>
    </row>
    <row r="69" spans="1:6" x14ac:dyDescent="0.3">
      <c r="A69" t="s">
        <v>65</v>
      </c>
      <c r="B69" t="s">
        <v>14</v>
      </c>
      <c r="C69" t="s">
        <v>71</v>
      </c>
      <c r="D69" s="2">
        <v>406.36</v>
      </c>
      <c r="E69">
        <v>406.36</v>
      </c>
      <c r="F69" s="2">
        <f t="shared" si="1"/>
        <v>0</v>
      </c>
    </row>
    <row r="70" spans="1:6" x14ac:dyDescent="0.3">
      <c r="A70" t="s">
        <v>65</v>
      </c>
      <c r="B70" t="s">
        <v>7</v>
      </c>
      <c r="C70" t="s">
        <v>66</v>
      </c>
      <c r="D70" s="2">
        <v>407.27</v>
      </c>
      <c r="E70">
        <v>406.36</v>
      </c>
      <c r="F70" s="2">
        <f t="shared" si="1"/>
        <v>0.90999999999996817</v>
      </c>
    </row>
    <row r="71" spans="1:6" x14ac:dyDescent="0.3">
      <c r="A71" t="s">
        <v>65</v>
      </c>
      <c r="B71" t="s">
        <v>17</v>
      </c>
      <c r="C71" t="s">
        <v>12</v>
      </c>
      <c r="D71" s="2">
        <v>406.41</v>
      </c>
      <c r="E71">
        <v>406.36</v>
      </c>
      <c r="F71" s="2">
        <f t="shared" si="1"/>
        <v>5.0000000000011369E-2</v>
      </c>
    </row>
    <row r="72" spans="1:6" x14ac:dyDescent="0.3">
      <c r="A72" t="s">
        <v>65</v>
      </c>
      <c r="B72" t="s">
        <v>11</v>
      </c>
      <c r="C72" t="s">
        <v>66</v>
      </c>
      <c r="D72" s="2">
        <v>406.36</v>
      </c>
      <c r="E72">
        <v>406.36</v>
      </c>
      <c r="F72" s="2">
        <f t="shared" si="1"/>
        <v>0</v>
      </c>
    </row>
    <row r="73" spans="1:6" x14ac:dyDescent="0.3">
      <c r="A73" t="s">
        <v>60</v>
      </c>
      <c r="B73" t="s">
        <v>7</v>
      </c>
      <c r="C73" t="s">
        <v>52</v>
      </c>
      <c r="D73" s="2">
        <v>409.15</v>
      </c>
      <c r="E73">
        <v>406.36</v>
      </c>
      <c r="F73" s="2">
        <f t="shared" si="1"/>
        <v>2.7899999999999636</v>
      </c>
    </row>
    <row r="74" spans="1:6" x14ac:dyDescent="0.3">
      <c r="A74" t="s">
        <v>60</v>
      </c>
      <c r="B74" t="s">
        <v>11</v>
      </c>
      <c r="C74" t="s">
        <v>13</v>
      </c>
      <c r="D74" s="2">
        <v>408.25</v>
      </c>
      <c r="E74">
        <v>406.36</v>
      </c>
      <c r="F74" s="2">
        <f t="shared" si="1"/>
        <v>1.8899999999999864</v>
      </c>
    </row>
    <row r="75" spans="1:6" x14ac:dyDescent="0.3">
      <c r="A75" t="s">
        <v>60</v>
      </c>
      <c r="B75" t="s">
        <v>11</v>
      </c>
      <c r="C75" t="s">
        <v>30</v>
      </c>
      <c r="D75" s="2">
        <v>407</v>
      </c>
      <c r="E75">
        <v>406.36</v>
      </c>
      <c r="F75" s="2">
        <f t="shared" si="1"/>
        <v>0.63999999999998636</v>
      </c>
    </row>
    <row r="76" spans="1:6" x14ac:dyDescent="0.3">
      <c r="A76" t="s">
        <v>60</v>
      </c>
      <c r="B76" t="s">
        <v>7</v>
      </c>
      <c r="C76" t="s">
        <v>13</v>
      </c>
      <c r="D76" s="2">
        <v>407.68</v>
      </c>
      <c r="E76">
        <v>406.36</v>
      </c>
      <c r="F76" s="2">
        <f t="shared" si="1"/>
        <v>1.3199999999999932</v>
      </c>
    </row>
    <row r="77" spans="1:6" x14ac:dyDescent="0.3">
      <c r="A77" t="s">
        <v>60</v>
      </c>
      <c r="B77" t="s">
        <v>7</v>
      </c>
      <c r="C77" t="s">
        <v>29</v>
      </c>
      <c r="D77" s="2">
        <v>407.95</v>
      </c>
      <c r="E77">
        <v>406.36</v>
      </c>
      <c r="F77" s="2">
        <f t="shared" si="1"/>
        <v>1.589999999999975</v>
      </c>
    </row>
    <row r="78" spans="1:6" x14ac:dyDescent="0.3">
      <c r="A78" t="s">
        <v>60</v>
      </c>
      <c r="B78" t="s">
        <v>14</v>
      </c>
      <c r="C78" t="s">
        <v>8</v>
      </c>
      <c r="D78" s="2">
        <v>409.37</v>
      </c>
      <c r="E78">
        <v>406.36</v>
      </c>
      <c r="F78" s="2">
        <f t="shared" si="1"/>
        <v>3.0099999999999909</v>
      </c>
    </row>
    <row r="79" spans="1:6" x14ac:dyDescent="0.3">
      <c r="A79" t="s">
        <v>60</v>
      </c>
      <c r="B79" t="s">
        <v>11</v>
      </c>
      <c r="C79" t="s">
        <v>33</v>
      </c>
      <c r="D79" s="2">
        <v>410.34</v>
      </c>
      <c r="E79">
        <v>406.36</v>
      </c>
      <c r="F79" s="2">
        <f t="shared" si="1"/>
        <v>3.9799999999999613</v>
      </c>
    </row>
    <row r="80" spans="1:6" x14ac:dyDescent="0.3">
      <c r="A80" t="s">
        <v>68</v>
      </c>
      <c r="B80" t="s">
        <v>7</v>
      </c>
      <c r="C80" t="s">
        <v>33</v>
      </c>
      <c r="D80" s="2">
        <v>408.11</v>
      </c>
      <c r="E80">
        <v>406.36</v>
      </c>
      <c r="F80" s="2">
        <f t="shared" si="1"/>
        <v>1.75</v>
      </c>
    </row>
    <row r="81" spans="1:6" x14ac:dyDescent="0.3">
      <c r="A81" t="s">
        <v>68</v>
      </c>
      <c r="B81" t="s">
        <v>7</v>
      </c>
      <c r="C81" t="s">
        <v>29</v>
      </c>
      <c r="D81" s="2">
        <v>409.02</v>
      </c>
      <c r="E81">
        <v>406.36</v>
      </c>
      <c r="F81" s="2">
        <f t="shared" si="1"/>
        <v>2.6599999999999682</v>
      </c>
    </row>
    <row r="82" spans="1:6" x14ac:dyDescent="0.3">
      <c r="A82" t="s">
        <v>68</v>
      </c>
      <c r="B82" t="s">
        <v>11</v>
      </c>
      <c r="C82" t="s">
        <v>46</v>
      </c>
      <c r="D82" s="2">
        <v>411.93</v>
      </c>
      <c r="E82">
        <v>406.36</v>
      </c>
      <c r="F82" s="2">
        <f t="shared" si="1"/>
        <v>5.5699999999999932</v>
      </c>
    </row>
    <row r="83" spans="1:6" x14ac:dyDescent="0.3">
      <c r="A83" t="s">
        <v>68</v>
      </c>
      <c r="B83" t="s">
        <v>7</v>
      </c>
      <c r="C83" t="s">
        <v>55</v>
      </c>
      <c r="D83" s="2">
        <v>406.58</v>
      </c>
      <c r="E83">
        <v>406.36</v>
      </c>
      <c r="F83" s="2">
        <f t="shared" si="1"/>
        <v>0.21999999999997044</v>
      </c>
    </row>
    <row r="84" spans="1:6" x14ac:dyDescent="0.3">
      <c r="A84" t="s">
        <v>68</v>
      </c>
      <c r="B84" t="s">
        <v>7</v>
      </c>
      <c r="C84" t="s">
        <v>12</v>
      </c>
      <c r="D84" s="2">
        <v>407.14</v>
      </c>
      <c r="E84">
        <v>406.36</v>
      </c>
      <c r="F84" s="2">
        <f t="shared" si="1"/>
        <v>0.77999999999997272</v>
      </c>
    </row>
    <row r="85" spans="1:6" x14ac:dyDescent="0.3">
      <c r="A85" t="s">
        <v>68</v>
      </c>
      <c r="B85" t="s">
        <v>11</v>
      </c>
      <c r="C85" t="s">
        <v>33</v>
      </c>
      <c r="D85" s="2">
        <v>406.52</v>
      </c>
      <c r="E85">
        <v>406.36</v>
      </c>
      <c r="F85" s="2">
        <f t="shared" si="1"/>
        <v>0.15999999999996817</v>
      </c>
    </row>
    <row r="86" spans="1:6" x14ac:dyDescent="0.3">
      <c r="A86" t="s">
        <v>68</v>
      </c>
      <c r="B86" t="s">
        <v>24</v>
      </c>
      <c r="C86" t="s">
        <v>18</v>
      </c>
      <c r="D86" s="2">
        <v>435.04</v>
      </c>
      <c r="E86">
        <v>406.36</v>
      </c>
      <c r="F86" s="2">
        <f t="shared" si="1"/>
        <v>28.680000000000007</v>
      </c>
    </row>
    <row r="87" spans="1:6" x14ac:dyDescent="0.3">
      <c r="A87" t="s">
        <v>60</v>
      </c>
      <c r="B87" t="s">
        <v>24</v>
      </c>
      <c r="C87" t="s">
        <v>13</v>
      </c>
      <c r="D87" s="2">
        <v>429.89</v>
      </c>
      <c r="E87">
        <v>406.36</v>
      </c>
      <c r="F87" s="2">
        <f t="shared" si="1"/>
        <v>23.529999999999973</v>
      </c>
    </row>
    <row r="88" spans="1:6" x14ac:dyDescent="0.3">
      <c r="A88" t="s">
        <v>65</v>
      </c>
      <c r="B88" t="s">
        <v>17</v>
      </c>
      <c r="C88" t="s">
        <v>56</v>
      </c>
      <c r="D88" s="2">
        <v>413.04</v>
      </c>
      <c r="E88">
        <v>406.36</v>
      </c>
      <c r="F88" s="2">
        <f t="shared" si="1"/>
        <v>6.6800000000000068</v>
      </c>
    </row>
    <row r="89" spans="1:6" x14ac:dyDescent="0.3">
      <c r="A89" t="s">
        <v>65</v>
      </c>
      <c r="B89" t="s">
        <v>17</v>
      </c>
      <c r="C89" t="s">
        <v>47</v>
      </c>
      <c r="D89" s="2">
        <v>409.94</v>
      </c>
      <c r="E89">
        <v>406.36</v>
      </c>
      <c r="F89" s="2">
        <f t="shared" si="1"/>
        <v>3.5799999999999841</v>
      </c>
    </row>
    <row r="90" spans="1:6" x14ac:dyDescent="0.3">
      <c r="A90" t="s">
        <v>58</v>
      </c>
      <c r="B90" t="s">
        <v>14</v>
      </c>
      <c r="C90" t="s">
        <v>71</v>
      </c>
      <c r="D90" s="2">
        <v>406.71</v>
      </c>
      <c r="E90">
        <v>406.36</v>
      </c>
      <c r="F90" s="2">
        <f t="shared" si="1"/>
        <v>0.34999999999996589</v>
      </c>
    </row>
    <row r="91" spans="1:6" x14ac:dyDescent="0.3">
      <c r="A91" t="s">
        <v>58</v>
      </c>
      <c r="B91" t="s">
        <v>24</v>
      </c>
      <c r="C91" t="s">
        <v>19</v>
      </c>
      <c r="D91" s="2">
        <v>415.06</v>
      </c>
      <c r="E91">
        <v>406.36</v>
      </c>
      <c r="F91" s="2">
        <f t="shared" si="1"/>
        <v>8.6999999999999886</v>
      </c>
    </row>
    <row r="92" spans="1:6" x14ac:dyDescent="0.3">
      <c r="A92" t="s">
        <v>58</v>
      </c>
      <c r="B92" t="s">
        <v>11</v>
      </c>
      <c r="C92" t="s">
        <v>35</v>
      </c>
      <c r="D92" s="2">
        <v>413.87</v>
      </c>
      <c r="E92">
        <v>406.36</v>
      </c>
      <c r="F92" s="2">
        <f t="shared" si="1"/>
        <v>7.5099999999999909</v>
      </c>
    </row>
    <row r="93" spans="1:6" x14ac:dyDescent="0.3">
      <c r="A93" t="s">
        <v>58</v>
      </c>
      <c r="B93" t="s">
        <v>17</v>
      </c>
      <c r="C93" t="s">
        <v>19</v>
      </c>
      <c r="D93" s="2">
        <v>412.56</v>
      </c>
      <c r="E93">
        <v>406.36</v>
      </c>
      <c r="F93" s="2">
        <f t="shared" si="1"/>
        <v>6.1999999999999886</v>
      </c>
    </row>
    <row r="94" spans="1:6" x14ac:dyDescent="0.3">
      <c r="A94" t="s">
        <v>58</v>
      </c>
      <c r="B94" t="s">
        <v>7</v>
      </c>
      <c r="C94" t="s">
        <v>71</v>
      </c>
      <c r="D94" s="2">
        <v>406.38</v>
      </c>
      <c r="E94">
        <v>406.36</v>
      </c>
      <c r="F94" s="2">
        <f t="shared" si="1"/>
        <v>1.999999999998181E-2</v>
      </c>
    </row>
    <row r="95" spans="1:6" x14ac:dyDescent="0.3">
      <c r="A95" t="s">
        <v>58</v>
      </c>
      <c r="B95" t="s">
        <v>24</v>
      </c>
      <c r="C95" t="s">
        <v>98</v>
      </c>
      <c r="D95" s="2">
        <v>407.28</v>
      </c>
      <c r="E95">
        <v>406.36</v>
      </c>
      <c r="F95" s="2">
        <f t="shared" si="1"/>
        <v>0.91999999999995907</v>
      </c>
    </row>
    <row r="96" spans="1:6" x14ac:dyDescent="0.3">
      <c r="A96" t="s">
        <v>58</v>
      </c>
      <c r="B96" t="s">
        <v>24</v>
      </c>
      <c r="C96" t="s">
        <v>71</v>
      </c>
      <c r="D96" s="2">
        <v>406.41</v>
      </c>
      <c r="E96">
        <v>406.36</v>
      </c>
      <c r="F96" s="2">
        <f t="shared" si="1"/>
        <v>5.0000000000011369E-2</v>
      </c>
    </row>
    <row r="97" spans="1:6" x14ac:dyDescent="0.3">
      <c r="A97" t="s">
        <v>58</v>
      </c>
      <c r="B97" t="s">
        <v>11</v>
      </c>
      <c r="C97" t="s">
        <v>55</v>
      </c>
      <c r="D97" s="2">
        <v>406.59</v>
      </c>
      <c r="E97">
        <v>406.36</v>
      </c>
      <c r="F97" s="2">
        <f t="shared" si="1"/>
        <v>0.22999999999996135</v>
      </c>
    </row>
    <row r="98" spans="1:6" x14ac:dyDescent="0.3">
      <c r="A98" t="s">
        <v>58</v>
      </c>
      <c r="B98" t="s">
        <v>11</v>
      </c>
      <c r="C98" t="s">
        <v>30</v>
      </c>
      <c r="D98" s="2">
        <v>406.41</v>
      </c>
      <c r="E98">
        <v>406.36</v>
      </c>
      <c r="F98" s="2">
        <f t="shared" si="1"/>
        <v>5.0000000000011369E-2</v>
      </c>
    </row>
    <row r="99" spans="1:6" x14ac:dyDescent="0.3">
      <c r="A99" t="s">
        <v>58</v>
      </c>
      <c r="B99" t="s">
        <v>14</v>
      </c>
      <c r="C99" t="s">
        <v>71</v>
      </c>
      <c r="D99" s="2">
        <v>406.37</v>
      </c>
      <c r="E99">
        <v>406.36</v>
      </c>
      <c r="F99" s="2">
        <f t="shared" si="1"/>
        <v>9.9999999999909051E-3</v>
      </c>
    </row>
    <row r="100" spans="1:6" x14ac:dyDescent="0.3">
      <c r="A100" t="s">
        <v>58</v>
      </c>
      <c r="B100" t="s">
        <v>11</v>
      </c>
      <c r="C100" t="s">
        <v>13</v>
      </c>
      <c r="D100" s="2">
        <v>408.75</v>
      </c>
      <c r="E100">
        <v>406.36</v>
      </c>
      <c r="F100" s="2">
        <f t="shared" si="1"/>
        <v>2.3899999999999864</v>
      </c>
    </row>
    <row r="101" spans="1:6" x14ac:dyDescent="0.3">
      <c r="A101" t="s">
        <v>72</v>
      </c>
      <c r="B101" t="s">
        <v>7</v>
      </c>
      <c r="C101" t="s">
        <v>29</v>
      </c>
      <c r="D101" s="2">
        <v>409.87</v>
      </c>
      <c r="E101">
        <v>406.36</v>
      </c>
      <c r="F101" s="2">
        <f t="shared" si="1"/>
        <v>3.5099999999999909</v>
      </c>
    </row>
    <row r="102" spans="1:6" x14ac:dyDescent="0.3">
      <c r="A102" t="s">
        <v>72</v>
      </c>
      <c r="B102" t="s">
        <v>7</v>
      </c>
      <c r="C102" t="s">
        <v>30</v>
      </c>
      <c r="D102" s="2">
        <v>408.04</v>
      </c>
      <c r="E102">
        <v>406.36</v>
      </c>
      <c r="F102" s="2">
        <f t="shared" si="1"/>
        <v>1.6800000000000068</v>
      </c>
    </row>
    <row r="103" spans="1:6" x14ac:dyDescent="0.3">
      <c r="A103" t="s">
        <v>72</v>
      </c>
      <c r="B103" t="s">
        <v>7</v>
      </c>
      <c r="C103" t="s">
        <v>71</v>
      </c>
      <c r="D103" s="2">
        <v>406.39</v>
      </c>
      <c r="E103">
        <v>406.36</v>
      </c>
      <c r="F103" s="2">
        <f t="shared" si="1"/>
        <v>2.9999999999972715E-2</v>
      </c>
    </row>
    <row r="104" spans="1:6" x14ac:dyDescent="0.3">
      <c r="A104" t="s">
        <v>72</v>
      </c>
      <c r="B104" t="s">
        <v>17</v>
      </c>
      <c r="C104" t="s">
        <v>71</v>
      </c>
      <c r="D104" s="2">
        <v>406.35</v>
      </c>
      <c r="E104">
        <v>406.36</v>
      </c>
      <c r="F104" s="2">
        <f t="shared" si="1"/>
        <v>0</v>
      </c>
    </row>
    <row r="105" spans="1:6" x14ac:dyDescent="0.3">
      <c r="A105" t="s">
        <v>72</v>
      </c>
      <c r="B105" t="s">
        <v>14</v>
      </c>
      <c r="C105" t="s">
        <v>73</v>
      </c>
      <c r="D105" s="2">
        <v>407.01</v>
      </c>
      <c r="E105">
        <v>406.36</v>
      </c>
      <c r="F105" s="2">
        <f t="shared" si="1"/>
        <v>0.64999999999997726</v>
      </c>
    </row>
    <row r="106" spans="1:6" x14ac:dyDescent="0.3">
      <c r="A106" t="s">
        <v>72</v>
      </c>
      <c r="B106" t="s">
        <v>14</v>
      </c>
      <c r="C106" t="s">
        <v>71</v>
      </c>
      <c r="D106" s="2">
        <v>406.35</v>
      </c>
      <c r="E106">
        <v>406.36</v>
      </c>
      <c r="F106" s="2">
        <f t="shared" si="1"/>
        <v>0</v>
      </c>
    </row>
    <row r="107" spans="1:6" x14ac:dyDescent="0.3">
      <c r="A107" t="s">
        <v>59</v>
      </c>
      <c r="B107" t="s">
        <v>14</v>
      </c>
      <c r="C107" t="s">
        <v>29</v>
      </c>
      <c r="D107" s="2">
        <v>406.66</v>
      </c>
      <c r="E107">
        <v>406.36</v>
      </c>
      <c r="F107" s="2">
        <f t="shared" si="1"/>
        <v>0.30000000000001137</v>
      </c>
    </row>
    <row r="108" spans="1:6" x14ac:dyDescent="0.3">
      <c r="A108" t="s">
        <v>59</v>
      </c>
      <c r="B108" t="s">
        <v>24</v>
      </c>
      <c r="C108" t="s">
        <v>29</v>
      </c>
      <c r="D108" s="2">
        <v>406.56</v>
      </c>
      <c r="E108">
        <v>406.36</v>
      </c>
      <c r="F108" s="2">
        <f t="shared" si="1"/>
        <v>0.19999999999998863</v>
      </c>
    </row>
    <row r="109" spans="1:6" x14ac:dyDescent="0.3">
      <c r="A109" t="s">
        <v>62</v>
      </c>
      <c r="B109" t="s">
        <v>14</v>
      </c>
      <c r="C109" t="s">
        <v>8</v>
      </c>
      <c r="D109" s="2">
        <v>407.71</v>
      </c>
      <c r="E109">
        <v>406.36</v>
      </c>
      <c r="F109" s="2">
        <f t="shared" si="1"/>
        <v>1.3499999999999659</v>
      </c>
    </row>
    <row r="110" spans="1:6" x14ac:dyDescent="0.3">
      <c r="A110" t="s">
        <v>84</v>
      </c>
      <c r="B110" t="s">
        <v>17</v>
      </c>
      <c r="C110" t="s">
        <v>13</v>
      </c>
      <c r="D110" s="2">
        <v>421.48</v>
      </c>
      <c r="E110">
        <v>406.36</v>
      </c>
      <c r="F110" s="2">
        <f t="shared" si="1"/>
        <v>15.120000000000005</v>
      </c>
    </row>
    <row r="111" spans="1:6" x14ac:dyDescent="0.3">
      <c r="A111" t="s">
        <v>84</v>
      </c>
      <c r="B111" t="s">
        <v>14</v>
      </c>
      <c r="C111" t="s">
        <v>13</v>
      </c>
      <c r="D111" s="2">
        <v>411.17</v>
      </c>
      <c r="E111">
        <v>406.36</v>
      </c>
      <c r="F111" s="2">
        <f t="shared" si="1"/>
        <v>4.8100000000000023</v>
      </c>
    </row>
    <row r="112" spans="1:6" x14ac:dyDescent="0.3">
      <c r="A112" t="s">
        <v>84</v>
      </c>
      <c r="B112" t="s">
        <v>24</v>
      </c>
      <c r="C112" t="s">
        <v>13</v>
      </c>
      <c r="D112" s="2">
        <v>438.67</v>
      </c>
      <c r="E112">
        <v>406.36</v>
      </c>
      <c r="F112" s="2">
        <f t="shared" si="1"/>
        <v>32.31</v>
      </c>
    </row>
    <row r="113" spans="1:6" x14ac:dyDescent="0.3">
      <c r="A113" t="s">
        <v>84</v>
      </c>
      <c r="B113" t="s">
        <v>7</v>
      </c>
      <c r="C113" t="s">
        <v>13</v>
      </c>
      <c r="D113" s="2">
        <v>412.04</v>
      </c>
      <c r="E113">
        <v>406.36</v>
      </c>
      <c r="F113" s="2">
        <f t="shared" si="1"/>
        <v>5.6800000000000068</v>
      </c>
    </row>
    <row r="114" spans="1:6" x14ac:dyDescent="0.3">
      <c r="A114" t="s">
        <v>84</v>
      </c>
      <c r="B114" t="s">
        <v>14</v>
      </c>
      <c r="C114" t="s">
        <v>35</v>
      </c>
      <c r="D114" s="2">
        <v>406.72</v>
      </c>
      <c r="E114">
        <v>406.36</v>
      </c>
      <c r="F114" s="2">
        <f t="shared" si="1"/>
        <v>0.36000000000001364</v>
      </c>
    </row>
    <row r="115" spans="1:6" x14ac:dyDescent="0.3">
      <c r="A115" t="s">
        <v>84</v>
      </c>
      <c r="B115" t="s">
        <v>11</v>
      </c>
      <c r="C115" t="s">
        <v>33</v>
      </c>
      <c r="D115" s="2">
        <v>414.5</v>
      </c>
      <c r="E115">
        <v>406.36</v>
      </c>
      <c r="F115" s="2">
        <f t="shared" si="1"/>
        <v>8.1399999999999864</v>
      </c>
    </row>
    <row r="116" spans="1:6" x14ac:dyDescent="0.3">
      <c r="A116" t="s">
        <v>84</v>
      </c>
      <c r="B116" t="s">
        <v>14</v>
      </c>
      <c r="C116" t="s">
        <v>33</v>
      </c>
      <c r="D116" s="2">
        <v>407.14</v>
      </c>
      <c r="E116">
        <v>406.36</v>
      </c>
      <c r="F116" s="2">
        <f t="shared" si="1"/>
        <v>0.77999999999997272</v>
      </c>
    </row>
    <row r="117" spans="1:6" x14ac:dyDescent="0.3">
      <c r="A117" t="s">
        <v>81</v>
      </c>
      <c r="B117" t="s">
        <v>17</v>
      </c>
      <c r="C117" t="s">
        <v>29</v>
      </c>
      <c r="D117" s="2">
        <v>410.58</v>
      </c>
      <c r="E117">
        <v>406.36</v>
      </c>
      <c r="F117" s="2">
        <f t="shared" si="1"/>
        <v>4.2199999999999704</v>
      </c>
    </row>
    <row r="118" spans="1:6" x14ac:dyDescent="0.3">
      <c r="A118" t="s">
        <v>81</v>
      </c>
      <c r="B118" t="s">
        <v>24</v>
      </c>
      <c r="C118" t="s">
        <v>29</v>
      </c>
      <c r="D118" s="2">
        <v>406.47</v>
      </c>
      <c r="E118">
        <v>406.36</v>
      </c>
      <c r="F118" s="2">
        <f t="shared" si="1"/>
        <v>0.11000000000001364</v>
      </c>
    </row>
    <row r="119" spans="1:6" x14ac:dyDescent="0.3">
      <c r="A119" t="s">
        <v>81</v>
      </c>
      <c r="B119" t="s">
        <v>17</v>
      </c>
      <c r="C119" t="s">
        <v>47</v>
      </c>
      <c r="D119" s="2">
        <v>408.54</v>
      </c>
      <c r="E119">
        <v>406.36</v>
      </c>
      <c r="F119" s="2">
        <f t="shared" si="1"/>
        <v>2.1800000000000068</v>
      </c>
    </row>
    <row r="120" spans="1:6" x14ac:dyDescent="0.3">
      <c r="A120" t="s">
        <v>81</v>
      </c>
      <c r="B120" t="s">
        <v>24</v>
      </c>
      <c r="C120" t="s">
        <v>33</v>
      </c>
      <c r="D120" s="2">
        <v>407.04</v>
      </c>
      <c r="E120">
        <v>406.36</v>
      </c>
      <c r="F120" s="2">
        <f t="shared" si="1"/>
        <v>0.68000000000000682</v>
      </c>
    </row>
    <row r="121" spans="1:6" x14ac:dyDescent="0.3">
      <c r="A121" t="s">
        <v>81</v>
      </c>
      <c r="B121" t="s">
        <v>24</v>
      </c>
      <c r="C121" t="s">
        <v>19</v>
      </c>
      <c r="D121" s="2">
        <v>410.11</v>
      </c>
      <c r="E121">
        <v>406.36</v>
      </c>
      <c r="F121" s="2">
        <f t="shared" si="1"/>
        <v>3.75</v>
      </c>
    </row>
    <row r="122" spans="1:6" x14ac:dyDescent="0.3">
      <c r="A122" t="s">
        <v>68</v>
      </c>
      <c r="B122" t="s">
        <v>24</v>
      </c>
      <c r="C122" t="s">
        <v>13</v>
      </c>
      <c r="D122" s="2">
        <v>407.98</v>
      </c>
      <c r="E122">
        <v>406.36</v>
      </c>
      <c r="F122" s="2">
        <f t="shared" si="1"/>
        <v>1.6200000000000045</v>
      </c>
    </row>
    <row r="123" spans="1:6" x14ac:dyDescent="0.3">
      <c r="A123" t="s">
        <v>68</v>
      </c>
      <c r="B123" t="s">
        <v>24</v>
      </c>
      <c r="C123" t="s">
        <v>33</v>
      </c>
      <c r="D123" s="2">
        <v>407.98</v>
      </c>
      <c r="E123">
        <v>406.36</v>
      </c>
      <c r="F123" s="2">
        <f t="shared" si="1"/>
        <v>1.6200000000000045</v>
      </c>
    </row>
    <row r="124" spans="1:6" x14ac:dyDescent="0.3">
      <c r="A124" t="s">
        <v>68</v>
      </c>
      <c r="B124" t="s">
        <v>14</v>
      </c>
      <c r="C124" t="s">
        <v>35</v>
      </c>
      <c r="D124" s="2">
        <v>411.29</v>
      </c>
      <c r="E124">
        <v>406.36</v>
      </c>
      <c r="F124" s="2">
        <f t="shared" si="1"/>
        <v>4.9300000000000068</v>
      </c>
    </row>
    <row r="125" spans="1:6" x14ac:dyDescent="0.3">
      <c r="A125" t="s">
        <v>68</v>
      </c>
      <c r="B125" t="s">
        <v>14</v>
      </c>
      <c r="C125" t="s">
        <v>33</v>
      </c>
      <c r="D125" s="2">
        <v>410.82</v>
      </c>
      <c r="E125">
        <v>406.36</v>
      </c>
      <c r="F125" s="2">
        <f t="shared" si="1"/>
        <v>4.4599999999999795</v>
      </c>
    </row>
    <row r="126" spans="1:6" x14ac:dyDescent="0.3">
      <c r="A126" t="s">
        <v>68</v>
      </c>
      <c r="B126" t="s">
        <v>17</v>
      </c>
      <c r="C126" t="s">
        <v>8</v>
      </c>
      <c r="D126" s="2">
        <v>408.52</v>
      </c>
      <c r="E126">
        <v>406.36</v>
      </c>
      <c r="F126" s="2">
        <f t="shared" si="1"/>
        <v>2.1599999999999682</v>
      </c>
    </row>
    <row r="127" spans="1:6" x14ac:dyDescent="0.3">
      <c r="A127" t="s">
        <v>82</v>
      </c>
      <c r="B127" t="s">
        <v>14</v>
      </c>
      <c r="C127" t="s">
        <v>13</v>
      </c>
      <c r="D127" s="2">
        <v>411.39</v>
      </c>
      <c r="E127">
        <v>406.36</v>
      </c>
      <c r="F127" s="2">
        <f t="shared" si="1"/>
        <v>5.0299999999999727</v>
      </c>
    </row>
    <row r="128" spans="1:6" x14ac:dyDescent="0.3">
      <c r="A128" t="s">
        <v>82</v>
      </c>
      <c r="B128" t="s">
        <v>11</v>
      </c>
      <c r="C128" t="s">
        <v>13</v>
      </c>
      <c r="D128" s="2">
        <v>455.92</v>
      </c>
      <c r="E128">
        <v>406.36</v>
      </c>
      <c r="F128" s="2">
        <f t="shared" si="1"/>
        <v>49.56</v>
      </c>
    </row>
    <row r="129" spans="1:6" x14ac:dyDescent="0.3">
      <c r="A129" t="s">
        <v>82</v>
      </c>
      <c r="B129" t="s">
        <v>14</v>
      </c>
      <c r="C129" t="s">
        <v>8</v>
      </c>
      <c r="D129" s="2">
        <v>407.28</v>
      </c>
      <c r="E129">
        <v>406.36</v>
      </c>
      <c r="F129" s="2">
        <f t="shared" si="1"/>
        <v>0.91999999999995907</v>
      </c>
    </row>
    <row r="130" spans="1:6" x14ac:dyDescent="0.3">
      <c r="A130" t="s">
        <v>62</v>
      </c>
      <c r="B130" t="s">
        <v>7</v>
      </c>
      <c r="C130" t="s">
        <v>101</v>
      </c>
      <c r="D130" s="2">
        <v>406.68</v>
      </c>
      <c r="E130">
        <v>406.36</v>
      </c>
      <c r="F130" s="2">
        <f t="shared" si="1"/>
        <v>0.31999999999999318</v>
      </c>
    </row>
    <row r="131" spans="1:6" x14ac:dyDescent="0.3">
      <c r="A131" t="s">
        <v>82</v>
      </c>
      <c r="B131" t="s">
        <v>14</v>
      </c>
      <c r="C131" t="s">
        <v>29</v>
      </c>
      <c r="D131" s="2">
        <v>417.56</v>
      </c>
      <c r="E131">
        <v>406.36</v>
      </c>
      <c r="F131" s="2">
        <f t="shared" ref="F131:F194" si="2">MAX(D131-E131, 0)</f>
        <v>11.199999999999989</v>
      </c>
    </row>
    <row r="132" spans="1:6" x14ac:dyDescent="0.3">
      <c r="A132" t="s">
        <v>82</v>
      </c>
      <c r="B132" t="s">
        <v>7</v>
      </c>
      <c r="C132" t="s">
        <v>8</v>
      </c>
      <c r="D132" s="2">
        <v>452.13</v>
      </c>
      <c r="E132">
        <v>406.36</v>
      </c>
      <c r="F132" s="2">
        <f t="shared" si="2"/>
        <v>45.769999999999982</v>
      </c>
    </row>
    <row r="133" spans="1:6" x14ac:dyDescent="0.3">
      <c r="A133" t="s">
        <v>82</v>
      </c>
      <c r="B133" t="s">
        <v>24</v>
      </c>
      <c r="C133" t="s">
        <v>13</v>
      </c>
      <c r="D133" s="2">
        <v>420.4</v>
      </c>
      <c r="E133">
        <v>406.36</v>
      </c>
      <c r="F133" s="2">
        <f t="shared" si="2"/>
        <v>14.039999999999964</v>
      </c>
    </row>
    <row r="134" spans="1:6" x14ac:dyDescent="0.3">
      <c r="A134" t="s">
        <v>82</v>
      </c>
      <c r="B134" t="s">
        <v>7</v>
      </c>
      <c r="C134" t="s">
        <v>13</v>
      </c>
      <c r="D134" s="2">
        <v>408.8</v>
      </c>
      <c r="E134">
        <v>406.36</v>
      </c>
      <c r="F134" s="2">
        <f t="shared" si="2"/>
        <v>2.4399999999999977</v>
      </c>
    </row>
    <row r="135" spans="1:6" x14ac:dyDescent="0.3">
      <c r="A135" t="s">
        <v>82</v>
      </c>
      <c r="B135" t="s">
        <v>17</v>
      </c>
      <c r="C135" t="s">
        <v>8</v>
      </c>
      <c r="D135" s="2">
        <v>418.17</v>
      </c>
      <c r="E135">
        <v>406.36</v>
      </c>
      <c r="F135" s="2">
        <f t="shared" si="2"/>
        <v>11.810000000000002</v>
      </c>
    </row>
    <row r="136" spans="1:6" x14ac:dyDescent="0.3">
      <c r="A136" t="s">
        <v>82</v>
      </c>
      <c r="B136" t="s">
        <v>7</v>
      </c>
      <c r="C136" t="s">
        <v>8</v>
      </c>
      <c r="D136" s="2">
        <v>421.11</v>
      </c>
      <c r="E136">
        <v>406.36</v>
      </c>
      <c r="F136" s="2">
        <f t="shared" si="2"/>
        <v>14.75</v>
      </c>
    </row>
    <row r="137" spans="1:6" x14ac:dyDescent="0.3">
      <c r="A137" t="s">
        <v>82</v>
      </c>
      <c r="B137" t="s">
        <v>24</v>
      </c>
      <c r="C137" t="s">
        <v>8</v>
      </c>
      <c r="D137" s="2">
        <v>408.34</v>
      </c>
      <c r="E137">
        <v>406.36</v>
      </c>
      <c r="F137" s="2">
        <f t="shared" si="2"/>
        <v>1.9799999999999613</v>
      </c>
    </row>
    <row r="138" spans="1:6" x14ac:dyDescent="0.3">
      <c r="A138" t="s">
        <v>82</v>
      </c>
      <c r="B138" t="s">
        <v>24</v>
      </c>
      <c r="C138" t="s">
        <v>29</v>
      </c>
      <c r="D138" s="2">
        <v>407.25</v>
      </c>
      <c r="E138">
        <v>406.36</v>
      </c>
      <c r="F138" s="2">
        <f t="shared" si="2"/>
        <v>0.88999999999998636</v>
      </c>
    </row>
    <row r="139" spans="1:6" x14ac:dyDescent="0.3">
      <c r="A139" t="s">
        <v>82</v>
      </c>
      <c r="B139" t="s">
        <v>17</v>
      </c>
      <c r="C139" t="s">
        <v>29</v>
      </c>
      <c r="D139" s="2">
        <v>408.6</v>
      </c>
      <c r="E139">
        <v>406.36</v>
      </c>
      <c r="F139" s="2">
        <f t="shared" si="2"/>
        <v>2.2400000000000091</v>
      </c>
    </row>
    <row r="140" spans="1:6" x14ac:dyDescent="0.3">
      <c r="A140" t="s">
        <v>26</v>
      </c>
      <c r="B140" t="s">
        <v>7</v>
      </c>
      <c r="C140" t="s">
        <v>8</v>
      </c>
      <c r="D140" s="2">
        <v>450.21</v>
      </c>
      <c r="E140">
        <v>406.36</v>
      </c>
      <c r="F140" s="2">
        <f t="shared" si="2"/>
        <v>43.849999999999966</v>
      </c>
    </row>
    <row r="141" spans="1:6" x14ac:dyDescent="0.3">
      <c r="A141" t="s">
        <v>84</v>
      </c>
      <c r="B141" t="s">
        <v>11</v>
      </c>
      <c r="C141" t="s">
        <v>30</v>
      </c>
      <c r="D141" s="2">
        <v>406.39</v>
      </c>
      <c r="E141">
        <v>406.36</v>
      </c>
      <c r="F141" s="2">
        <f t="shared" si="2"/>
        <v>2.9999999999972715E-2</v>
      </c>
    </row>
    <row r="142" spans="1:6" x14ac:dyDescent="0.3">
      <c r="A142" t="s">
        <v>84</v>
      </c>
      <c r="B142" t="s">
        <v>7</v>
      </c>
      <c r="C142" t="s">
        <v>47</v>
      </c>
      <c r="D142" s="2">
        <v>408.83</v>
      </c>
      <c r="E142">
        <v>406.36</v>
      </c>
      <c r="F142" s="2">
        <f t="shared" si="2"/>
        <v>2.4699999999999704</v>
      </c>
    </row>
    <row r="143" spans="1:6" x14ac:dyDescent="0.3">
      <c r="A143" t="s">
        <v>84</v>
      </c>
      <c r="B143" t="s">
        <v>14</v>
      </c>
      <c r="C143" t="s">
        <v>18</v>
      </c>
      <c r="D143" s="2">
        <v>406.57</v>
      </c>
      <c r="E143">
        <v>406.36</v>
      </c>
      <c r="F143" s="2">
        <f t="shared" si="2"/>
        <v>0.20999999999997954</v>
      </c>
    </row>
    <row r="144" spans="1:6" x14ac:dyDescent="0.3">
      <c r="A144" t="s">
        <v>84</v>
      </c>
      <c r="B144" t="s">
        <v>11</v>
      </c>
      <c r="C144" t="s">
        <v>47</v>
      </c>
      <c r="D144" s="2">
        <v>407.86</v>
      </c>
      <c r="E144">
        <v>406.36</v>
      </c>
      <c r="F144" s="2">
        <f t="shared" si="2"/>
        <v>1.5</v>
      </c>
    </row>
    <row r="145" spans="1:6" x14ac:dyDescent="0.3">
      <c r="A145" t="s">
        <v>84</v>
      </c>
      <c r="B145" t="s">
        <v>14</v>
      </c>
      <c r="C145" t="s">
        <v>30</v>
      </c>
      <c r="D145" s="2">
        <v>407</v>
      </c>
      <c r="E145">
        <v>406.36</v>
      </c>
      <c r="F145" s="2">
        <f t="shared" si="2"/>
        <v>0.63999999999998636</v>
      </c>
    </row>
    <row r="146" spans="1:6" x14ac:dyDescent="0.3">
      <c r="A146" t="s">
        <v>84</v>
      </c>
      <c r="B146" t="s">
        <v>11</v>
      </c>
      <c r="C146" t="s">
        <v>46</v>
      </c>
      <c r="D146" s="2">
        <v>406.47</v>
      </c>
      <c r="E146">
        <v>406.36</v>
      </c>
      <c r="F146" s="2">
        <f t="shared" si="2"/>
        <v>0.11000000000001364</v>
      </c>
    </row>
    <row r="147" spans="1:6" x14ac:dyDescent="0.3">
      <c r="A147" t="s">
        <v>84</v>
      </c>
      <c r="B147" t="s">
        <v>7</v>
      </c>
      <c r="C147" t="s">
        <v>30</v>
      </c>
      <c r="D147" s="2">
        <v>410.21</v>
      </c>
      <c r="E147">
        <v>406.36</v>
      </c>
      <c r="F147" s="2">
        <f t="shared" si="2"/>
        <v>3.8499999999999659</v>
      </c>
    </row>
    <row r="148" spans="1:6" x14ac:dyDescent="0.3">
      <c r="A148" t="s">
        <v>84</v>
      </c>
      <c r="B148" t="s">
        <v>11</v>
      </c>
      <c r="C148" t="s">
        <v>98</v>
      </c>
      <c r="D148" s="2">
        <v>406.41</v>
      </c>
      <c r="E148">
        <v>406.36</v>
      </c>
      <c r="F148" s="2">
        <f t="shared" si="2"/>
        <v>5.0000000000011369E-2</v>
      </c>
    </row>
    <row r="149" spans="1:6" x14ac:dyDescent="0.3">
      <c r="A149" t="s">
        <v>84</v>
      </c>
      <c r="B149" t="s">
        <v>11</v>
      </c>
      <c r="C149" t="s">
        <v>29</v>
      </c>
      <c r="D149" s="2">
        <v>407.06</v>
      </c>
      <c r="E149">
        <v>406.36</v>
      </c>
      <c r="F149" s="2">
        <f t="shared" si="2"/>
        <v>0.69999999999998863</v>
      </c>
    </row>
    <row r="150" spans="1:6" x14ac:dyDescent="0.3">
      <c r="A150" t="s">
        <v>84</v>
      </c>
      <c r="B150" t="s">
        <v>7</v>
      </c>
      <c r="C150" t="s">
        <v>19</v>
      </c>
      <c r="D150" s="2">
        <v>406.75</v>
      </c>
      <c r="E150">
        <v>406.36</v>
      </c>
      <c r="F150" s="2">
        <f t="shared" si="2"/>
        <v>0.38999999999998636</v>
      </c>
    </row>
    <row r="151" spans="1:6" x14ac:dyDescent="0.3">
      <c r="A151" t="s">
        <v>81</v>
      </c>
      <c r="B151" t="s">
        <v>7</v>
      </c>
      <c r="C151" t="s">
        <v>33</v>
      </c>
      <c r="D151" s="2">
        <v>406.66</v>
      </c>
      <c r="E151">
        <v>406.36</v>
      </c>
      <c r="F151" s="2">
        <f t="shared" si="2"/>
        <v>0.30000000000001137</v>
      </c>
    </row>
    <row r="152" spans="1:6" x14ac:dyDescent="0.3">
      <c r="A152" t="s">
        <v>81</v>
      </c>
      <c r="B152" t="s">
        <v>24</v>
      </c>
      <c r="C152" t="s">
        <v>71</v>
      </c>
      <c r="D152" s="2">
        <v>406.37</v>
      </c>
      <c r="E152">
        <v>406.36</v>
      </c>
      <c r="F152" s="2">
        <f t="shared" si="2"/>
        <v>9.9999999999909051E-3</v>
      </c>
    </row>
    <row r="153" spans="1:6" x14ac:dyDescent="0.3">
      <c r="A153" t="s">
        <v>81</v>
      </c>
      <c r="B153" t="s">
        <v>11</v>
      </c>
      <c r="C153" t="s">
        <v>71</v>
      </c>
      <c r="D153" s="2">
        <v>0.02</v>
      </c>
      <c r="E153">
        <v>0</v>
      </c>
      <c r="F153" s="2">
        <f t="shared" si="2"/>
        <v>0.02</v>
      </c>
    </row>
    <row r="154" spans="1:6" x14ac:dyDescent="0.3">
      <c r="A154" t="s">
        <v>81</v>
      </c>
      <c r="B154" t="s">
        <v>11</v>
      </c>
      <c r="C154" t="s">
        <v>98</v>
      </c>
      <c r="D154" s="2">
        <v>407.34</v>
      </c>
      <c r="E154">
        <v>406.36</v>
      </c>
      <c r="F154" s="2">
        <f t="shared" si="2"/>
        <v>0.97999999999996135</v>
      </c>
    </row>
    <row r="155" spans="1:6" x14ac:dyDescent="0.3">
      <c r="A155" t="s">
        <v>81</v>
      </c>
      <c r="B155" t="s">
        <v>14</v>
      </c>
      <c r="C155" t="s">
        <v>71</v>
      </c>
      <c r="D155" s="2">
        <v>0.08</v>
      </c>
      <c r="E155">
        <v>406.36</v>
      </c>
      <c r="F155" s="2">
        <f t="shared" si="2"/>
        <v>0</v>
      </c>
    </row>
    <row r="156" spans="1:6" x14ac:dyDescent="0.3">
      <c r="A156" t="s">
        <v>81</v>
      </c>
      <c r="B156" t="s">
        <v>14</v>
      </c>
      <c r="C156" t="s">
        <v>98</v>
      </c>
      <c r="D156" s="2">
        <v>406.99</v>
      </c>
      <c r="E156">
        <v>406.36</v>
      </c>
      <c r="F156" s="2">
        <f t="shared" si="2"/>
        <v>0.62999999999999545</v>
      </c>
    </row>
    <row r="157" spans="1:6" x14ac:dyDescent="0.3">
      <c r="A157" t="s">
        <v>81</v>
      </c>
      <c r="B157" t="s">
        <v>7</v>
      </c>
      <c r="C157" t="s">
        <v>98</v>
      </c>
      <c r="D157" s="2">
        <v>411.62</v>
      </c>
      <c r="E157">
        <v>406.36</v>
      </c>
      <c r="F157" s="2">
        <f t="shared" si="2"/>
        <v>5.2599999999999909</v>
      </c>
    </row>
    <row r="158" spans="1:6" x14ac:dyDescent="0.3">
      <c r="A158" t="s">
        <v>81</v>
      </c>
      <c r="B158" t="s">
        <v>11</v>
      </c>
      <c r="C158" t="s">
        <v>85</v>
      </c>
      <c r="D158" s="2">
        <v>408.01</v>
      </c>
      <c r="E158">
        <v>406.36</v>
      </c>
      <c r="F158" s="2">
        <f t="shared" si="2"/>
        <v>1.6499999999999773</v>
      </c>
    </row>
    <row r="159" spans="1:6" x14ac:dyDescent="0.3">
      <c r="A159" t="s">
        <v>81</v>
      </c>
      <c r="B159" t="s">
        <v>17</v>
      </c>
      <c r="C159" t="s">
        <v>33</v>
      </c>
      <c r="D159" s="2">
        <v>407.21</v>
      </c>
      <c r="E159">
        <v>406.36</v>
      </c>
      <c r="F159" s="2">
        <f t="shared" si="2"/>
        <v>0.84999999999996589</v>
      </c>
    </row>
    <row r="160" spans="1:6" x14ac:dyDescent="0.3">
      <c r="A160" t="s">
        <v>81</v>
      </c>
      <c r="B160" t="s">
        <v>24</v>
      </c>
      <c r="C160" t="s">
        <v>13</v>
      </c>
      <c r="D160" s="2">
        <v>412.21</v>
      </c>
      <c r="E160">
        <v>406.36</v>
      </c>
      <c r="F160" s="2">
        <f t="shared" si="2"/>
        <v>5.8499999999999659</v>
      </c>
    </row>
    <row r="161" spans="1:6" x14ac:dyDescent="0.3">
      <c r="A161" t="s">
        <v>68</v>
      </c>
      <c r="B161" t="s">
        <v>17</v>
      </c>
      <c r="C161" t="s">
        <v>47</v>
      </c>
      <c r="D161" s="2">
        <v>407.34</v>
      </c>
      <c r="E161">
        <v>406.36</v>
      </c>
      <c r="F161" s="2">
        <f t="shared" si="2"/>
        <v>0.97999999999996135</v>
      </c>
    </row>
    <row r="162" spans="1:6" x14ac:dyDescent="0.3">
      <c r="A162" t="s">
        <v>68</v>
      </c>
      <c r="B162" t="s">
        <v>17</v>
      </c>
      <c r="C162" t="s">
        <v>30</v>
      </c>
      <c r="D162" s="2">
        <v>406.49</v>
      </c>
      <c r="E162">
        <v>406.36</v>
      </c>
      <c r="F162" s="2">
        <f t="shared" si="2"/>
        <v>0.12999999999999545</v>
      </c>
    </row>
    <row r="163" spans="1:6" x14ac:dyDescent="0.3">
      <c r="A163" t="s">
        <v>68</v>
      </c>
      <c r="B163" t="s">
        <v>17</v>
      </c>
      <c r="C163" t="s">
        <v>29</v>
      </c>
      <c r="D163" s="2">
        <v>406.47</v>
      </c>
      <c r="E163">
        <v>406.36</v>
      </c>
      <c r="F163" s="2">
        <f t="shared" si="2"/>
        <v>0.11000000000001364</v>
      </c>
    </row>
    <row r="164" spans="1:6" x14ac:dyDescent="0.3">
      <c r="A164" t="s">
        <v>68</v>
      </c>
      <c r="B164" t="s">
        <v>14</v>
      </c>
      <c r="C164" t="s">
        <v>99</v>
      </c>
      <c r="D164" s="2">
        <v>406.58</v>
      </c>
      <c r="E164">
        <v>406.36</v>
      </c>
      <c r="F164" s="2">
        <f t="shared" si="2"/>
        <v>0.21999999999997044</v>
      </c>
    </row>
    <row r="165" spans="1:6" x14ac:dyDescent="0.3">
      <c r="A165" t="s">
        <v>68</v>
      </c>
      <c r="B165" t="s">
        <v>17</v>
      </c>
      <c r="C165" t="s">
        <v>55</v>
      </c>
      <c r="D165" s="2">
        <v>406.59</v>
      </c>
      <c r="E165">
        <v>406.36</v>
      </c>
      <c r="F165" s="2">
        <f t="shared" si="2"/>
        <v>0.22999999999996135</v>
      </c>
    </row>
    <row r="166" spans="1:6" x14ac:dyDescent="0.3">
      <c r="A166" t="s">
        <v>68</v>
      </c>
      <c r="B166" t="s">
        <v>24</v>
      </c>
      <c r="C166" t="s">
        <v>8</v>
      </c>
      <c r="D166" s="2">
        <v>0.02</v>
      </c>
      <c r="E166">
        <v>0</v>
      </c>
      <c r="F166" s="2">
        <f t="shared" si="2"/>
        <v>0.02</v>
      </c>
    </row>
    <row r="167" spans="1:6" x14ac:dyDescent="0.3">
      <c r="A167" t="s">
        <v>68</v>
      </c>
      <c r="B167" t="s">
        <v>17</v>
      </c>
      <c r="C167" t="s">
        <v>13</v>
      </c>
      <c r="D167" s="2">
        <v>406.91</v>
      </c>
      <c r="E167">
        <v>406.36</v>
      </c>
      <c r="F167" s="2">
        <f t="shared" si="2"/>
        <v>0.55000000000001137</v>
      </c>
    </row>
    <row r="168" spans="1:6" x14ac:dyDescent="0.3">
      <c r="A168" t="s">
        <v>28</v>
      </c>
      <c r="B168" t="s">
        <v>11</v>
      </c>
      <c r="C168" t="s">
        <v>43</v>
      </c>
      <c r="D168" s="2">
        <v>409.1</v>
      </c>
      <c r="E168">
        <v>406.36</v>
      </c>
      <c r="F168" s="2">
        <f t="shared" si="2"/>
        <v>2.7400000000000091</v>
      </c>
    </row>
    <row r="169" spans="1:6" x14ac:dyDescent="0.3">
      <c r="A169" t="s">
        <v>28</v>
      </c>
      <c r="B169" t="s">
        <v>11</v>
      </c>
      <c r="C169" t="s">
        <v>12</v>
      </c>
      <c r="D169" s="2">
        <v>408.16</v>
      </c>
      <c r="E169">
        <v>406.36</v>
      </c>
      <c r="F169" s="2">
        <f t="shared" si="2"/>
        <v>1.8000000000000114</v>
      </c>
    </row>
    <row r="170" spans="1:6" x14ac:dyDescent="0.3">
      <c r="A170" t="s">
        <v>28</v>
      </c>
      <c r="B170" t="s">
        <v>7</v>
      </c>
      <c r="C170" t="s">
        <v>46</v>
      </c>
      <c r="D170" s="2">
        <v>15.29</v>
      </c>
      <c r="E170">
        <v>0</v>
      </c>
      <c r="F170" s="2">
        <f t="shared" si="2"/>
        <v>15.29</v>
      </c>
    </row>
    <row r="171" spans="1:6" x14ac:dyDescent="0.3">
      <c r="A171" t="s">
        <v>28</v>
      </c>
      <c r="B171" t="s">
        <v>11</v>
      </c>
      <c r="C171" t="s">
        <v>41</v>
      </c>
      <c r="D171" s="2">
        <v>1.45</v>
      </c>
      <c r="E171">
        <v>0</v>
      </c>
      <c r="F171" s="2">
        <f t="shared" si="2"/>
        <v>1.45</v>
      </c>
    </row>
    <row r="172" spans="1:6" x14ac:dyDescent="0.3">
      <c r="A172" t="s">
        <v>48</v>
      </c>
      <c r="B172" t="s">
        <v>24</v>
      </c>
      <c r="C172" t="s">
        <v>33</v>
      </c>
      <c r="D172" s="2">
        <v>7.48</v>
      </c>
      <c r="E172">
        <v>0</v>
      </c>
      <c r="F172" s="2">
        <f t="shared" si="2"/>
        <v>7.48</v>
      </c>
    </row>
    <row r="173" spans="1:6" x14ac:dyDescent="0.3">
      <c r="A173" t="s">
        <v>20</v>
      </c>
      <c r="B173" t="s">
        <v>7</v>
      </c>
      <c r="C173" t="s">
        <v>100</v>
      </c>
      <c r="D173" s="2">
        <v>0.17</v>
      </c>
      <c r="E173">
        <v>0</v>
      </c>
      <c r="F173" s="2">
        <f t="shared" si="2"/>
        <v>0.17</v>
      </c>
    </row>
    <row r="174" spans="1:6" x14ac:dyDescent="0.3">
      <c r="A174" t="s">
        <v>20</v>
      </c>
      <c r="B174" t="s">
        <v>11</v>
      </c>
      <c r="C174" t="s">
        <v>35</v>
      </c>
      <c r="D174" s="2">
        <v>408.05</v>
      </c>
      <c r="E174">
        <v>406.36</v>
      </c>
      <c r="F174" s="2">
        <f t="shared" si="2"/>
        <v>1.6899999999999977</v>
      </c>
    </row>
    <row r="175" spans="1:6" x14ac:dyDescent="0.3">
      <c r="A175" t="s">
        <v>20</v>
      </c>
      <c r="B175" t="s">
        <v>17</v>
      </c>
      <c r="C175" t="s">
        <v>34</v>
      </c>
      <c r="D175" s="2">
        <v>0.15</v>
      </c>
      <c r="E175">
        <v>0</v>
      </c>
      <c r="F175" s="2">
        <f t="shared" si="2"/>
        <v>0.15</v>
      </c>
    </row>
    <row r="176" spans="1:6" x14ac:dyDescent="0.3">
      <c r="A176" t="s">
        <v>20</v>
      </c>
      <c r="B176" t="s">
        <v>11</v>
      </c>
      <c r="C176" t="s">
        <v>12</v>
      </c>
      <c r="D176" s="2">
        <v>0.67</v>
      </c>
      <c r="E176">
        <v>0</v>
      </c>
      <c r="F176" s="2">
        <f t="shared" si="2"/>
        <v>0.67</v>
      </c>
    </row>
    <row r="177" spans="1:6" x14ac:dyDescent="0.3">
      <c r="A177" t="s">
        <v>20</v>
      </c>
      <c r="B177" t="s">
        <v>11</v>
      </c>
      <c r="C177" t="s">
        <v>30</v>
      </c>
      <c r="D177" s="2">
        <v>0.69</v>
      </c>
      <c r="E177">
        <v>0</v>
      </c>
      <c r="F177" s="2">
        <f t="shared" si="2"/>
        <v>0.69</v>
      </c>
    </row>
    <row r="178" spans="1:6" x14ac:dyDescent="0.3">
      <c r="A178" t="s">
        <v>20</v>
      </c>
      <c r="B178" t="s">
        <v>7</v>
      </c>
      <c r="C178" t="s">
        <v>71</v>
      </c>
      <c r="D178" s="2">
        <v>7.0000000000000007E-2</v>
      </c>
      <c r="E178">
        <v>0</v>
      </c>
      <c r="F178" s="2">
        <f t="shared" si="2"/>
        <v>7.0000000000000007E-2</v>
      </c>
    </row>
    <row r="179" spans="1:6" x14ac:dyDescent="0.3">
      <c r="A179" t="s">
        <v>20</v>
      </c>
      <c r="B179" t="s">
        <v>17</v>
      </c>
      <c r="C179" t="s">
        <v>33</v>
      </c>
      <c r="D179" s="2">
        <v>5.45</v>
      </c>
      <c r="E179">
        <v>0</v>
      </c>
      <c r="F179" s="2">
        <f t="shared" si="2"/>
        <v>5.45</v>
      </c>
    </row>
    <row r="180" spans="1:6" x14ac:dyDescent="0.3">
      <c r="A180" t="s">
        <v>20</v>
      </c>
      <c r="B180" t="s">
        <v>14</v>
      </c>
      <c r="C180" t="s">
        <v>33</v>
      </c>
      <c r="D180" s="2">
        <v>3.83</v>
      </c>
      <c r="E180">
        <v>0</v>
      </c>
      <c r="F180" s="2">
        <f t="shared" si="2"/>
        <v>3.83</v>
      </c>
    </row>
    <row r="181" spans="1:6" x14ac:dyDescent="0.3">
      <c r="A181" t="s">
        <v>20</v>
      </c>
      <c r="B181" t="s">
        <v>7</v>
      </c>
      <c r="C181" t="s">
        <v>36</v>
      </c>
      <c r="D181" s="2">
        <v>0.41</v>
      </c>
      <c r="E181">
        <v>0</v>
      </c>
      <c r="F181" s="2">
        <f t="shared" si="2"/>
        <v>0.41</v>
      </c>
    </row>
    <row r="182" spans="1:6" x14ac:dyDescent="0.3">
      <c r="A182" t="s">
        <v>20</v>
      </c>
      <c r="B182" t="s">
        <v>24</v>
      </c>
      <c r="C182" t="s">
        <v>33</v>
      </c>
      <c r="D182" s="2">
        <v>2.6</v>
      </c>
      <c r="E182">
        <v>0</v>
      </c>
      <c r="F182" s="2">
        <f t="shared" si="2"/>
        <v>2.6</v>
      </c>
    </row>
    <row r="183" spans="1:6" x14ac:dyDescent="0.3">
      <c r="A183" t="s">
        <v>20</v>
      </c>
      <c r="B183" t="s">
        <v>11</v>
      </c>
      <c r="C183" t="s">
        <v>19</v>
      </c>
      <c r="D183" s="2">
        <v>0.84</v>
      </c>
      <c r="E183">
        <v>0</v>
      </c>
      <c r="F183" s="2">
        <f t="shared" si="2"/>
        <v>0.84</v>
      </c>
    </row>
    <row r="184" spans="1:6" x14ac:dyDescent="0.3">
      <c r="A184" t="s">
        <v>20</v>
      </c>
      <c r="B184" t="s">
        <v>7</v>
      </c>
      <c r="C184" t="s">
        <v>19</v>
      </c>
      <c r="D184" s="2">
        <v>0.11</v>
      </c>
      <c r="E184">
        <v>0</v>
      </c>
      <c r="F184" s="2">
        <f t="shared" si="2"/>
        <v>0.11</v>
      </c>
    </row>
    <row r="185" spans="1:6" x14ac:dyDescent="0.3">
      <c r="A185" t="s">
        <v>20</v>
      </c>
      <c r="B185" t="s">
        <v>7</v>
      </c>
      <c r="C185" t="s">
        <v>29</v>
      </c>
      <c r="D185" s="2">
        <v>0.86</v>
      </c>
      <c r="E185">
        <v>0</v>
      </c>
      <c r="F185" s="2">
        <f t="shared" si="2"/>
        <v>0.86</v>
      </c>
    </row>
    <row r="186" spans="1:6" x14ac:dyDescent="0.3">
      <c r="A186" t="s">
        <v>20</v>
      </c>
      <c r="B186" t="s">
        <v>17</v>
      </c>
      <c r="C186" t="s">
        <v>30</v>
      </c>
      <c r="D186" s="2">
        <v>4.54</v>
      </c>
      <c r="E186">
        <v>0</v>
      </c>
      <c r="F186" s="2">
        <f t="shared" si="2"/>
        <v>4.54</v>
      </c>
    </row>
    <row r="187" spans="1:6" x14ac:dyDescent="0.3">
      <c r="A187" t="s">
        <v>25</v>
      </c>
      <c r="B187" t="s">
        <v>14</v>
      </c>
      <c r="C187" t="s">
        <v>30</v>
      </c>
      <c r="D187" s="2">
        <v>2.74</v>
      </c>
      <c r="E187">
        <v>0</v>
      </c>
      <c r="F187" s="2">
        <f t="shared" si="2"/>
        <v>2.74</v>
      </c>
    </row>
    <row r="188" spans="1:6" x14ac:dyDescent="0.3">
      <c r="A188" t="s">
        <v>25</v>
      </c>
      <c r="B188" t="s">
        <v>17</v>
      </c>
      <c r="C188" t="s">
        <v>98</v>
      </c>
      <c r="D188" s="2">
        <v>1.89</v>
      </c>
      <c r="E188">
        <v>0</v>
      </c>
      <c r="F188" s="2">
        <f t="shared" si="2"/>
        <v>1.89</v>
      </c>
    </row>
    <row r="189" spans="1:6" x14ac:dyDescent="0.3">
      <c r="A189" t="s">
        <v>25</v>
      </c>
      <c r="B189" t="s">
        <v>14</v>
      </c>
      <c r="C189" t="s">
        <v>21</v>
      </c>
      <c r="D189" s="2">
        <v>1.2</v>
      </c>
      <c r="E189">
        <v>0</v>
      </c>
      <c r="F189" s="2">
        <f t="shared" si="2"/>
        <v>1.2</v>
      </c>
    </row>
    <row r="190" spans="1:6" x14ac:dyDescent="0.3">
      <c r="A190" t="s">
        <v>25</v>
      </c>
      <c r="B190" t="s">
        <v>24</v>
      </c>
      <c r="C190" t="s">
        <v>34</v>
      </c>
      <c r="D190" s="2">
        <v>5.74</v>
      </c>
      <c r="E190">
        <v>0</v>
      </c>
      <c r="F190" s="2">
        <f t="shared" si="2"/>
        <v>5.74</v>
      </c>
    </row>
    <row r="191" spans="1:6" x14ac:dyDescent="0.3">
      <c r="A191" t="s">
        <v>25</v>
      </c>
      <c r="B191" t="s">
        <v>24</v>
      </c>
      <c r="C191" t="s">
        <v>33</v>
      </c>
      <c r="D191" s="2">
        <v>0.28999999999999998</v>
      </c>
      <c r="E191">
        <v>0</v>
      </c>
      <c r="F191" s="2">
        <f t="shared" si="2"/>
        <v>0.28999999999999998</v>
      </c>
    </row>
    <row r="192" spans="1:6" x14ac:dyDescent="0.3">
      <c r="A192" t="s">
        <v>25</v>
      </c>
      <c r="B192" t="s">
        <v>14</v>
      </c>
      <c r="C192" t="s">
        <v>33</v>
      </c>
      <c r="D192" s="2">
        <v>0.62</v>
      </c>
      <c r="E192">
        <v>0</v>
      </c>
      <c r="F192" s="2">
        <f t="shared" si="2"/>
        <v>0.62</v>
      </c>
    </row>
    <row r="193" spans="1:6" x14ac:dyDescent="0.3">
      <c r="A193" t="s">
        <v>25</v>
      </c>
      <c r="B193" t="s">
        <v>24</v>
      </c>
      <c r="C193" t="s">
        <v>12</v>
      </c>
      <c r="D193" s="2">
        <v>0.32</v>
      </c>
      <c r="E193">
        <v>0</v>
      </c>
      <c r="F193" s="2">
        <f t="shared" si="2"/>
        <v>0.32</v>
      </c>
    </row>
    <row r="194" spans="1:6" x14ac:dyDescent="0.3">
      <c r="A194" t="s">
        <v>25</v>
      </c>
      <c r="B194" t="s">
        <v>14</v>
      </c>
      <c r="C194" t="s">
        <v>32</v>
      </c>
      <c r="D194" s="2">
        <v>0.27</v>
      </c>
      <c r="E194">
        <v>0</v>
      </c>
      <c r="F194" s="2">
        <f t="shared" si="2"/>
        <v>0.27</v>
      </c>
    </row>
    <row r="195" spans="1:6" x14ac:dyDescent="0.3">
      <c r="A195" t="s">
        <v>25</v>
      </c>
      <c r="B195" t="s">
        <v>17</v>
      </c>
      <c r="C195" t="s">
        <v>30</v>
      </c>
      <c r="D195" s="2">
        <v>0.16</v>
      </c>
      <c r="E195">
        <v>0</v>
      </c>
      <c r="F195" s="2">
        <f t="shared" ref="F195:F258" si="3">MAX(D195-E195, 0)</f>
        <v>0.16</v>
      </c>
    </row>
    <row r="196" spans="1:6" x14ac:dyDescent="0.3">
      <c r="A196" t="s">
        <v>25</v>
      </c>
      <c r="B196" t="s">
        <v>11</v>
      </c>
      <c r="C196" t="s">
        <v>33</v>
      </c>
      <c r="D196" s="2">
        <v>9.67</v>
      </c>
      <c r="E196">
        <v>0</v>
      </c>
      <c r="F196" s="2">
        <f t="shared" si="3"/>
        <v>9.67</v>
      </c>
    </row>
    <row r="197" spans="1:6" x14ac:dyDescent="0.3">
      <c r="A197" t="s">
        <v>26</v>
      </c>
      <c r="B197" t="s">
        <v>11</v>
      </c>
      <c r="C197" t="s">
        <v>8</v>
      </c>
      <c r="D197" s="2">
        <v>60.17</v>
      </c>
      <c r="E197">
        <v>0</v>
      </c>
      <c r="F197" s="2">
        <f t="shared" si="3"/>
        <v>60.17</v>
      </c>
    </row>
    <row r="198" spans="1:6" x14ac:dyDescent="0.3">
      <c r="A198" t="s">
        <v>6</v>
      </c>
      <c r="B198" t="s">
        <v>17</v>
      </c>
      <c r="C198" t="s">
        <v>29</v>
      </c>
      <c r="D198" s="2">
        <v>0.48</v>
      </c>
      <c r="E198">
        <v>0</v>
      </c>
      <c r="F198" s="2">
        <f t="shared" si="3"/>
        <v>0.48</v>
      </c>
    </row>
    <row r="199" spans="1:6" x14ac:dyDescent="0.3">
      <c r="A199" t="s">
        <v>6</v>
      </c>
      <c r="B199" t="s">
        <v>17</v>
      </c>
      <c r="C199" t="s">
        <v>30</v>
      </c>
      <c r="D199" s="2">
        <v>0.03</v>
      </c>
      <c r="E199">
        <v>0</v>
      </c>
      <c r="F199" s="2">
        <f t="shared" si="3"/>
        <v>0.03</v>
      </c>
    </row>
    <row r="200" spans="1:6" x14ac:dyDescent="0.3">
      <c r="A200" t="s">
        <v>6</v>
      </c>
      <c r="B200" t="s">
        <v>17</v>
      </c>
      <c r="C200" t="s">
        <v>71</v>
      </c>
      <c r="D200" s="2">
        <v>0.01</v>
      </c>
      <c r="E200">
        <v>0</v>
      </c>
      <c r="F200" s="2">
        <f t="shared" si="3"/>
        <v>0.01</v>
      </c>
    </row>
    <row r="201" spans="1:6" x14ac:dyDescent="0.3">
      <c r="A201" t="s">
        <v>6</v>
      </c>
      <c r="B201" t="s">
        <v>14</v>
      </c>
      <c r="C201" t="s">
        <v>19</v>
      </c>
      <c r="D201" s="2">
        <v>0.31</v>
      </c>
      <c r="E201">
        <v>0</v>
      </c>
      <c r="F201" s="2">
        <f t="shared" si="3"/>
        <v>0.31</v>
      </c>
    </row>
    <row r="202" spans="1:6" x14ac:dyDescent="0.3">
      <c r="A202" t="s">
        <v>58</v>
      </c>
      <c r="B202" t="s">
        <v>17</v>
      </c>
      <c r="C202" t="s">
        <v>98</v>
      </c>
      <c r="D202" s="2">
        <v>0.8</v>
      </c>
      <c r="E202">
        <v>0</v>
      </c>
      <c r="F202" s="2">
        <f t="shared" si="3"/>
        <v>0.8</v>
      </c>
    </row>
    <row r="203" spans="1:6" x14ac:dyDescent="0.3">
      <c r="A203" t="s">
        <v>68</v>
      </c>
      <c r="B203" t="s">
        <v>7</v>
      </c>
      <c r="C203" t="s">
        <v>52</v>
      </c>
      <c r="D203" s="2">
        <v>2.85</v>
      </c>
      <c r="E203">
        <v>0</v>
      </c>
      <c r="F203" s="2">
        <f t="shared" si="3"/>
        <v>2.85</v>
      </c>
    </row>
    <row r="204" spans="1:6" x14ac:dyDescent="0.3">
      <c r="A204" t="s">
        <v>62</v>
      </c>
      <c r="B204" t="s">
        <v>17</v>
      </c>
      <c r="C204" t="s">
        <v>33</v>
      </c>
      <c r="D204" s="2">
        <v>0.08</v>
      </c>
      <c r="E204">
        <v>0</v>
      </c>
      <c r="F204" s="2">
        <f t="shared" si="3"/>
        <v>0.08</v>
      </c>
    </row>
    <row r="205" spans="1:6" x14ac:dyDescent="0.3">
      <c r="A205" t="s">
        <v>62</v>
      </c>
      <c r="B205" t="s">
        <v>14</v>
      </c>
      <c r="C205" t="s">
        <v>13</v>
      </c>
      <c r="D205" s="2">
        <v>0.04</v>
      </c>
      <c r="E205">
        <v>0</v>
      </c>
      <c r="F205" s="2">
        <f t="shared" si="3"/>
        <v>0.04</v>
      </c>
    </row>
    <row r="206" spans="1:6" x14ac:dyDescent="0.3">
      <c r="A206" t="s">
        <v>62</v>
      </c>
      <c r="B206" t="s">
        <v>11</v>
      </c>
      <c r="C206" t="s">
        <v>13</v>
      </c>
      <c r="D206" s="2">
        <v>7.39</v>
      </c>
      <c r="E206">
        <v>0</v>
      </c>
      <c r="F206" s="2">
        <f t="shared" si="3"/>
        <v>7.39</v>
      </c>
    </row>
    <row r="207" spans="1:6" x14ac:dyDescent="0.3">
      <c r="A207" t="s">
        <v>26</v>
      </c>
      <c r="B207" t="s">
        <v>14</v>
      </c>
      <c r="C207" t="s">
        <v>8</v>
      </c>
      <c r="D207" s="2">
        <v>43.3</v>
      </c>
      <c r="E207">
        <v>0</v>
      </c>
      <c r="F207" s="2">
        <f t="shared" si="3"/>
        <v>43.3</v>
      </c>
    </row>
    <row r="208" spans="1:6" x14ac:dyDescent="0.3">
      <c r="A208" t="s">
        <v>60</v>
      </c>
      <c r="B208" t="s">
        <v>14</v>
      </c>
      <c r="C208" t="s">
        <v>13</v>
      </c>
      <c r="D208" s="2">
        <v>25.11</v>
      </c>
      <c r="E208">
        <v>0</v>
      </c>
      <c r="F208" s="2">
        <f t="shared" si="3"/>
        <v>25.11</v>
      </c>
    </row>
    <row r="209" spans="1:6" x14ac:dyDescent="0.3">
      <c r="A209" t="s">
        <v>48</v>
      </c>
      <c r="B209" t="s">
        <v>14</v>
      </c>
      <c r="C209" t="s">
        <v>18</v>
      </c>
      <c r="D209" s="2">
        <v>43.02</v>
      </c>
      <c r="E209">
        <v>0</v>
      </c>
      <c r="F209" s="2">
        <f t="shared" si="3"/>
        <v>43.02</v>
      </c>
    </row>
    <row r="210" spans="1:6" x14ac:dyDescent="0.3">
      <c r="A210" t="s">
        <v>26</v>
      </c>
      <c r="B210" t="s">
        <v>24</v>
      </c>
      <c r="C210" t="s">
        <v>13</v>
      </c>
      <c r="D210" s="2">
        <v>40.47</v>
      </c>
      <c r="E210">
        <v>0</v>
      </c>
      <c r="F210" s="2">
        <f t="shared" si="3"/>
        <v>40.47</v>
      </c>
    </row>
    <row r="211" spans="1:6" x14ac:dyDescent="0.3">
      <c r="A211" t="s">
        <v>60</v>
      </c>
      <c r="B211" t="s">
        <v>7</v>
      </c>
      <c r="C211" t="s">
        <v>33</v>
      </c>
      <c r="D211" s="2">
        <v>1.68</v>
      </c>
      <c r="E211">
        <v>0</v>
      </c>
      <c r="F211" s="2">
        <f t="shared" si="3"/>
        <v>1.68</v>
      </c>
    </row>
    <row r="212" spans="1:6" x14ac:dyDescent="0.3">
      <c r="A212" t="s">
        <v>60</v>
      </c>
      <c r="B212" t="s">
        <v>17</v>
      </c>
      <c r="C212" t="s">
        <v>13</v>
      </c>
      <c r="D212" s="2">
        <v>7.72</v>
      </c>
      <c r="E212">
        <v>0</v>
      </c>
      <c r="F212" s="2">
        <f t="shared" si="3"/>
        <v>7.72</v>
      </c>
    </row>
    <row r="213" spans="1:6" x14ac:dyDescent="0.3">
      <c r="A213" t="s">
        <v>65</v>
      </c>
      <c r="B213" t="s">
        <v>17</v>
      </c>
      <c r="C213" t="s">
        <v>8</v>
      </c>
      <c r="D213" s="2">
        <v>18.8</v>
      </c>
      <c r="E213">
        <v>0</v>
      </c>
      <c r="F213" s="2">
        <f t="shared" si="3"/>
        <v>18.8</v>
      </c>
    </row>
    <row r="214" spans="1:6" x14ac:dyDescent="0.3">
      <c r="A214" t="s">
        <v>59</v>
      </c>
      <c r="B214" t="s">
        <v>24</v>
      </c>
      <c r="C214" t="s">
        <v>8</v>
      </c>
      <c r="D214" s="2">
        <v>6.04</v>
      </c>
      <c r="E214">
        <v>0</v>
      </c>
      <c r="F214" s="2">
        <f t="shared" si="3"/>
        <v>6.04</v>
      </c>
    </row>
    <row r="215" spans="1:6" x14ac:dyDescent="0.3">
      <c r="A215" t="s">
        <v>62</v>
      </c>
      <c r="B215" t="s">
        <v>7</v>
      </c>
      <c r="C215" t="s">
        <v>80</v>
      </c>
      <c r="D215" s="2">
        <v>11.94</v>
      </c>
      <c r="E215">
        <v>0</v>
      </c>
      <c r="F215" s="2">
        <f t="shared" si="3"/>
        <v>11.94</v>
      </c>
    </row>
    <row r="216" spans="1:6" x14ac:dyDescent="0.3">
      <c r="A216" t="s">
        <v>62</v>
      </c>
      <c r="B216" t="s">
        <v>11</v>
      </c>
      <c r="C216" t="s">
        <v>79</v>
      </c>
      <c r="D216" s="2">
        <v>5.44</v>
      </c>
      <c r="E216">
        <v>0</v>
      </c>
      <c r="F216" s="2">
        <f t="shared" si="3"/>
        <v>5.44</v>
      </c>
    </row>
    <row r="217" spans="1:6" x14ac:dyDescent="0.3">
      <c r="A217" t="s">
        <v>62</v>
      </c>
      <c r="B217" t="s">
        <v>7</v>
      </c>
      <c r="C217" t="s">
        <v>29</v>
      </c>
      <c r="D217" s="2">
        <v>0.88</v>
      </c>
      <c r="E217">
        <v>0</v>
      </c>
      <c r="F217" s="2">
        <f t="shared" si="3"/>
        <v>0.88</v>
      </c>
    </row>
    <row r="218" spans="1:6" x14ac:dyDescent="0.3">
      <c r="A218" t="s">
        <v>62</v>
      </c>
      <c r="B218" t="s">
        <v>11</v>
      </c>
      <c r="C218" t="s">
        <v>80</v>
      </c>
      <c r="D218" s="2">
        <v>5.43</v>
      </c>
      <c r="E218">
        <v>0</v>
      </c>
      <c r="F218" s="2">
        <f t="shared" si="3"/>
        <v>5.43</v>
      </c>
    </row>
    <row r="219" spans="1:6" x14ac:dyDescent="0.3">
      <c r="A219" t="s">
        <v>62</v>
      </c>
      <c r="B219" t="s">
        <v>24</v>
      </c>
      <c r="C219" t="s">
        <v>8</v>
      </c>
      <c r="D219" s="2">
        <v>14.07</v>
      </c>
      <c r="E219">
        <v>0</v>
      </c>
      <c r="F219" s="2">
        <f t="shared" si="3"/>
        <v>14.07</v>
      </c>
    </row>
    <row r="220" spans="1:6" x14ac:dyDescent="0.3">
      <c r="A220" t="s">
        <v>62</v>
      </c>
      <c r="B220" t="s">
        <v>7</v>
      </c>
      <c r="C220" t="s">
        <v>8</v>
      </c>
      <c r="D220" s="2">
        <v>1.44</v>
      </c>
      <c r="E220">
        <v>0</v>
      </c>
      <c r="F220" s="2">
        <f t="shared" si="3"/>
        <v>1.44</v>
      </c>
    </row>
    <row r="221" spans="1:6" x14ac:dyDescent="0.3">
      <c r="A221" t="s">
        <v>26</v>
      </c>
      <c r="B221" t="s">
        <v>14</v>
      </c>
      <c r="C221" t="s">
        <v>94</v>
      </c>
      <c r="D221" s="2">
        <v>95.18</v>
      </c>
      <c r="E221">
        <v>0</v>
      </c>
      <c r="F221" s="2">
        <f t="shared" si="3"/>
        <v>95.18</v>
      </c>
    </row>
    <row r="222" spans="1:6" x14ac:dyDescent="0.3">
      <c r="A222" t="s">
        <v>25</v>
      </c>
      <c r="B222" t="s">
        <v>17</v>
      </c>
      <c r="C222" t="s">
        <v>94</v>
      </c>
      <c r="D222" s="2">
        <v>68.77</v>
      </c>
      <c r="E222">
        <v>0</v>
      </c>
      <c r="F222" s="2">
        <f t="shared" si="3"/>
        <v>68.77</v>
      </c>
    </row>
    <row r="223" spans="1:6" x14ac:dyDescent="0.3">
      <c r="A223" t="s">
        <v>25</v>
      </c>
      <c r="B223" t="s">
        <v>17</v>
      </c>
      <c r="C223" t="s">
        <v>95</v>
      </c>
      <c r="D223" s="2">
        <v>14.45</v>
      </c>
      <c r="E223">
        <v>0</v>
      </c>
      <c r="F223" s="2">
        <f t="shared" si="3"/>
        <v>14.45</v>
      </c>
    </row>
    <row r="224" spans="1:6" x14ac:dyDescent="0.3">
      <c r="A224" t="s">
        <v>84</v>
      </c>
      <c r="B224" t="s">
        <v>14</v>
      </c>
      <c r="C224" t="s">
        <v>94</v>
      </c>
      <c r="D224" s="2">
        <v>41.38</v>
      </c>
      <c r="E224">
        <v>0</v>
      </c>
      <c r="F224" s="2">
        <f t="shared" si="3"/>
        <v>41.38</v>
      </c>
    </row>
    <row r="225" spans="1:6" x14ac:dyDescent="0.3">
      <c r="A225" t="s">
        <v>84</v>
      </c>
      <c r="B225" t="s">
        <v>14</v>
      </c>
      <c r="C225" t="s">
        <v>95</v>
      </c>
      <c r="D225" s="2">
        <v>0</v>
      </c>
      <c r="E225">
        <v>0</v>
      </c>
      <c r="F225" s="2">
        <f t="shared" si="3"/>
        <v>0</v>
      </c>
    </row>
    <row r="226" spans="1:6" x14ac:dyDescent="0.3">
      <c r="A226" t="s">
        <v>84</v>
      </c>
      <c r="B226" t="s">
        <v>7</v>
      </c>
      <c r="C226" t="s">
        <v>94</v>
      </c>
      <c r="D226" s="2">
        <v>41.5</v>
      </c>
      <c r="E226">
        <v>0</v>
      </c>
      <c r="F226" s="2">
        <f t="shared" si="3"/>
        <v>41.5</v>
      </c>
    </row>
    <row r="227" spans="1:6" x14ac:dyDescent="0.3">
      <c r="A227" t="s">
        <v>84</v>
      </c>
      <c r="B227" t="s">
        <v>7</v>
      </c>
      <c r="C227" t="s">
        <v>95</v>
      </c>
      <c r="D227" s="2">
        <v>25.84</v>
      </c>
      <c r="E227">
        <v>0</v>
      </c>
      <c r="F227" s="2">
        <f t="shared" si="3"/>
        <v>25.84</v>
      </c>
    </row>
    <row r="228" spans="1:6" x14ac:dyDescent="0.3">
      <c r="A228" t="s">
        <v>84</v>
      </c>
      <c r="B228" t="s">
        <v>11</v>
      </c>
      <c r="C228" t="s">
        <v>94</v>
      </c>
      <c r="D228" s="2">
        <v>33.700000000000003</v>
      </c>
      <c r="E228">
        <v>0</v>
      </c>
      <c r="F228" s="2">
        <f t="shared" si="3"/>
        <v>33.700000000000003</v>
      </c>
    </row>
    <row r="229" spans="1:6" x14ac:dyDescent="0.3">
      <c r="A229" t="s">
        <v>84</v>
      </c>
      <c r="B229" t="s">
        <v>11</v>
      </c>
      <c r="C229" t="s">
        <v>95</v>
      </c>
      <c r="D229" s="2">
        <v>33.75</v>
      </c>
      <c r="E229">
        <v>0</v>
      </c>
      <c r="F229" s="2">
        <f t="shared" si="3"/>
        <v>33.75</v>
      </c>
    </row>
    <row r="230" spans="1:6" x14ac:dyDescent="0.3">
      <c r="A230" t="s">
        <v>84</v>
      </c>
      <c r="B230" t="s">
        <v>24</v>
      </c>
      <c r="C230" t="s">
        <v>94</v>
      </c>
      <c r="D230" s="2">
        <v>80.09</v>
      </c>
      <c r="E230">
        <v>0</v>
      </c>
      <c r="F230" s="2">
        <f t="shared" si="3"/>
        <v>80.09</v>
      </c>
    </row>
    <row r="231" spans="1:6" x14ac:dyDescent="0.3">
      <c r="A231" t="s">
        <v>84</v>
      </c>
      <c r="B231" t="s">
        <v>24</v>
      </c>
      <c r="C231" t="s">
        <v>95</v>
      </c>
      <c r="D231" s="2">
        <v>0</v>
      </c>
      <c r="E231">
        <v>0</v>
      </c>
      <c r="F231" s="2">
        <f t="shared" si="3"/>
        <v>0</v>
      </c>
    </row>
    <row r="232" spans="1:6" x14ac:dyDescent="0.3">
      <c r="A232" t="s">
        <v>84</v>
      </c>
      <c r="B232" t="s">
        <v>17</v>
      </c>
      <c r="C232" t="s">
        <v>94</v>
      </c>
      <c r="D232" s="2">
        <v>58.55</v>
      </c>
      <c r="E232">
        <v>0</v>
      </c>
      <c r="F232" s="2">
        <f t="shared" si="3"/>
        <v>58.55</v>
      </c>
    </row>
    <row r="233" spans="1:6" x14ac:dyDescent="0.3">
      <c r="A233" t="s">
        <v>84</v>
      </c>
      <c r="B233" t="s">
        <v>17</v>
      </c>
      <c r="C233" t="s">
        <v>95</v>
      </c>
      <c r="D233" s="2">
        <v>0</v>
      </c>
      <c r="E233">
        <v>0</v>
      </c>
      <c r="F233" s="2">
        <f t="shared" si="3"/>
        <v>0</v>
      </c>
    </row>
    <row r="234" spans="1:6" x14ac:dyDescent="0.3">
      <c r="A234" t="s">
        <v>81</v>
      </c>
      <c r="B234" t="s">
        <v>14</v>
      </c>
      <c r="C234" t="s">
        <v>94</v>
      </c>
      <c r="D234" s="2">
        <v>82.88</v>
      </c>
      <c r="E234">
        <v>0</v>
      </c>
      <c r="F234" s="2">
        <f t="shared" si="3"/>
        <v>82.88</v>
      </c>
    </row>
    <row r="235" spans="1:6" x14ac:dyDescent="0.3">
      <c r="A235" t="s">
        <v>81</v>
      </c>
      <c r="B235" t="s">
        <v>14</v>
      </c>
      <c r="C235" t="s">
        <v>95</v>
      </c>
      <c r="D235" s="2">
        <v>7.68</v>
      </c>
      <c r="E235">
        <v>0</v>
      </c>
      <c r="F235" s="2">
        <f t="shared" si="3"/>
        <v>7.68</v>
      </c>
    </row>
    <row r="236" spans="1:6" x14ac:dyDescent="0.3">
      <c r="A236" t="s">
        <v>81</v>
      </c>
      <c r="B236" t="s">
        <v>7</v>
      </c>
      <c r="C236" t="s">
        <v>94</v>
      </c>
      <c r="D236" s="2">
        <v>42.99</v>
      </c>
      <c r="E236">
        <v>0</v>
      </c>
      <c r="F236" s="2">
        <f t="shared" si="3"/>
        <v>42.99</v>
      </c>
    </row>
    <row r="237" spans="1:6" x14ac:dyDescent="0.3">
      <c r="A237" t="s">
        <v>81</v>
      </c>
      <c r="B237" t="s">
        <v>7</v>
      </c>
      <c r="C237" t="s">
        <v>95</v>
      </c>
      <c r="D237" s="2">
        <v>38.24</v>
      </c>
      <c r="E237">
        <v>0</v>
      </c>
      <c r="F237" s="2">
        <f t="shared" si="3"/>
        <v>38.24</v>
      </c>
    </row>
    <row r="238" spans="1:6" x14ac:dyDescent="0.3">
      <c r="A238" t="s">
        <v>81</v>
      </c>
      <c r="B238" t="s">
        <v>24</v>
      </c>
      <c r="C238" t="s">
        <v>94</v>
      </c>
      <c r="D238" s="2">
        <v>41.77</v>
      </c>
      <c r="E238">
        <v>0</v>
      </c>
      <c r="F238" s="2">
        <f t="shared" si="3"/>
        <v>41.77</v>
      </c>
    </row>
    <row r="239" spans="1:6" x14ac:dyDescent="0.3">
      <c r="A239" t="s">
        <v>81</v>
      </c>
      <c r="B239" t="s">
        <v>24</v>
      </c>
      <c r="C239" t="s">
        <v>95</v>
      </c>
      <c r="D239" s="2">
        <v>95.06</v>
      </c>
      <c r="E239">
        <v>0</v>
      </c>
      <c r="F239" s="2">
        <f t="shared" si="3"/>
        <v>95.06</v>
      </c>
    </row>
    <row r="240" spans="1:6" x14ac:dyDescent="0.3">
      <c r="A240" t="s">
        <v>20</v>
      </c>
      <c r="B240" t="s">
        <v>7</v>
      </c>
      <c r="C240" t="s">
        <v>94</v>
      </c>
      <c r="D240" s="2">
        <v>39.479999999999997</v>
      </c>
      <c r="E240">
        <v>0</v>
      </c>
      <c r="F240" s="2">
        <f t="shared" si="3"/>
        <v>39.479999999999997</v>
      </c>
    </row>
    <row r="241" spans="1:7" x14ac:dyDescent="0.3">
      <c r="A241" t="s">
        <v>20</v>
      </c>
      <c r="B241" t="s">
        <v>7</v>
      </c>
      <c r="C241" t="s">
        <v>95</v>
      </c>
      <c r="D241" s="2">
        <v>25.53</v>
      </c>
      <c r="E241">
        <v>0</v>
      </c>
      <c r="F241" s="2">
        <f t="shared" si="3"/>
        <v>25.53</v>
      </c>
    </row>
    <row r="242" spans="1:7" x14ac:dyDescent="0.3">
      <c r="A242" t="s">
        <v>20</v>
      </c>
      <c r="B242" t="s">
        <v>14</v>
      </c>
      <c r="C242" t="s">
        <v>94</v>
      </c>
      <c r="D242" s="2">
        <v>35.14</v>
      </c>
      <c r="E242">
        <v>0</v>
      </c>
      <c r="F242" s="2">
        <f t="shared" si="3"/>
        <v>35.14</v>
      </c>
    </row>
    <row r="243" spans="1:7" x14ac:dyDescent="0.3">
      <c r="A243" t="s">
        <v>20</v>
      </c>
      <c r="B243" t="s">
        <v>14</v>
      </c>
      <c r="C243" t="s">
        <v>95</v>
      </c>
      <c r="D243" s="2">
        <v>0</v>
      </c>
      <c r="E243">
        <v>0</v>
      </c>
      <c r="F243" s="2">
        <f t="shared" si="3"/>
        <v>0</v>
      </c>
    </row>
    <row r="244" spans="1:7" x14ac:dyDescent="0.3">
      <c r="A244" t="s">
        <v>70</v>
      </c>
      <c r="B244" t="s">
        <v>24</v>
      </c>
      <c r="C244" t="s">
        <v>94</v>
      </c>
      <c r="D244" s="2">
        <v>46.53</v>
      </c>
      <c r="E244">
        <v>0</v>
      </c>
      <c r="F244" s="2">
        <f t="shared" si="3"/>
        <v>46.53</v>
      </c>
    </row>
    <row r="245" spans="1:7" x14ac:dyDescent="0.3">
      <c r="A245" t="s">
        <v>70</v>
      </c>
      <c r="B245" t="s">
        <v>24</v>
      </c>
      <c r="C245" t="s">
        <v>95</v>
      </c>
      <c r="D245" s="2">
        <v>37.340000000000003</v>
      </c>
      <c r="E245">
        <v>0</v>
      </c>
      <c r="F245" s="2">
        <f t="shared" si="3"/>
        <v>37.340000000000003</v>
      </c>
    </row>
    <row r="246" spans="1:7" x14ac:dyDescent="0.3">
      <c r="A246" t="s">
        <v>70</v>
      </c>
      <c r="B246" t="s">
        <v>14</v>
      </c>
      <c r="C246" t="s">
        <v>94</v>
      </c>
      <c r="D246" s="2">
        <v>33.43</v>
      </c>
      <c r="E246">
        <v>0</v>
      </c>
      <c r="F246" s="2">
        <f t="shared" si="3"/>
        <v>33.43</v>
      </c>
    </row>
    <row r="247" spans="1:7" x14ac:dyDescent="0.3">
      <c r="A247" t="s">
        <v>70</v>
      </c>
      <c r="B247" t="s">
        <v>14</v>
      </c>
      <c r="C247" t="s">
        <v>95</v>
      </c>
      <c r="D247" s="2">
        <v>36.520000000000003</v>
      </c>
      <c r="E247">
        <v>0</v>
      </c>
      <c r="F247" s="2">
        <f t="shared" si="3"/>
        <v>36.520000000000003</v>
      </c>
    </row>
    <row r="248" spans="1:7" x14ac:dyDescent="0.3">
      <c r="A248" t="s">
        <v>70</v>
      </c>
      <c r="B248" t="s">
        <v>11</v>
      </c>
      <c r="C248" t="s">
        <v>94</v>
      </c>
      <c r="D248" s="2">
        <v>49.83</v>
      </c>
      <c r="E248">
        <v>0</v>
      </c>
      <c r="F248" s="2">
        <f t="shared" si="3"/>
        <v>49.83</v>
      </c>
    </row>
    <row r="249" spans="1:7" x14ac:dyDescent="0.3">
      <c r="A249" t="s">
        <v>70</v>
      </c>
      <c r="B249" t="s">
        <v>11</v>
      </c>
      <c r="C249" t="s">
        <v>95</v>
      </c>
      <c r="D249" s="2">
        <v>108.62</v>
      </c>
      <c r="E249">
        <v>0</v>
      </c>
      <c r="F249" s="2">
        <f t="shared" si="3"/>
        <v>108.62</v>
      </c>
      <c r="G249">
        <v>1.8</v>
      </c>
    </row>
    <row r="250" spans="1:7" x14ac:dyDescent="0.3">
      <c r="A250" t="s">
        <v>70</v>
      </c>
      <c r="B250" t="s">
        <v>7</v>
      </c>
      <c r="C250" t="s">
        <v>94</v>
      </c>
      <c r="D250" s="2">
        <v>36.020000000000003</v>
      </c>
      <c r="E250">
        <v>0</v>
      </c>
      <c r="F250" s="2">
        <f t="shared" si="3"/>
        <v>36.020000000000003</v>
      </c>
    </row>
    <row r="251" spans="1:7" x14ac:dyDescent="0.3">
      <c r="A251" t="s">
        <v>70</v>
      </c>
      <c r="B251" t="s">
        <v>7</v>
      </c>
      <c r="C251" t="s">
        <v>95</v>
      </c>
      <c r="D251" s="2">
        <v>13.6</v>
      </c>
      <c r="E251">
        <v>0</v>
      </c>
      <c r="F251" s="2">
        <f t="shared" si="3"/>
        <v>13.6</v>
      </c>
      <c r="G251">
        <v>1.3</v>
      </c>
    </row>
    <row r="252" spans="1:7" x14ac:dyDescent="0.3">
      <c r="A252" t="s">
        <v>25</v>
      </c>
      <c r="B252" t="s">
        <v>14</v>
      </c>
      <c r="C252" t="s">
        <v>94</v>
      </c>
      <c r="D252" s="2">
        <v>38.96</v>
      </c>
      <c r="E252">
        <v>0</v>
      </c>
      <c r="F252" s="2">
        <f t="shared" si="3"/>
        <v>38.96</v>
      </c>
    </row>
    <row r="253" spans="1:7" x14ac:dyDescent="0.3">
      <c r="A253" t="s">
        <v>25</v>
      </c>
      <c r="B253" t="s">
        <v>14</v>
      </c>
      <c r="C253" t="s">
        <v>95</v>
      </c>
      <c r="D253" s="2">
        <v>13</v>
      </c>
      <c r="E253">
        <v>0</v>
      </c>
      <c r="F253" s="2">
        <f t="shared" si="3"/>
        <v>13</v>
      </c>
      <c r="G253">
        <v>0.7</v>
      </c>
    </row>
    <row r="254" spans="1:7" x14ac:dyDescent="0.3">
      <c r="A254" t="s">
        <v>25</v>
      </c>
      <c r="B254" t="s">
        <v>11</v>
      </c>
      <c r="C254" t="s">
        <v>94</v>
      </c>
      <c r="D254" s="2">
        <v>25.22</v>
      </c>
      <c r="E254">
        <v>0</v>
      </c>
      <c r="F254" s="2">
        <f t="shared" si="3"/>
        <v>25.22</v>
      </c>
    </row>
    <row r="255" spans="1:7" x14ac:dyDescent="0.3">
      <c r="A255" t="s">
        <v>25</v>
      </c>
      <c r="B255" t="s">
        <v>11</v>
      </c>
      <c r="C255" t="s">
        <v>95</v>
      </c>
      <c r="D255" s="2">
        <v>0</v>
      </c>
      <c r="E255">
        <v>0</v>
      </c>
      <c r="F255" s="2">
        <f t="shared" si="3"/>
        <v>0</v>
      </c>
    </row>
    <row r="256" spans="1:7" x14ac:dyDescent="0.3">
      <c r="A256" t="s">
        <v>25</v>
      </c>
      <c r="B256" t="s">
        <v>7</v>
      </c>
      <c r="C256" t="s">
        <v>94</v>
      </c>
      <c r="D256" s="2">
        <v>28.99</v>
      </c>
      <c r="E256">
        <v>0</v>
      </c>
      <c r="F256" s="2">
        <f t="shared" si="3"/>
        <v>28.99</v>
      </c>
    </row>
    <row r="257" spans="1:7" x14ac:dyDescent="0.3">
      <c r="A257" t="s">
        <v>25</v>
      </c>
      <c r="B257" t="s">
        <v>7</v>
      </c>
      <c r="C257" t="s">
        <v>95</v>
      </c>
      <c r="D257" s="2">
        <v>0</v>
      </c>
      <c r="E257">
        <v>0</v>
      </c>
      <c r="F257" s="2">
        <f t="shared" si="3"/>
        <v>0</v>
      </c>
    </row>
    <row r="258" spans="1:7" x14ac:dyDescent="0.3">
      <c r="A258" t="s">
        <v>72</v>
      </c>
      <c r="B258" t="s">
        <v>7</v>
      </c>
      <c r="C258" t="s">
        <v>94</v>
      </c>
      <c r="D258" s="2">
        <v>27.57</v>
      </c>
      <c r="E258">
        <v>0</v>
      </c>
      <c r="F258" s="2">
        <f t="shared" si="3"/>
        <v>27.57</v>
      </c>
      <c r="G258">
        <v>2.2999999999999998</v>
      </c>
    </row>
    <row r="259" spans="1:7" x14ac:dyDescent="0.3">
      <c r="A259" t="s">
        <v>72</v>
      </c>
      <c r="B259" t="s">
        <v>7</v>
      </c>
      <c r="C259" t="s">
        <v>95</v>
      </c>
      <c r="D259" s="2">
        <v>76.900000000000006</v>
      </c>
      <c r="E259">
        <v>0</v>
      </c>
      <c r="F259" s="2">
        <f t="shared" ref="F259:F322" si="4">MAX(D259-E259, 0)</f>
        <v>76.900000000000006</v>
      </c>
    </row>
    <row r="260" spans="1:7" x14ac:dyDescent="0.3">
      <c r="A260" t="s">
        <v>58</v>
      </c>
      <c r="B260" t="s">
        <v>14</v>
      </c>
      <c r="C260" t="s">
        <v>94</v>
      </c>
      <c r="D260" s="2">
        <v>47.43</v>
      </c>
      <c r="E260">
        <v>0</v>
      </c>
      <c r="F260" s="2">
        <f t="shared" si="4"/>
        <v>47.43</v>
      </c>
    </row>
    <row r="261" spans="1:7" x14ac:dyDescent="0.3">
      <c r="A261" t="s">
        <v>58</v>
      </c>
      <c r="B261" t="s">
        <v>14</v>
      </c>
      <c r="C261" t="s">
        <v>95</v>
      </c>
      <c r="D261" s="2">
        <v>35.01</v>
      </c>
      <c r="E261">
        <v>0</v>
      </c>
      <c r="F261" s="2">
        <f t="shared" si="4"/>
        <v>35.01</v>
      </c>
    </row>
    <row r="262" spans="1:7" x14ac:dyDescent="0.3">
      <c r="A262" t="s">
        <v>58</v>
      </c>
      <c r="B262" t="s">
        <v>24</v>
      </c>
      <c r="C262" t="s">
        <v>94</v>
      </c>
      <c r="D262" s="2">
        <v>31.49</v>
      </c>
      <c r="E262">
        <v>0</v>
      </c>
      <c r="F262" s="2">
        <f t="shared" si="4"/>
        <v>31.49</v>
      </c>
    </row>
    <row r="263" spans="1:7" x14ac:dyDescent="0.3">
      <c r="A263" t="s">
        <v>58</v>
      </c>
      <c r="B263" t="s">
        <v>24</v>
      </c>
      <c r="C263" t="s">
        <v>95</v>
      </c>
      <c r="D263" s="2">
        <v>52.62</v>
      </c>
      <c r="E263">
        <v>0</v>
      </c>
      <c r="F263" s="2">
        <f t="shared" si="4"/>
        <v>52.62</v>
      </c>
    </row>
    <row r="264" spans="1:7" x14ac:dyDescent="0.3">
      <c r="A264" t="s">
        <v>58</v>
      </c>
      <c r="B264" t="s">
        <v>17</v>
      </c>
      <c r="C264" t="s">
        <v>94</v>
      </c>
      <c r="D264" s="2">
        <v>80.7</v>
      </c>
      <c r="E264">
        <v>0</v>
      </c>
      <c r="F264" s="2">
        <f t="shared" si="4"/>
        <v>80.7</v>
      </c>
    </row>
    <row r="265" spans="1:7" x14ac:dyDescent="0.3">
      <c r="A265" t="s">
        <v>58</v>
      </c>
      <c r="B265" t="s">
        <v>17</v>
      </c>
      <c r="C265" t="s">
        <v>95</v>
      </c>
      <c r="D265" s="2">
        <v>109.14</v>
      </c>
      <c r="E265">
        <v>0</v>
      </c>
      <c r="F265" s="2">
        <f t="shared" si="4"/>
        <v>109.14</v>
      </c>
    </row>
    <row r="266" spans="1:7" x14ac:dyDescent="0.3">
      <c r="A266" t="s">
        <v>65</v>
      </c>
      <c r="B266" t="s">
        <v>17</v>
      </c>
      <c r="C266" t="s">
        <v>94</v>
      </c>
      <c r="D266" s="2">
        <v>38.99</v>
      </c>
      <c r="E266">
        <v>0</v>
      </c>
      <c r="F266" s="2">
        <f t="shared" si="4"/>
        <v>38.99</v>
      </c>
      <c r="G266">
        <v>2.1</v>
      </c>
    </row>
    <row r="267" spans="1:7" x14ac:dyDescent="0.3">
      <c r="A267" t="s">
        <v>65</v>
      </c>
      <c r="B267" t="s">
        <v>17</v>
      </c>
      <c r="C267" t="s">
        <v>95</v>
      </c>
      <c r="D267" s="2">
        <v>41.97</v>
      </c>
      <c r="E267">
        <v>0</v>
      </c>
      <c r="F267" s="2">
        <f t="shared" si="4"/>
        <v>41.97</v>
      </c>
    </row>
    <row r="268" spans="1:7" x14ac:dyDescent="0.3">
      <c r="A268" t="s">
        <v>65</v>
      </c>
      <c r="B268" t="s">
        <v>7</v>
      </c>
      <c r="C268" t="s">
        <v>94</v>
      </c>
      <c r="D268" s="2">
        <v>28.05</v>
      </c>
      <c r="E268">
        <v>0</v>
      </c>
      <c r="F268" s="2">
        <f t="shared" si="4"/>
        <v>28.05</v>
      </c>
    </row>
    <row r="269" spans="1:7" x14ac:dyDescent="0.3">
      <c r="A269" t="s">
        <v>65</v>
      </c>
      <c r="B269" t="s">
        <v>7</v>
      </c>
      <c r="C269" t="s">
        <v>95</v>
      </c>
      <c r="D269" s="2">
        <v>0</v>
      </c>
      <c r="E269">
        <v>0</v>
      </c>
      <c r="F269" s="2">
        <f t="shared" si="4"/>
        <v>0</v>
      </c>
      <c r="G269">
        <v>0</v>
      </c>
    </row>
    <row r="270" spans="1:7" x14ac:dyDescent="0.3">
      <c r="A270" t="s">
        <v>68</v>
      </c>
      <c r="B270" t="s">
        <v>24</v>
      </c>
      <c r="C270" t="s">
        <v>94</v>
      </c>
      <c r="D270" s="2">
        <v>27.6</v>
      </c>
      <c r="E270">
        <v>0</v>
      </c>
      <c r="F270" s="2">
        <f t="shared" si="4"/>
        <v>27.6</v>
      </c>
    </row>
    <row r="271" spans="1:7" x14ac:dyDescent="0.3">
      <c r="A271" t="s">
        <v>68</v>
      </c>
      <c r="B271" t="s">
        <v>24</v>
      </c>
      <c r="C271" t="s">
        <v>95</v>
      </c>
      <c r="D271" s="2">
        <v>0</v>
      </c>
      <c r="E271">
        <v>0</v>
      </c>
      <c r="F271" s="2">
        <f t="shared" si="4"/>
        <v>0</v>
      </c>
      <c r="G271">
        <v>0</v>
      </c>
    </row>
    <row r="272" spans="1:7" x14ac:dyDescent="0.3">
      <c r="A272" t="s">
        <v>68</v>
      </c>
      <c r="B272" t="s">
        <v>17</v>
      </c>
      <c r="C272" t="s">
        <v>94</v>
      </c>
      <c r="D272" s="2">
        <v>41.85</v>
      </c>
      <c r="E272">
        <v>0</v>
      </c>
      <c r="F272" s="2">
        <f t="shared" si="4"/>
        <v>41.85</v>
      </c>
    </row>
    <row r="273" spans="1:7" x14ac:dyDescent="0.3">
      <c r="A273" t="s">
        <v>68</v>
      </c>
      <c r="B273" t="s">
        <v>17</v>
      </c>
      <c r="C273" t="s">
        <v>95</v>
      </c>
      <c r="D273" s="2">
        <v>2</v>
      </c>
      <c r="E273">
        <v>0</v>
      </c>
      <c r="F273" s="2">
        <f t="shared" si="4"/>
        <v>2</v>
      </c>
      <c r="G273">
        <v>1</v>
      </c>
    </row>
    <row r="274" spans="1:7" x14ac:dyDescent="0.3">
      <c r="A274" t="s">
        <v>68</v>
      </c>
      <c r="B274" t="s">
        <v>14</v>
      </c>
      <c r="C274" t="s">
        <v>94</v>
      </c>
      <c r="D274" s="2">
        <v>23.56</v>
      </c>
      <c r="E274">
        <v>0</v>
      </c>
      <c r="F274" s="2">
        <f t="shared" si="4"/>
        <v>23.56</v>
      </c>
    </row>
    <row r="275" spans="1:7" x14ac:dyDescent="0.3">
      <c r="A275" t="s">
        <v>68</v>
      </c>
      <c r="B275" t="s">
        <v>14</v>
      </c>
      <c r="C275" t="s">
        <v>95</v>
      </c>
      <c r="D275" s="2">
        <v>8</v>
      </c>
      <c r="E275">
        <v>0</v>
      </c>
      <c r="F275" s="2">
        <f t="shared" si="4"/>
        <v>8</v>
      </c>
      <c r="G275">
        <v>1.8</v>
      </c>
    </row>
    <row r="276" spans="1:7" x14ac:dyDescent="0.3">
      <c r="A276" t="s">
        <v>68</v>
      </c>
      <c r="B276" t="s">
        <v>11</v>
      </c>
      <c r="C276" t="s">
        <v>94</v>
      </c>
      <c r="D276" s="2">
        <v>17.670000000000002</v>
      </c>
      <c r="E276">
        <v>0</v>
      </c>
      <c r="F276" s="2">
        <f t="shared" si="4"/>
        <v>17.670000000000002</v>
      </c>
    </row>
    <row r="277" spans="1:7" x14ac:dyDescent="0.3">
      <c r="A277" t="s">
        <v>68</v>
      </c>
      <c r="B277" t="s">
        <v>11</v>
      </c>
      <c r="C277" t="s">
        <v>95</v>
      </c>
      <c r="D277" s="2">
        <v>0</v>
      </c>
      <c r="E277">
        <v>0</v>
      </c>
      <c r="F277" s="2">
        <f t="shared" si="4"/>
        <v>0</v>
      </c>
      <c r="G277">
        <v>0</v>
      </c>
    </row>
    <row r="278" spans="1:7" x14ac:dyDescent="0.3">
      <c r="A278" t="s">
        <v>68</v>
      </c>
      <c r="B278" t="s">
        <v>7</v>
      </c>
      <c r="C278" t="s">
        <v>94</v>
      </c>
      <c r="D278" s="2">
        <v>48.94</v>
      </c>
      <c r="E278">
        <v>0</v>
      </c>
      <c r="F278" s="2">
        <f t="shared" si="4"/>
        <v>48.94</v>
      </c>
    </row>
    <row r="279" spans="1:7" x14ac:dyDescent="0.3">
      <c r="A279" t="s">
        <v>68</v>
      </c>
      <c r="B279" t="s">
        <v>7</v>
      </c>
      <c r="C279" t="s">
        <v>95</v>
      </c>
      <c r="D279" s="2">
        <v>0</v>
      </c>
      <c r="E279">
        <v>0</v>
      </c>
      <c r="F279" s="2">
        <f t="shared" si="4"/>
        <v>0</v>
      </c>
      <c r="G279">
        <v>0</v>
      </c>
    </row>
    <row r="280" spans="1:7" x14ac:dyDescent="0.3">
      <c r="A280" t="s">
        <v>82</v>
      </c>
      <c r="B280" t="s">
        <v>24</v>
      </c>
      <c r="C280" t="s">
        <v>94</v>
      </c>
      <c r="D280" s="2">
        <v>129.51</v>
      </c>
      <c r="E280">
        <v>0</v>
      </c>
      <c r="F280" s="2">
        <f t="shared" si="4"/>
        <v>129.51</v>
      </c>
    </row>
    <row r="281" spans="1:7" x14ac:dyDescent="0.3">
      <c r="A281" t="s">
        <v>82</v>
      </c>
      <c r="B281" t="s">
        <v>24</v>
      </c>
      <c r="C281" t="s">
        <v>95</v>
      </c>
      <c r="D281" s="2">
        <v>0</v>
      </c>
      <c r="E281">
        <v>0</v>
      </c>
      <c r="F281" s="2">
        <f t="shared" si="4"/>
        <v>0</v>
      </c>
      <c r="G281">
        <v>0</v>
      </c>
    </row>
    <row r="282" spans="1:7" x14ac:dyDescent="0.3">
      <c r="A282" t="s">
        <v>82</v>
      </c>
      <c r="B282" t="s">
        <v>17</v>
      </c>
      <c r="C282" t="s">
        <v>94</v>
      </c>
      <c r="D282" s="2">
        <v>80.25</v>
      </c>
      <c r="E282">
        <v>0</v>
      </c>
      <c r="F282" s="2">
        <f t="shared" si="4"/>
        <v>80.25</v>
      </c>
    </row>
    <row r="283" spans="1:7" x14ac:dyDescent="0.3">
      <c r="A283" t="s">
        <v>82</v>
      </c>
      <c r="B283" t="s">
        <v>17</v>
      </c>
      <c r="C283" t="s">
        <v>95</v>
      </c>
      <c r="D283" s="2">
        <v>7.3</v>
      </c>
      <c r="E283">
        <v>0</v>
      </c>
      <c r="F283" s="2">
        <f t="shared" si="4"/>
        <v>7.3</v>
      </c>
      <c r="G283">
        <v>1</v>
      </c>
    </row>
    <row r="284" spans="1:7" x14ac:dyDescent="0.3">
      <c r="A284" t="s">
        <v>82</v>
      </c>
      <c r="B284" t="s">
        <v>14</v>
      </c>
      <c r="C284" t="s">
        <v>94</v>
      </c>
      <c r="D284" s="2">
        <v>74.41</v>
      </c>
      <c r="E284">
        <v>0</v>
      </c>
      <c r="F284" s="2">
        <f t="shared" si="4"/>
        <v>74.41</v>
      </c>
    </row>
    <row r="285" spans="1:7" x14ac:dyDescent="0.3">
      <c r="A285" t="s">
        <v>82</v>
      </c>
      <c r="B285" t="s">
        <v>14</v>
      </c>
      <c r="C285" t="s">
        <v>95</v>
      </c>
      <c r="D285" s="2">
        <v>0</v>
      </c>
      <c r="E285">
        <v>0</v>
      </c>
      <c r="F285" s="2">
        <f t="shared" si="4"/>
        <v>0</v>
      </c>
      <c r="G285">
        <v>0</v>
      </c>
    </row>
    <row r="286" spans="1:7" x14ac:dyDescent="0.3">
      <c r="A286" t="s">
        <v>82</v>
      </c>
      <c r="B286" t="s">
        <v>11</v>
      </c>
      <c r="C286" t="s">
        <v>94</v>
      </c>
      <c r="D286" s="2">
        <v>35.26</v>
      </c>
      <c r="E286">
        <v>0</v>
      </c>
      <c r="F286" s="2">
        <f t="shared" si="4"/>
        <v>35.26</v>
      </c>
    </row>
    <row r="287" spans="1:7" x14ac:dyDescent="0.3">
      <c r="A287" t="s">
        <v>82</v>
      </c>
      <c r="B287" t="s">
        <v>11</v>
      </c>
      <c r="C287" t="s">
        <v>95</v>
      </c>
      <c r="D287" s="2">
        <v>0</v>
      </c>
      <c r="E287">
        <v>0</v>
      </c>
      <c r="F287" s="2">
        <f t="shared" si="4"/>
        <v>0</v>
      </c>
      <c r="G287">
        <v>0</v>
      </c>
    </row>
    <row r="288" spans="1:7" x14ac:dyDescent="0.3">
      <c r="A288" t="s">
        <v>82</v>
      </c>
      <c r="B288" t="s">
        <v>7</v>
      </c>
      <c r="C288" t="s">
        <v>94</v>
      </c>
      <c r="D288" s="2">
        <v>43.94</v>
      </c>
      <c r="E288">
        <v>0</v>
      </c>
      <c r="F288" s="2">
        <f t="shared" si="4"/>
        <v>43.94</v>
      </c>
    </row>
    <row r="289" spans="1:7" x14ac:dyDescent="0.3">
      <c r="A289" t="s">
        <v>82</v>
      </c>
      <c r="B289" t="s">
        <v>7</v>
      </c>
      <c r="C289" t="s">
        <v>95</v>
      </c>
      <c r="D289" s="2">
        <v>4.26</v>
      </c>
      <c r="E289">
        <v>0</v>
      </c>
      <c r="F289" s="2">
        <f t="shared" si="4"/>
        <v>4.26</v>
      </c>
      <c r="G289">
        <v>0.6</v>
      </c>
    </row>
    <row r="290" spans="1:7" x14ac:dyDescent="0.3">
      <c r="A290" t="s">
        <v>59</v>
      </c>
      <c r="B290" t="s">
        <v>24</v>
      </c>
      <c r="C290" t="s">
        <v>94</v>
      </c>
      <c r="D290" s="2">
        <v>83.17</v>
      </c>
      <c r="E290">
        <v>0</v>
      </c>
      <c r="F290" s="2">
        <f t="shared" si="4"/>
        <v>83.17</v>
      </c>
    </row>
    <row r="291" spans="1:7" x14ac:dyDescent="0.3">
      <c r="A291" t="s">
        <v>59</v>
      </c>
      <c r="B291" t="s">
        <v>24</v>
      </c>
      <c r="C291" t="s">
        <v>95</v>
      </c>
      <c r="D291" s="2">
        <v>0</v>
      </c>
      <c r="E291">
        <v>0</v>
      </c>
      <c r="F291" s="2">
        <f t="shared" si="4"/>
        <v>0</v>
      </c>
      <c r="G291">
        <v>0</v>
      </c>
    </row>
    <row r="292" spans="1:7" x14ac:dyDescent="0.3">
      <c r="A292" t="s">
        <v>59</v>
      </c>
      <c r="B292" t="s">
        <v>17</v>
      </c>
      <c r="C292" t="s">
        <v>94</v>
      </c>
      <c r="D292" s="2">
        <v>85.96</v>
      </c>
      <c r="E292">
        <v>0</v>
      </c>
      <c r="F292" s="2">
        <f t="shared" si="4"/>
        <v>85.96</v>
      </c>
    </row>
    <row r="293" spans="1:7" x14ac:dyDescent="0.3">
      <c r="A293" t="s">
        <v>59</v>
      </c>
      <c r="B293" t="s">
        <v>17</v>
      </c>
      <c r="C293" t="s">
        <v>95</v>
      </c>
      <c r="D293" s="2">
        <v>5.23</v>
      </c>
      <c r="E293">
        <v>0</v>
      </c>
      <c r="F293" s="2">
        <f t="shared" si="4"/>
        <v>5.23</v>
      </c>
      <c r="G293">
        <v>0.6</v>
      </c>
    </row>
    <row r="294" spans="1:7" x14ac:dyDescent="0.3">
      <c r="A294" t="s">
        <v>59</v>
      </c>
      <c r="B294" t="s">
        <v>14</v>
      </c>
      <c r="C294" t="s">
        <v>94</v>
      </c>
      <c r="D294" s="2">
        <v>83.78</v>
      </c>
      <c r="E294">
        <v>0</v>
      </c>
      <c r="F294" s="2">
        <f t="shared" si="4"/>
        <v>83.78</v>
      </c>
    </row>
    <row r="295" spans="1:7" x14ac:dyDescent="0.3">
      <c r="A295" t="s">
        <v>59</v>
      </c>
      <c r="B295" t="s">
        <v>14</v>
      </c>
      <c r="C295" t="s">
        <v>95</v>
      </c>
      <c r="D295" s="2">
        <v>2.11</v>
      </c>
      <c r="E295">
        <v>0</v>
      </c>
      <c r="F295" s="2">
        <f t="shared" si="4"/>
        <v>2.11</v>
      </c>
      <c r="G295">
        <v>0.7</v>
      </c>
    </row>
    <row r="296" spans="1:7" x14ac:dyDescent="0.3">
      <c r="A296" t="s">
        <v>59</v>
      </c>
      <c r="B296" t="s">
        <v>11</v>
      </c>
      <c r="C296" t="s">
        <v>94</v>
      </c>
      <c r="D296" s="2">
        <v>69.44</v>
      </c>
      <c r="E296">
        <v>0</v>
      </c>
      <c r="F296" s="2">
        <f t="shared" si="4"/>
        <v>69.44</v>
      </c>
    </row>
    <row r="297" spans="1:7" x14ac:dyDescent="0.3">
      <c r="A297" t="s">
        <v>59</v>
      </c>
      <c r="B297" t="s">
        <v>11</v>
      </c>
      <c r="C297" t="s">
        <v>95</v>
      </c>
      <c r="D297" s="2">
        <v>5.62</v>
      </c>
      <c r="E297">
        <v>0</v>
      </c>
      <c r="F297" s="2">
        <f t="shared" si="4"/>
        <v>5.62</v>
      </c>
      <c r="G297">
        <v>0.8</v>
      </c>
    </row>
    <row r="298" spans="1:7" x14ac:dyDescent="0.3">
      <c r="A298" t="s">
        <v>59</v>
      </c>
      <c r="B298" t="s">
        <v>7</v>
      </c>
      <c r="C298" t="s">
        <v>94</v>
      </c>
      <c r="D298" s="2">
        <v>86.21</v>
      </c>
      <c r="E298">
        <v>0</v>
      </c>
      <c r="F298" s="2">
        <f t="shared" si="4"/>
        <v>86.21</v>
      </c>
    </row>
    <row r="299" spans="1:7" x14ac:dyDescent="0.3">
      <c r="A299" t="s">
        <v>59</v>
      </c>
      <c r="B299" t="s">
        <v>7</v>
      </c>
      <c r="C299" t="s">
        <v>95</v>
      </c>
      <c r="D299" s="2">
        <v>1.4</v>
      </c>
      <c r="E299">
        <v>0</v>
      </c>
      <c r="F299" s="2">
        <f t="shared" si="4"/>
        <v>1.4</v>
      </c>
      <c r="G299">
        <v>0.6</v>
      </c>
    </row>
    <row r="300" spans="1:7" x14ac:dyDescent="0.3">
      <c r="A300" t="s">
        <v>28</v>
      </c>
      <c r="B300" t="s">
        <v>24</v>
      </c>
      <c r="C300" t="s">
        <v>94</v>
      </c>
      <c r="D300" s="2">
        <v>24.28</v>
      </c>
      <c r="E300">
        <v>0</v>
      </c>
      <c r="F300" s="2">
        <f t="shared" si="4"/>
        <v>24.28</v>
      </c>
    </row>
    <row r="301" spans="1:7" x14ac:dyDescent="0.3">
      <c r="A301" t="s">
        <v>28</v>
      </c>
      <c r="B301" t="s">
        <v>24</v>
      </c>
      <c r="C301" t="s">
        <v>95</v>
      </c>
      <c r="D301" s="2">
        <v>0</v>
      </c>
      <c r="E301">
        <v>0</v>
      </c>
      <c r="F301" s="2">
        <f t="shared" si="4"/>
        <v>0</v>
      </c>
      <c r="G301">
        <v>0</v>
      </c>
    </row>
    <row r="302" spans="1:7" x14ac:dyDescent="0.3">
      <c r="A302" t="s">
        <v>28</v>
      </c>
      <c r="B302" t="s">
        <v>17</v>
      </c>
      <c r="C302" t="s">
        <v>94</v>
      </c>
      <c r="D302" s="2">
        <v>19.600000000000001</v>
      </c>
      <c r="E302">
        <v>0</v>
      </c>
      <c r="F302" s="2">
        <f t="shared" si="4"/>
        <v>19.600000000000001</v>
      </c>
    </row>
    <row r="303" spans="1:7" x14ac:dyDescent="0.3">
      <c r="A303" t="s">
        <v>28</v>
      </c>
      <c r="B303" t="s">
        <v>17</v>
      </c>
      <c r="C303" t="s">
        <v>95</v>
      </c>
      <c r="D303" s="2">
        <v>53.27</v>
      </c>
      <c r="E303">
        <v>0</v>
      </c>
      <c r="F303" s="2">
        <f t="shared" si="4"/>
        <v>53.27</v>
      </c>
      <c r="G303">
        <v>0.9</v>
      </c>
    </row>
    <row r="304" spans="1:7" x14ac:dyDescent="0.3">
      <c r="A304" t="s">
        <v>28</v>
      </c>
      <c r="B304" t="s">
        <v>14</v>
      </c>
      <c r="C304" t="s">
        <v>94</v>
      </c>
      <c r="D304" s="2">
        <v>41.65</v>
      </c>
      <c r="E304">
        <v>0</v>
      </c>
      <c r="F304" s="2">
        <f t="shared" si="4"/>
        <v>41.65</v>
      </c>
    </row>
    <row r="305" spans="1:7" x14ac:dyDescent="0.3">
      <c r="A305" t="s">
        <v>28</v>
      </c>
      <c r="B305" t="s">
        <v>14</v>
      </c>
      <c r="C305" t="s">
        <v>95</v>
      </c>
      <c r="D305" s="2">
        <v>10.78</v>
      </c>
      <c r="E305">
        <v>0</v>
      </c>
      <c r="F305" s="2">
        <f t="shared" si="4"/>
        <v>10.78</v>
      </c>
      <c r="G305">
        <v>0.6</v>
      </c>
    </row>
    <row r="306" spans="1:7" x14ac:dyDescent="0.3">
      <c r="A306" t="s">
        <v>28</v>
      </c>
      <c r="B306" t="s">
        <v>11</v>
      </c>
      <c r="C306" t="s">
        <v>94</v>
      </c>
      <c r="D306" s="2">
        <v>26.1</v>
      </c>
      <c r="E306">
        <v>0</v>
      </c>
      <c r="F306" s="2">
        <f t="shared" si="4"/>
        <v>26.1</v>
      </c>
    </row>
    <row r="307" spans="1:7" x14ac:dyDescent="0.3">
      <c r="A307" t="s">
        <v>28</v>
      </c>
      <c r="B307" t="s">
        <v>11</v>
      </c>
      <c r="C307" t="s">
        <v>95</v>
      </c>
      <c r="D307" s="2">
        <v>0</v>
      </c>
      <c r="E307">
        <v>0</v>
      </c>
      <c r="F307" s="2">
        <f t="shared" si="4"/>
        <v>0</v>
      </c>
      <c r="G307">
        <v>0</v>
      </c>
    </row>
    <row r="308" spans="1:7" x14ac:dyDescent="0.3">
      <c r="A308" t="s">
        <v>28</v>
      </c>
      <c r="B308" t="s">
        <v>7</v>
      </c>
      <c r="C308" t="s">
        <v>94</v>
      </c>
      <c r="D308" s="2">
        <v>22.71</v>
      </c>
      <c r="E308">
        <v>0</v>
      </c>
      <c r="F308" s="2">
        <f t="shared" si="4"/>
        <v>22.71</v>
      </c>
    </row>
    <row r="309" spans="1:7" x14ac:dyDescent="0.3">
      <c r="A309" t="s">
        <v>28</v>
      </c>
      <c r="B309" t="s">
        <v>7</v>
      </c>
      <c r="C309" t="s">
        <v>95</v>
      </c>
      <c r="D309" s="2">
        <v>0</v>
      </c>
      <c r="E309">
        <v>0</v>
      </c>
      <c r="F309" s="2">
        <f t="shared" si="4"/>
        <v>0</v>
      </c>
      <c r="G309">
        <v>0</v>
      </c>
    </row>
    <row r="310" spans="1:7" x14ac:dyDescent="0.3">
      <c r="A310" t="s">
        <v>60</v>
      </c>
      <c r="B310" t="s">
        <v>24</v>
      </c>
      <c r="C310" t="s">
        <v>94</v>
      </c>
      <c r="D310" s="2">
        <v>63.54</v>
      </c>
      <c r="E310">
        <v>0</v>
      </c>
      <c r="F310" s="2">
        <f t="shared" si="4"/>
        <v>63.54</v>
      </c>
    </row>
    <row r="311" spans="1:7" x14ac:dyDescent="0.3">
      <c r="A311" t="s">
        <v>60</v>
      </c>
      <c r="B311" t="s">
        <v>24</v>
      </c>
      <c r="C311" t="s">
        <v>95</v>
      </c>
      <c r="D311" s="2">
        <v>0</v>
      </c>
      <c r="E311">
        <v>0</v>
      </c>
      <c r="F311" s="2">
        <f t="shared" si="4"/>
        <v>0</v>
      </c>
      <c r="G311">
        <v>0</v>
      </c>
    </row>
    <row r="312" spans="1:7" x14ac:dyDescent="0.3">
      <c r="A312" t="s">
        <v>60</v>
      </c>
      <c r="B312" t="s">
        <v>17</v>
      </c>
      <c r="C312" t="s">
        <v>94</v>
      </c>
      <c r="D312" s="2">
        <v>24.7</v>
      </c>
      <c r="E312">
        <v>0</v>
      </c>
      <c r="F312" s="2">
        <f t="shared" si="4"/>
        <v>24.7</v>
      </c>
    </row>
    <row r="313" spans="1:7" x14ac:dyDescent="0.3">
      <c r="A313" t="s">
        <v>60</v>
      </c>
      <c r="B313" t="s">
        <v>17</v>
      </c>
      <c r="C313" t="s">
        <v>95</v>
      </c>
      <c r="D313" s="2">
        <v>0</v>
      </c>
      <c r="E313">
        <v>0</v>
      </c>
      <c r="F313" s="2">
        <f t="shared" si="4"/>
        <v>0</v>
      </c>
      <c r="G313">
        <v>0</v>
      </c>
    </row>
    <row r="314" spans="1:7" x14ac:dyDescent="0.3">
      <c r="A314" t="s">
        <v>60</v>
      </c>
      <c r="B314" t="s">
        <v>14</v>
      </c>
      <c r="C314" t="s">
        <v>94</v>
      </c>
      <c r="D314" s="2">
        <v>52.25</v>
      </c>
      <c r="E314">
        <v>0</v>
      </c>
      <c r="F314" s="2">
        <f t="shared" si="4"/>
        <v>52.25</v>
      </c>
    </row>
    <row r="315" spans="1:7" x14ac:dyDescent="0.3">
      <c r="A315" t="s">
        <v>60</v>
      </c>
      <c r="B315" t="s">
        <v>14</v>
      </c>
      <c r="C315" t="s">
        <v>95</v>
      </c>
      <c r="D315" s="2">
        <v>0</v>
      </c>
      <c r="E315">
        <v>0</v>
      </c>
      <c r="F315" s="2">
        <f t="shared" si="4"/>
        <v>0</v>
      </c>
      <c r="G315">
        <v>0</v>
      </c>
    </row>
    <row r="316" spans="1:7" x14ac:dyDescent="0.3">
      <c r="A316" t="s">
        <v>60</v>
      </c>
      <c r="B316" t="s">
        <v>11</v>
      </c>
      <c r="C316" t="s">
        <v>94</v>
      </c>
      <c r="D316" s="2">
        <v>27.53</v>
      </c>
      <c r="E316">
        <v>0</v>
      </c>
      <c r="F316" s="2">
        <f t="shared" si="4"/>
        <v>27.53</v>
      </c>
    </row>
    <row r="317" spans="1:7" x14ac:dyDescent="0.3">
      <c r="A317" t="s">
        <v>60</v>
      </c>
      <c r="B317" t="s">
        <v>11</v>
      </c>
      <c r="C317" t="s">
        <v>95</v>
      </c>
      <c r="D317" s="2">
        <v>0</v>
      </c>
      <c r="E317">
        <v>0</v>
      </c>
      <c r="F317" s="2">
        <f t="shared" si="4"/>
        <v>0</v>
      </c>
      <c r="G317">
        <v>0</v>
      </c>
    </row>
    <row r="318" spans="1:7" x14ac:dyDescent="0.3">
      <c r="A318" t="s">
        <v>60</v>
      </c>
      <c r="B318" t="s">
        <v>7</v>
      </c>
      <c r="C318" t="s">
        <v>94</v>
      </c>
      <c r="D318" s="2">
        <v>73.23</v>
      </c>
      <c r="E318">
        <v>0</v>
      </c>
      <c r="F318" s="2">
        <f t="shared" si="4"/>
        <v>73.23</v>
      </c>
    </row>
    <row r="319" spans="1:7" x14ac:dyDescent="0.3">
      <c r="A319" t="s">
        <v>60</v>
      </c>
      <c r="B319" t="s">
        <v>7</v>
      </c>
      <c r="C319" t="s">
        <v>95</v>
      </c>
      <c r="D319" s="2">
        <v>10.210000000000001</v>
      </c>
      <c r="E319">
        <v>0</v>
      </c>
      <c r="F319" s="2">
        <f t="shared" si="4"/>
        <v>10.210000000000001</v>
      </c>
      <c r="G319">
        <v>1.2</v>
      </c>
    </row>
    <row r="320" spans="1:7" x14ac:dyDescent="0.3">
      <c r="A320" t="s">
        <v>62</v>
      </c>
      <c r="B320" t="s">
        <v>24</v>
      </c>
      <c r="C320" t="s">
        <v>94</v>
      </c>
      <c r="D320" s="2">
        <v>70.62</v>
      </c>
      <c r="E320">
        <v>0</v>
      </c>
      <c r="F320" s="2">
        <f t="shared" si="4"/>
        <v>70.62</v>
      </c>
    </row>
    <row r="321" spans="1:7" x14ac:dyDescent="0.3">
      <c r="A321" t="s">
        <v>62</v>
      </c>
      <c r="B321" t="s">
        <v>24</v>
      </c>
      <c r="C321" t="s">
        <v>95</v>
      </c>
      <c r="D321" s="2">
        <v>0</v>
      </c>
      <c r="E321">
        <v>0</v>
      </c>
      <c r="F321" s="2">
        <f t="shared" si="4"/>
        <v>0</v>
      </c>
      <c r="G321">
        <v>0</v>
      </c>
    </row>
    <row r="322" spans="1:7" x14ac:dyDescent="0.3">
      <c r="A322" t="s">
        <v>62</v>
      </c>
      <c r="B322" t="s">
        <v>17</v>
      </c>
      <c r="C322" t="s">
        <v>94</v>
      </c>
      <c r="D322" s="2">
        <v>84.16</v>
      </c>
      <c r="E322">
        <v>0</v>
      </c>
      <c r="F322" s="2">
        <f t="shared" si="4"/>
        <v>84.16</v>
      </c>
    </row>
    <row r="323" spans="1:7" x14ac:dyDescent="0.3">
      <c r="A323" t="s">
        <v>62</v>
      </c>
      <c r="B323" t="s">
        <v>17</v>
      </c>
      <c r="C323" t="s">
        <v>95</v>
      </c>
      <c r="D323" s="2">
        <v>1.1499999999999999</v>
      </c>
      <c r="E323">
        <v>0</v>
      </c>
      <c r="F323" s="2">
        <f t="shared" ref="F323:F386" si="5">MAX(D323-E323, 0)</f>
        <v>1.1499999999999999</v>
      </c>
      <c r="G323">
        <v>0.8</v>
      </c>
    </row>
    <row r="324" spans="1:7" x14ac:dyDescent="0.3">
      <c r="A324" t="s">
        <v>62</v>
      </c>
      <c r="B324" t="s">
        <v>14</v>
      </c>
      <c r="C324" t="s">
        <v>94</v>
      </c>
      <c r="D324" s="2">
        <v>41.33</v>
      </c>
      <c r="E324">
        <v>0</v>
      </c>
      <c r="F324" s="2">
        <f t="shared" si="5"/>
        <v>41.33</v>
      </c>
    </row>
    <row r="325" spans="1:7" x14ac:dyDescent="0.3">
      <c r="A325" t="s">
        <v>62</v>
      </c>
      <c r="B325" t="s">
        <v>14</v>
      </c>
      <c r="C325" t="s">
        <v>95</v>
      </c>
      <c r="D325" s="2">
        <v>0.75</v>
      </c>
      <c r="E325">
        <v>0</v>
      </c>
      <c r="F325" s="2">
        <f t="shared" si="5"/>
        <v>0.75</v>
      </c>
      <c r="G325">
        <v>0.6</v>
      </c>
    </row>
    <row r="326" spans="1:7" x14ac:dyDescent="0.3">
      <c r="A326" t="s">
        <v>62</v>
      </c>
      <c r="B326" t="s">
        <v>11</v>
      </c>
      <c r="C326" t="s">
        <v>94</v>
      </c>
      <c r="D326" s="2">
        <v>52.36</v>
      </c>
      <c r="E326">
        <v>0</v>
      </c>
      <c r="F326" s="2">
        <f t="shared" si="5"/>
        <v>52.36</v>
      </c>
    </row>
    <row r="327" spans="1:7" x14ac:dyDescent="0.3">
      <c r="A327" t="s">
        <v>62</v>
      </c>
      <c r="B327" t="s">
        <v>11</v>
      </c>
      <c r="C327" t="s">
        <v>95</v>
      </c>
      <c r="D327" s="2">
        <v>1.96</v>
      </c>
      <c r="E327">
        <v>0</v>
      </c>
      <c r="F327" s="2">
        <f t="shared" si="5"/>
        <v>1.96</v>
      </c>
      <c r="G327">
        <v>0.6</v>
      </c>
    </row>
    <row r="328" spans="1:7" x14ac:dyDescent="0.3">
      <c r="A328" t="s">
        <v>62</v>
      </c>
      <c r="B328" t="s">
        <v>7</v>
      </c>
      <c r="C328" t="s">
        <v>94</v>
      </c>
      <c r="D328" s="2">
        <v>52.62</v>
      </c>
      <c r="E328">
        <v>0</v>
      </c>
      <c r="F328" s="2">
        <f t="shared" si="5"/>
        <v>52.62</v>
      </c>
    </row>
    <row r="329" spans="1:7" x14ac:dyDescent="0.3">
      <c r="A329" t="s">
        <v>62</v>
      </c>
      <c r="B329" t="s">
        <v>7</v>
      </c>
      <c r="C329" t="s">
        <v>95</v>
      </c>
      <c r="D329" s="2">
        <v>2.31</v>
      </c>
      <c r="E329">
        <v>0</v>
      </c>
      <c r="F329" s="2">
        <f t="shared" si="5"/>
        <v>2.31</v>
      </c>
      <c r="G329">
        <v>0.7</v>
      </c>
    </row>
    <row r="330" spans="1:7" x14ac:dyDescent="0.3">
      <c r="A330" t="s">
        <v>48</v>
      </c>
      <c r="B330" t="s">
        <v>24</v>
      </c>
      <c r="C330" t="s">
        <v>94</v>
      </c>
      <c r="D330" s="2">
        <v>8.15</v>
      </c>
      <c r="E330">
        <v>0</v>
      </c>
      <c r="F330" s="2">
        <f t="shared" si="5"/>
        <v>8.15</v>
      </c>
    </row>
    <row r="331" spans="1:7" x14ac:dyDescent="0.3">
      <c r="A331" t="s">
        <v>48</v>
      </c>
      <c r="B331" t="s">
        <v>24</v>
      </c>
      <c r="C331" t="s">
        <v>95</v>
      </c>
      <c r="D331" s="2">
        <v>1.68</v>
      </c>
      <c r="E331">
        <v>0</v>
      </c>
      <c r="F331" s="2">
        <f t="shared" si="5"/>
        <v>1.68</v>
      </c>
      <c r="G331">
        <v>0.6</v>
      </c>
    </row>
    <row r="332" spans="1:7" x14ac:dyDescent="0.3">
      <c r="A332" t="s">
        <v>48</v>
      </c>
      <c r="B332" t="s">
        <v>17</v>
      </c>
      <c r="C332" t="s">
        <v>94</v>
      </c>
      <c r="D332" s="2">
        <v>11.73</v>
      </c>
      <c r="E332">
        <v>0</v>
      </c>
      <c r="F332" s="2">
        <f t="shared" si="5"/>
        <v>11.73</v>
      </c>
    </row>
    <row r="333" spans="1:7" x14ac:dyDescent="0.3">
      <c r="A333" t="s">
        <v>48</v>
      </c>
      <c r="B333" t="s">
        <v>17</v>
      </c>
      <c r="C333" t="s">
        <v>95</v>
      </c>
      <c r="D333" s="2">
        <v>5.83</v>
      </c>
      <c r="E333">
        <v>0</v>
      </c>
      <c r="F333" s="2">
        <f t="shared" si="5"/>
        <v>5.83</v>
      </c>
      <c r="G333">
        <v>0.6</v>
      </c>
    </row>
    <row r="334" spans="1:7" x14ac:dyDescent="0.3">
      <c r="A334" t="s">
        <v>48</v>
      </c>
      <c r="B334" t="s">
        <v>14</v>
      </c>
      <c r="C334" t="s">
        <v>94</v>
      </c>
      <c r="D334" s="2">
        <v>11.19</v>
      </c>
      <c r="E334">
        <v>0</v>
      </c>
      <c r="F334" s="2">
        <f t="shared" si="5"/>
        <v>11.19</v>
      </c>
    </row>
    <row r="335" spans="1:7" x14ac:dyDescent="0.3">
      <c r="A335" t="s">
        <v>48</v>
      </c>
      <c r="B335" t="s">
        <v>14</v>
      </c>
      <c r="C335" t="s">
        <v>95</v>
      </c>
      <c r="D335" s="2">
        <v>0</v>
      </c>
      <c r="E335">
        <v>0</v>
      </c>
      <c r="F335" s="2">
        <f t="shared" si="5"/>
        <v>0</v>
      </c>
      <c r="G335">
        <v>0</v>
      </c>
    </row>
    <row r="336" spans="1:7" x14ac:dyDescent="0.3">
      <c r="A336" t="s">
        <v>48</v>
      </c>
      <c r="B336" t="s">
        <v>11</v>
      </c>
      <c r="C336" t="s">
        <v>94</v>
      </c>
      <c r="D336" s="2">
        <v>25.75</v>
      </c>
      <c r="E336">
        <v>0</v>
      </c>
      <c r="F336" s="2">
        <f t="shared" si="5"/>
        <v>25.75</v>
      </c>
    </row>
    <row r="337" spans="1:7" x14ac:dyDescent="0.3">
      <c r="A337" t="s">
        <v>48</v>
      </c>
      <c r="B337" t="s">
        <v>11</v>
      </c>
      <c r="C337" t="s">
        <v>95</v>
      </c>
      <c r="D337" s="2">
        <v>217.67</v>
      </c>
      <c r="E337">
        <v>0</v>
      </c>
      <c r="F337" s="2">
        <f t="shared" si="5"/>
        <v>217.67</v>
      </c>
      <c r="G337">
        <v>2</v>
      </c>
    </row>
    <row r="338" spans="1:7" x14ac:dyDescent="0.3">
      <c r="A338" t="s">
        <v>48</v>
      </c>
      <c r="B338" t="s">
        <v>7</v>
      </c>
      <c r="C338" t="s">
        <v>94</v>
      </c>
      <c r="D338" s="2">
        <v>108.4</v>
      </c>
      <c r="E338">
        <v>0</v>
      </c>
      <c r="F338" s="2">
        <f t="shared" si="5"/>
        <v>108.4</v>
      </c>
    </row>
    <row r="339" spans="1:7" x14ac:dyDescent="0.3">
      <c r="A339" t="s">
        <v>48</v>
      </c>
      <c r="B339" t="s">
        <v>7</v>
      </c>
      <c r="C339" t="s">
        <v>95</v>
      </c>
      <c r="D339" s="2">
        <v>317.67</v>
      </c>
      <c r="E339">
        <v>0</v>
      </c>
      <c r="F339" s="2">
        <f t="shared" si="5"/>
        <v>317.67</v>
      </c>
      <c r="G339">
        <v>7</v>
      </c>
    </row>
    <row r="340" spans="1:7" x14ac:dyDescent="0.3">
      <c r="A340" t="s">
        <v>27</v>
      </c>
      <c r="B340" t="s">
        <v>24</v>
      </c>
      <c r="C340" t="s">
        <v>94</v>
      </c>
      <c r="D340" s="2">
        <v>20.93</v>
      </c>
      <c r="E340">
        <v>0</v>
      </c>
      <c r="F340" s="2">
        <f t="shared" si="5"/>
        <v>20.93</v>
      </c>
    </row>
    <row r="341" spans="1:7" x14ac:dyDescent="0.3">
      <c r="A341" t="s">
        <v>27</v>
      </c>
      <c r="B341" t="s">
        <v>24</v>
      </c>
      <c r="C341" t="s">
        <v>95</v>
      </c>
      <c r="D341" s="2">
        <v>6.71</v>
      </c>
      <c r="E341">
        <v>0</v>
      </c>
      <c r="F341" s="2">
        <f t="shared" si="5"/>
        <v>6.71</v>
      </c>
      <c r="G341">
        <v>1.2</v>
      </c>
    </row>
    <row r="342" spans="1:7" x14ac:dyDescent="0.3">
      <c r="A342" t="s">
        <v>27</v>
      </c>
      <c r="B342" t="s">
        <v>17</v>
      </c>
      <c r="C342" t="s">
        <v>94</v>
      </c>
      <c r="D342" s="2">
        <v>17.329999999999998</v>
      </c>
      <c r="E342">
        <v>0</v>
      </c>
      <c r="F342" s="2">
        <f t="shared" si="5"/>
        <v>17.329999999999998</v>
      </c>
    </row>
    <row r="343" spans="1:7" x14ac:dyDescent="0.3">
      <c r="A343" t="s">
        <v>27</v>
      </c>
      <c r="B343" t="s">
        <v>17</v>
      </c>
      <c r="C343" t="s">
        <v>95</v>
      </c>
      <c r="D343" s="2">
        <v>95.51</v>
      </c>
      <c r="E343">
        <v>0</v>
      </c>
      <c r="F343" s="2">
        <f t="shared" si="5"/>
        <v>95.51</v>
      </c>
      <c r="G343">
        <v>2.5</v>
      </c>
    </row>
    <row r="344" spans="1:7" x14ac:dyDescent="0.3">
      <c r="A344" t="s">
        <v>27</v>
      </c>
      <c r="B344" t="s">
        <v>14</v>
      </c>
      <c r="C344" t="s">
        <v>94</v>
      </c>
      <c r="D344" s="2">
        <v>11.69</v>
      </c>
      <c r="E344">
        <v>0</v>
      </c>
      <c r="F344" s="2">
        <f t="shared" si="5"/>
        <v>11.69</v>
      </c>
    </row>
    <row r="345" spans="1:7" x14ac:dyDescent="0.3">
      <c r="A345" t="s">
        <v>27</v>
      </c>
      <c r="B345" t="s">
        <v>14</v>
      </c>
      <c r="C345" t="s">
        <v>95</v>
      </c>
      <c r="D345" s="2">
        <v>7.03</v>
      </c>
      <c r="E345">
        <v>0</v>
      </c>
      <c r="F345" s="2">
        <f t="shared" si="5"/>
        <v>7.03</v>
      </c>
      <c r="G345">
        <v>0.9</v>
      </c>
    </row>
    <row r="346" spans="1:7" x14ac:dyDescent="0.3">
      <c r="A346" t="s">
        <v>27</v>
      </c>
      <c r="B346" t="s">
        <v>11</v>
      </c>
      <c r="C346" t="s">
        <v>94</v>
      </c>
      <c r="D346" s="2">
        <v>53.2</v>
      </c>
      <c r="E346">
        <v>0</v>
      </c>
      <c r="F346" s="2">
        <f t="shared" si="5"/>
        <v>53.2</v>
      </c>
    </row>
    <row r="347" spans="1:7" x14ac:dyDescent="0.3">
      <c r="A347" t="s">
        <v>27</v>
      </c>
      <c r="B347" t="s">
        <v>11</v>
      </c>
      <c r="C347" t="s">
        <v>95</v>
      </c>
      <c r="D347" s="2">
        <v>87.25</v>
      </c>
      <c r="E347">
        <v>0</v>
      </c>
      <c r="F347" s="2">
        <f t="shared" si="5"/>
        <v>87.25</v>
      </c>
      <c r="G347">
        <v>1.5</v>
      </c>
    </row>
    <row r="348" spans="1:7" x14ac:dyDescent="0.3">
      <c r="A348" t="s">
        <v>27</v>
      </c>
      <c r="B348" t="s">
        <v>7</v>
      </c>
      <c r="C348" t="s">
        <v>94</v>
      </c>
      <c r="D348" s="2">
        <v>38.270000000000003</v>
      </c>
      <c r="E348">
        <v>0</v>
      </c>
      <c r="F348" s="2">
        <f t="shared" si="5"/>
        <v>38.270000000000003</v>
      </c>
    </row>
    <row r="349" spans="1:7" x14ac:dyDescent="0.3">
      <c r="A349" t="s">
        <v>27</v>
      </c>
      <c r="B349" t="s">
        <v>7</v>
      </c>
      <c r="C349" t="s">
        <v>95</v>
      </c>
      <c r="D349" s="2">
        <v>219.88</v>
      </c>
      <c r="E349">
        <v>0</v>
      </c>
      <c r="F349" s="2">
        <f t="shared" si="5"/>
        <v>219.88</v>
      </c>
      <c r="G349">
        <v>1.5</v>
      </c>
    </row>
    <row r="350" spans="1:7" x14ac:dyDescent="0.3">
      <c r="A350" t="s">
        <v>62</v>
      </c>
      <c r="B350" t="s">
        <v>24</v>
      </c>
      <c r="C350" t="s">
        <v>94</v>
      </c>
      <c r="D350" s="2">
        <v>136.56</v>
      </c>
      <c r="E350">
        <v>0</v>
      </c>
      <c r="F350" s="2">
        <f t="shared" si="5"/>
        <v>136.56</v>
      </c>
    </row>
    <row r="351" spans="1:7" x14ac:dyDescent="0.3">
      <c r="A351" t="s">
        <v>62</v>
      </c>
      <c r="B351" t="s">
        <v>24</v>
      </c>
      <c r="C351" t="s">
        <v>95</v>
      </c>
      <c r="D351" s="2">
        <v>24.88</v>
      </c>
      <c r="E351">
        <v>0</v>
      </c>
      <c r="F351" s="2">
        <f t="shared" si="5"/>
        <v>24.88</v>
      </c>
      <c r="G351">
        <v>1.1000000000000001</v>
      </c>
    </row>
    <row r="352" spans="1:7" x14ac:dyDescent="0.3">
      <c r="A352" t="s">
        <v>62</v>
      </c>
      <c r="B352" t="s">
        <v>17</v>
      </c>
      <c r="C352" t="s">
        <v>94</v>
      </c>
      <c r="D352" s="2">
        <v>123.55</v>
      </c>
      <c r="E352">
        <v>0</v>
      </c>
      <c r="F352" s="2">
        <f t="shared" si="5"/>
        <v>123.55</v>
      </c>
    </row>
    <row r="353" spans="1:7" x14ac:dyDescent="0.3">
      <c r="A353" t="s">
        <v>62</v>
      </c>
      <c r="B353" t="s">
        <v>17</v>
      </c>
      <c r="C353" t="s">
        <v>95</v>
      </c>
      <c r="D353" s="2">
        <v>0</v>
      </c>
      <c r="E353">
        <v>0</v>
      </c>
      <c r="F353" s="2">
        <f t="shared" si="5"/>
        <v>0</v>
      </c>
      <c r="G353">
        <v>0</v>
      </c>
    </row>
    <row r="354" spans="1:7" x14ac:dyDescent="0.3">
      <c r="A354" t="s">
        <v>62</v>
      </c>
      <c r="B354" t="s">
        <v>11</v>
      </c>
      <c r="C354" t="s">
        <v>94</v>
      </c>
      <c r="D354" s="2">
        <v>87.38</v>
      </c>
      <c r="E354">
        <v>0</v>
      </c>
      <c r="F354" s="2">
        <f t="shared" si="5"/>
        <v>87.38</v>
      </c>
    </row>
    <row r="355" spans="1:7" x14ac:dyDescent="0.3">
      <c r="A355" t="s">
        <v>62</v>
      </c>
      <c r="B355" t="s">
        <v>11</v>
      </c>
      <c r="C355" t="s">
        <v>95</v>
      </c>
      <c r="D355" s="2">
        <v>0</v>
      </c>
      <c r="E355">
        <v>0</v>
      </c>
      <c r="F355" s="2">
        <f t="shared" si="5"/>
        <v>0</v>
      </c>
      <c r="G355">
        <v>0</v>
      </c>
    </row>
    <row r="356" spans="1:7" x14ac:dyDescent="0.3">
      <c r="A356" t="s">
        <v>62</v>
      </c>
      <c r="B356" t="s">
        <v>7</v>
      </c>
      <c r="C356" t="s">
        <v>94</v>
      </c>
      <c r="D356" s="2">
        <v>71.650000000000006</v>
      </c>
      <c r="E356">
        <v>0</v>
      </c>
      <c r="F356" s="2">
        <f t="shared" si="5"/>
        <v>71.650000000000006</v>
      </c>
    </row>
    <row r="357" spans="1:7" x14ac:dyDescent="0.3">
      <c r="A357" t="s">
        <v>62</v>
      </c>
      <c r="B357" t="s">
        <v>7</v>
      </c>
      <c r="C357" t="s">
        <v>95</v>
      </c>
      <c r="D357" s="2">
        <v>45.54</v>
      </c>
      <c r="E357">
        <v>0</v>
      </c>
      <c r="F357" s="2">
        <f t="shared" si="5"/>
        <v>45.54</v>
      </c>
      <c r="G357">
        <v>2.2999999999999998</v>
      </c>
    </row>
    <row r="358" spans="1:7" x14ac:dyDescent="0.3">
      <c r="A358" t="s">
        <v>62</v>
      </c>
      <c r="B358" t="s">
        <v>17</v>
      </c>
      <c r="C358" t="s">
        <v>8</v>
      </c>
      <c r="D358" s="2">
        <v>15.37</v>
      </c>
      <c r="E358">
        <v>0</v>
      </c>
      <c r="F358" s="2">
        <f t="shared" si="5"/>
        <v>15.37</v>
      </c>
    </row>
    <row r="359" spans="1:7" x14ac:dyDescent="0.3">
      <c r="A359" t="s">
        <v>6</v>
      </c>
      <c r="B359" t="s">
        <v>17</v>
      </c>
      <c r="C359" t="s">
        <v>94</v>
      </c>
      <c r="D359" s="2">
        <v>50.47</v>
      </c>
      <c r="E359">
        <v>0</v>
      </c>
      <c r="F359" s="2">
        <f t="shared" si="5"/>
        <v>50.47</v>
      </c>
    </row>
    <row r="360" spans="1:7" x14ac:dyDescent="0.3">
      <c r="A360" t="s">
        <v>6</v>
      </c>
      <c r="B360" t="s">
        <v>17</v>
      </c>
      <c r="C360" t="s">
        <v>95</v>
      </c>
      <c r="D360" s="2">
        <v>25.3</v>
      </c>
      <c r="E360">
        <v>0</v>
      </c>
      <c r="F360" s="2">
        <f t="shared" si="5"/>
        <v>25.3</v>
      </c>
      <c r="G360">
        <v>2.8</v>
      </c>
    </row>
    <row r="361" spans="1:7" x14ac:dyDescent="0.3">
      <c r="A361" t="s">
        <v>6</v>
      </c>
      <c r="B361" t="s">
        <v>14</v>
      </c>
      <c r="C361" t="s">
        <v>94</v>
      </c>
      <c r="D361" s="2">
        <v>42.36</v>
      </c>
      <c r="E361">
        <v>0</v>
      </c>
      <c r="F361" s="2">
        <f t="shared" si="5"/>
        <v>42.36</v>
      </c>
    </row>
    <row r="362" spans="1:7" x14ac:dyDescent="0.3">
      <c r="A362" t="s">
        <v>6</v>
      </c>
      <c r="B362" t="s">
        <v>14</v>
      </c>
      <c r="C362" t="s">
        <v>95</v>
      </c>
      <c r="D362" s="2">
        <v>132.18</v>
      </c>
      <c r="E362">
        <v>0</v>
      </c>
      <c r="F362" s="2">
        <f t="shared" si="5"/>
        <v>132.18</v>
      </c>
      <c r="G362">
        <v>2.7</v>
      </c>
    </row>
    <row r="363" spans="1:7" x14ac:dyDescent="0.3">
      <c r="A363" t="s">
        <v>6</v>
      </c>
      <c r="B363" t="s">
        <v>11</v>
      </c>
      <c r="C363" t="s">
        <v>94</v>
      </c>
      <c r="D363" s="2">
        <v>55.93</v>
      </c>
      <c r="E363">
        <v>0</v>
      </c>
      <c r="F363" s="2">
        <f t="shared" si="5"/>
        <v>55.93</v>
      </c>
    </row>
    <row r="364" spans="1:7" x14ac:dyDescent="0.3">
      <c r="A364" t="s">
        <v>6</v>
      </c>
      <c r="B364" t="s">
        <v>11</v>
      </c>
      <c r="C364" t="s">
        <v>95</v>
      </c>
      <c r="D364" s="2">
        <v>81.81</v>
      </c>
      <c r="E364">
        <v>0</v>
      </c>
      <c r="F364" s="2">
        <f t="shared" si="5"/>
        <v>81.81</v>
      </c>
      <c r="G364">
        <v>1.8</v>
      </c>
    </row>
    <row r="365" spans="1:7" x14ac:dyDescent="0.3">
      <c r="A365" t="s">
        <v>6</v>
      </c>
      <c r="B365" t="s">
        <v>7</v>
      </c>
      <c r="C365" t="s">
        <v>94</v>
      </c>
      <c r="D365" s="2">
        <v>120.14</v>
      </c>
      <c r="E365">
        <v>0</v>
      </c>
      <c r="F365" s="2">
        <f t="shared" si="5"/>
        <v>120.14</v>
      </c>
    </row>
    <row r="366" spans="1:7" x14ac:dyDescent="0.3">
      <c r="A366" t="s">
        <v>6</v>
      </c>
      <c r="B366" t="s">
        <v>7</v>
      </c>
      <c r="C366" t="s">
        <v>95</v>
      </c>
      <c r="D366" s="2">
        <v>0</v>
      </c>
      <c r="E366">
        <v>0</v>
      </c>
      <c r="F366" s="2">
        <f t="shared" si="5"/>
        <v>0</v>
      </c>
      <c r="G366">
        <v>0</v>
      </c>
    </row>
    <row r="367" spans="1:7" x14ac:dyDescent="0.3">
      <c r="A367" t="s">
        <v>72</v>
      </c>
      <c r="B367" t="s">
        <v>24</v>
      </c>
      <c r="C367" t="s">
        <v>94</v>
      </c>
      <c r="D367" s="2">
        <v>64.92</v>
      </c>
      <c r="E367">
        <v>0</v>
      </c>
      <c r="F367" s="2">
        <f t="shared" si="5"/>
        <v>64.92</v>
      </c>
    </row>
    <row r="368" spans="1:7" x14ac:dyDescent="0.3">
      <c r="A368" t="s">
        <v>72</v>
      </c>
      <c r="B368" t="s">
        <v>24</v>
      </c>
      <c r="C368" t="s">
        <v>95</v>
      </c>
      <c r="D368" s="2">
        <v>68.150000000000006</v>
      </c>
      <c r="E368">
        <v>0</v>
      </c>
      <c r="F368" s="2">
        <f t="shared" si="5"/>
        <v>68.150000000000006</v>
      </c>
      <c r="G368">
        <v>2.2999999999999998</v>
      </c>
    </row>
    <row r="369" spans="1:7" x14ac:dyDescent="0.3">
      <c r="A369" t="s">
        <v>72</v>
      </c>
      <c r="B369" t="s">
        <v>17</v>
      </c>
      <c r="C369" t="s">
        <v>94</v>
      </c>
      <c r="D369" s="2">
        <v>39.44</v>
      </c>
      <c r="E369">
        <v>0</v>
      </c>
      <c r="F369" s="2">
        <f t="shared" si="5"/>
        <v>39.44</v>
      </c>
    </row>
    <row r="370" spans="1:7" x14ac:dyDescent="0.3">
      <c r="A370" t="s">
        <v>72</v>
      </c>
      <c r="B370" t="s">
        <v>17</v>
      </c>
      <c r="C370" t="s">
        <v>95</v>
      </c>
      <c r="D370" s="2">
        <v>0.37</v>
      </c>
      <c r="E370">
        <v>0</v>
      </c>
      <c r="F370" s="2">
        <f t="shared" si="5"/>
        <v>0.37</v>
      </c>
      <c r="G370">
        <v>1.8</v>
      </c>
    </row>
    <row r="371" spans="1:7" x14ac:dyDescent="0.3">
      <c r="A371" t="s">
        <v>72</v>
      </c>
      <c r="B371" t="s">
        <v>11</v>
      </c>
      <c r="C371" t="s">
        <v>94</v>
      </c>
      <c r="D371" s="2">
        <v>48.73</v>
      </c>
      <c r="E371">
        <v>0</v>
      </c>
      <c r="F371" s="2">
        <f t="shared" si="5"/>
        <v>48.73</v>
      </c>
    </row>
    <row r="372" spans="1:7" x14ac:dyDescent="0.3">
      <c r="A372" t="s">
        <v>72</v>
      </c>
      <c r="B372" t="s">
        <v>11</v>
      </c>
      <c r="C372" t="s">
        <v>95</v>
      </c>
      <c r="D372" s="2">
        <v>157.94999999999999</v>
      </c>
      <c r="E372">
        <v>0</v>
      </c>
      <c r="F372" s="2">
        <f t="shared" si="5"/>
        <v>157.94999999999999</v>
      </c>
      <c r="G372">
        <v>1.7</v>
      </c>
    </row>
    <row r="373" spans="1:7" x14ac:dyDescent="0.3">
      <c r="A373" t="s">
        <v>72</v>
      </c>
      <c r="B373" t="s">
        <v>7</v>
      </c>
      <c r="C373" t="s">
        <v>94</v>
      </c>
      <c r="D373" s="2">
        <v>75.709999999999994</v>
      </c>
      <c r="E373">
        <v>0</v>
      </c>
      <c r="F373" s="2">
        <f t="shared" si="5"/>
        <v>75.709999999999994</v>
      </c>
    </row>
    <row r="374" spans="1:7" x14ac:dyDescent="0.3">
      <c r="A374" t="s">
        <v>72</v>
      </c>
      <c r="B374" t="s">
        <v>7</v>
      </c>
      <c r="C374" t="s">
        <v>95</v>
      </c>
      <c r="D374" s="2">
        <v>108.35</v>
      </c>
      <c r="E374">
        <v>0</v>
      </c>
      <c r="F374" s="2">
        <f t="shared" si="5"/>
        <v>108.35</v>
      </c>
      <c r="G374">
        <v>1.9</v>
      </c>
    </row>
    <row r="375" spans="1:7" x14ac:dyDescent="0.3">
      <c r="A375" t="s">
        <v>25</v>
      </c>
      <c r="B375" t="s">
        <v>24</v>
      </c>
      <c r="C375" t="s">
        <v>94</v>
      </c>
      <c r="D375" s="2">
        <v>18.149999999999999</v>
      </c>
      <c r="E375">
        <v>0</v>
      </c>
      <c r="F375" s="2">
        <f t="shared" si="5"/>
        <v>18.149999999999999</v>
      </c>
    </row>
    <row r="376" spans="1:7" x14ac:dyDescent="0.3">
      <c r="A376" t="s">
        <v>25</v>
      </c>
      <c r="B376" t="s">
        <v>24</v>
      </c>
      <c r="C376" t="s">
        <v>95</v>
      </c>
      <c r="D376" s="2">
        <v>1.49</v>
      </c>
      <c r="E376">
        <v>0</v>
      </c>
      <c r="F376" s="2">
        <f t="shared" si="5"/>
        <v>1.49</v>
      </c>
      <c r="G376">
        <v>2.4</v>
      </c>
    </row>
    <row r="377" spans="1:7" x14ac:dyDescent="0.3">
      <c r="A377" t="s">
        <v>58</v>
      </c>
      <c r="B377" t="s">
        <v>11</v>
      </c>
      <c r="C377" t="s">
        <v>94</v>
      </c>
      <c r="D377" s="2">
        <v>35.71</v>
      </c>
      <c r="E377">
        <v>0</v>
      </c>
      <c r="F377" s="2">
        <f t="shared" si="5"/>
        <v>35.71</v>
      </c>
    </row>
    <row r="378" spans="1:7" x14ac:dyDescent="0.3">
      <c r="A378" t="s">
        <v>58</v>
      </c>
      <c r="B378" t="s">
        <v>11</v>
      </c>
      <c r="C378" t="s">
        <v>95</v>
      </c>
      <c r="D378" s="2">
        <v>52.21</v>
      </c>
      <c r="E378">
        <v>0</v>
      </c>
      <c r="F378" s="2">
        <f t="shared" si="5"/>
        <v>52.21</v>
      </c>
      <c r="G378">
        <v>2</v>
      </c>
    </row>
    <row r="379" spans="1:7" x14ac:dyDescent="0.3">
      <c r="A379" t="s">
        <v>58</v>
      </c>
      <c r="B379" t="s">
        <v>7</v>
      </c>
      <c r="C379" t="s">
        <v>94</v>
      </c>
      <c r="D379" s="2">
        <v>31.79</v>
      </c>
      <c r="E379">
        <v>0</v>
      </c>
      <c r="F379" s="2">
        <f t="shared" si="5"/>
        <v>31.79</v>
      </c>
    </row>
    <row r="380" spans="1:7" x14ac:dyDescent="0.3">
      <c r="A380" t="s">
        <v>58</v>
      </c>
      <c r="B380" t="s">
        <v>7</v>
      </c>
      <c r="C380" t="s">
        <v>95</v>
      </c>
      <c r="D380" s="2">
        <v>3.97</v>
      </c>
      <c r="E380">
        <v>0</v>
      </c>
      <c r="F380" s="2">
        <f t="shared" si="5"/>
        <v>3.97</v>
      </c>
      <c r="G380">
        <v>0.9</v>
      </c>
    </row>
    <row r="381" spans="1:7" x14ac:dyDescent="0.3">
      <c r="A381" t="s">
        <v>58</v>
      </c>
      <c r="B381" t="s">
        <v>17</v>
      </c>
      <c r="C381" t="s">
        <v>47</v>
      </c>
      <c r="D381" s="2">
        <v>0.17</v>
      </c>
      <c r="E381">
        <v>0</v>
      </c>
      <c r="F381" s="2">
        <f t="shared" si="5"/>
        <v>0.17</v>
      </c>
    </row>
    <row r="382" spans="1:7" x14ac:dyDescent="0.3">
      <c r="A382" t="s">
        <v>65</v>
      </c>
      <c r="B382" t="s">
        <v>24</v>
      </c>
      <c r="C382" t="s">
        <v>94</v>
      </c>
      <c r="D382" s="2">
        <v>40.53</v>
      </c>
      <c r="E382">
        <v>0</v>
      </c>
      <c r="F382" s="2">
        <f t="shared" si="5"/>
        <v>40.53</v>
      </c>
    </row>
    <row r="383" spans="1:7" x14ac:dyDescent="0.3">
      <c r="A383" t="s">
        <v>65</v>
      </c>
      <c r="B383" t="s">
        <v>24</v>
      </c>
      <c r="C383" t="s">
        <v>95</v>
      </c>
      <c r="D383" s="2">
        <v>249.05</v>
      </c>
      <c r="E383">
        <v>0</v>
      </c>
      <c r="F383" s="2">
        <f t="shared" si="5"/>
        <v>249.05</v>
      </c>
      <c r="G383">
        <v>7</v>
      </c>
    </row>
    <row r="384" spans="1:7" x14ac:dyDescent="0.3">
      <c r="A384" t="s">
        <v>65</v>
      </c>
      <c r="B384" t="s">
        <v>14</v>
      </c>
      <c r="C384" t="s">
        <v>94</v>
      </c>
      <c r="D384" s="2">
        <v>38.26</v>
      </c>
      <c r="E384">
        <v>0</v>
      </c>
      <c r="F384" s="2">
        <f t="shared" si="5"/>
        <v>38.26</v>
      </c>
    </row>
    <row r="385" spans="1:7" x14ac:dyDescent="0.3">
      <c r="A385" t="s">
        <v>65</v>
      </c>
      <c r="B385" t="s">
        <v>14</v>
      </c>
      <c r="C385" t="s">
        <v>95</v>
      </c>
      <c r="D385" s="2">
        <v>123.66</v>
      </c>
      <c r="E385">
        <v>0</v>
      </c>
      <c r="F385" s="2">
        <f t="shared" si="5"/>
        <v>123.66</v>
      </c>
      <c r="G385">
        <v>4.8</v>
      </c>
    </row>
    <row r="386" spans="1:7" x14ac:dyDescent="0.3">
      <c r="A386" t="s">
        <v>65</v>
      </c>
      <c r="B386" t="s">
        <v>11</v>
      </c>
      <c r="C386" t="s">
        <v>94</v>
      </c>
      <c r="D386" s="2">
        <v>30.38</v>
      </c>
      <c r="E386">
        <v>0</v>
      </c>
      <c r="F386" s="2">
        <f t="shared" si="5"/>
        <v>30.38</v>
      </c>
    </row>
    <row r="387" spans="1:7" x14ac:dyDescent="0.3">
      <c r="A387" t="s">
        <v>65</v>
      </c>
      <c r="B387" t="s">
        <v>11</v>
      </c>
      <c r="C387" t="s">
        <v>95</v>
      </c>
      <c r="D387" s="2">
        <v>54.71</v>
      </c>
      <c r="E387">
        <v>0</v>
      </c>
      <c r="F387" s="2">
        <f t="shared" ref="F387:F399" si="6">MAX(D387-E387, 0)</f>
        <v>54.71</v>
      </c>
      <c r="G387">
        <v>4.5</v>
      </c>
    </row>
    <row r="388" spans="1:7" x14ac:dyDescent="0.3">
      <c r="A388" t="s">
        <v>70</v>
      </c>
      <c r="B388" t="s">
        <v>17</v>
      </c>
      <c r="C388" t="s">
        <v>94</v>
      </c>
      <c r="D388" s="2">
        <v>47.25</v>
      </c>
      <c r="E388">
        <v>0</v>
      </c>
      <c r="F388" s="2">
        <f t="shared" si="6"/>
        <v>47.25</v>
      </c>
    </row>
    <row r="389" spans="1:7" x14ac:dyDescent="0.3">
      <c r="A389" t="s">
        <v>70</v>
      </c>
      <c r="B389" t="s">
        <v>17</v>
      </c>
      <c r="C389" t="s">
        <v>95</v>
      </c>
      <c r="D389" s="2">
        <v>199.32</v>
      </c>
      <c r="E389">
        <v>0</v>
      </c>
      <c r="F389" s="2">
        <f t="shared" si="6"/>
        <v>199.32</v>
      </c>
      <c r="G389">
        <v>2.8</v>
      </c>
    </row>
    <row r="390" spans="1:7" ht="15.6" customHeight="1" x14ac:dyDescent="0.3">
      <c r="A390" t="s">
        <v>20</v>
      </c>
      <c r="B390" t="s">
        <v>24</v>
      </c>
      <c r="C390" t="s">
        <v>94</v>
      </c>
      <c r="D390" s="2">
        <v>45.34</v>
      </c>
      <c r="E390">
        <v>0</v>
      </c>
      <c r="F390" s="2">
        <f t="shared" si="6"/>
        <v>45.34</v>
      </c>
    </row>
    <row r="391" spans="1:7" x14ac:dyDescent="0.3">
      <c r="A391" t="s">
        <v>20</v>
      </c>
      <c r="B391" t="s">
        <v>24</v>
      </c>
      <c r="C391" t="s">
        <v>95</v>
      </c>
      <c r="D391" s="2">
        <v>28.32</v>
      </c>
      <c r="E391">
        <v>0</v>
      </c>
      <c r="F391" s="2">
        <f t="shared" si="6"/>
        <v>28.32</v>
      </c>
      <c r="G391">
        <v>1.5</v>
      </c>
    </row>
    <row r="392" spans="1:7" x14ac:dyDescent="0.3">
      <c r="A392" t="s">
        <v>20</v>
      </c>
      <c r="B392" t="s">
        <v>17</v>
      </c>
      <c r="C392" t="s">
        <v>94</v>
      </c>
      <c r="D392" s="2">
        <v>39.630000000000003</v>
      </c>
      <c r="E392">
        <v>0</v>
      </c>
      <c r="F392" s="2">
        <f t="shared" si="6"/>
        <v>39.630000000000003</v>
      </c>
    </row>
    <row r="393" spans="1:7" x14ac:dyDescent="0.3">
      <c r="A393" t="s">
        <v>20</v>
      </c>
      <c r="B393" t="s">
        <v>17</v>
      </c>
      <c r="C393" t="s">
        <v>95</v>
      </c>
      <c r="D393" s="2">
        <v>32.01</v>
      </c>
      <c r="E393">
        <v>0</v>
      </c>
      <c r="F393" s="2">
        <f t="shared" si="6"/>
        <v>32.01</v>
      </c>
      <c r="G393">
        <v>1.4</v>
      </c>
    </row>
    <row r="394" spans="1:7" x14ac:dyDescent="0.3">
      <c r="A394" t="s">
        <v>20</v>
      </c>
      <c r="B394" t="s">
        <v>11</v>
      </c>
      <c r="C394" t="s">
        <v>94</v>
      </c>
      <c r="D394" s="2">
        <v>57.74</v>
      </c>
      <c r="E394">
        <v>0</v>
      </c>
      <c r="F394" s="2">
        <f t="shared" si="6"/>
        <v>57.74</v>
      </c>
    </row>
    <row r="395" spans="1:7" x14ac:dyDescent="0.3">
      <c r="A395" t="s">
        <v>20</v>
      </c>
      <c r="B395" t="s">
        <v>11</v>
      </c>
      <c r="C395" t="s">
        <v>95</v>
      </c>
      <c r="D395" s="2">
        <v>62.55</v>
      </c>
      <c r="E395">
        <v>0</v>
      </c>
      <c r="F395" s="2">
        <f t="shared" si="6"/>
        <v>62.55</v>
      </c>
      <c r="G395">
        <v>2.5</v>
      </c>
    </row>
    <row r="396" spans="1:7" x14ac:dyDescent="0.3">
      <c r="A396" t="s">
        <v>81</v>
      </c>
      <c r="B396" t="s">
        <v>17</v>
      </c>
      <c r="C396" t="s">
        <v>94</v>
      </c>
      <c r="D396" s="2">
        <v>51.13</v>
      </c>
      <c r="E396">
        <v>0</v>
      </c>
      <c r="F396" s="2">
        <f t="shared" si="6"/>
        <v>51.13</v>
      </c>
    </row>
    <row r="397" spans="1:7" x14ac:dyDescent="0.3">
      <c r="A397" t="s">
        <v>81</v>
      </c>
      <c r="B397" t="s">
        <v>17</v>
      </c>
      <c r="C397" t="s">
        <v>95</v>
      </c>
      <c r="D397" s="2">
        <v>22.37</v>
      </c>
      <c r="E397">
        <v>0</v>
      </c>
      <c r="F397" s="2">
        <f t="shared" si="6"/>
        <v>22.37</v>
      </c>
      <c r="G397">
        <v>1.6</v>
      </c>
    </row>
    <row r="398" spans="1:7" x14ac:dyDescent="0.3">
      <c r="A398" t="s">
        <v>81</v>
      </c>
      <c r="B398" t="s">
        <v>11</v>
      </c>
      <c r="C398" t="s">
        <v>94</v>
      </c>
      <c r="D398" s="2">
        <v>27.09</v>
      </c>
      <c r="E398">
        <v>0</v>
      </c>
      <c r="F398" s="2">
        <f t="shared" si="6"/>
        <v>27.09</v>
      </c>
    </row>
    <row r="399" spans="1:7" x14ac:dyDescent="0.3">
      <c r="A399" t="s">
        <v>81</v>
      </c>
      <c r="B399" t="s">
        <v>11</v>
      </c>
      <c r="C399" t="s">
        <v>95</v>
      </c>
      <c r="D399" s="2">
        <v>2.06</v>
      </c>
      <c r="E399">
        <v>0</v>
      </c>
      <c r="F399" s="2">
        <f t="shared" si="6"/>
        <v>2.06</v>
      </c>
      <c r="G399">
        <v>1.2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17B6D-754C-490C-8E93-F89852AD2A6D}">
  <dimension ref="A1:J399"/>
  <sheetViews>
    <sheetView tabSelected="1" zoomScale="69" zoomScaleNormal="100" workbookViewId="0">
      <selection activeCell="H15" sqref="H15"/>
    </sheetView>
  </sheetViews>
  <sheetFormatPr defaultRowHeight="14.4" x14ac:dyDescent="0.3"/>
  <cols>
    <col min="3" max="3" width="27.88671875" customWidth="1"/>
    <col min="4" max="4" width="34.6640625" customWidth="1"/>
    <col min="5" max="5" width="18.44140625" customWidth="1"/>
    <col min="6" max="6" width="27" customWidth="1"/>
    <col min="7" max="7" width="18.109375" customWidth="1"/>
    <col min="8" max="8" width="17.6640625" customWidth="1"/>
    <col min="9" max="9" width="15.44140625" customWidth="1"/>
  </cols>
  <sheetData>
    <row r="1" spans="1:7" x14ac:dyDescent="0.3">
      <c r="A1" t="s">
        <v>0</v>
      </c>
      <c r="B1" t="s">
        <v>1</v>
      </c>
      <c r="C1" t="s">
        <v>38</v>
      </c>
      <c r="D1" t="s">
        <v>93</v>
      </c>
      <c r="E1" t="s">
        <v>92</v>
      </c>
      <c r="F1" t="s">
        <v>91</v>
      </c>
      <c r="G1" t="s">
        <v>96</v>
      </c>
    </row>
    <row r="2" spans="1:7" x14ac:dyDescent="0.3">
      <c r="A2" t="s">
        <v>20</v>
      </c>
      <c r="B2" t="s">
        <v>24</v>
      </c>
      <c r="C2" t="s">
        <v>95</v>
      </c>
      <c r="D2">
        <v>28.32</v>
      </c>
      <c r="E2">
        <v>0</v>
      </c>
      <c r="F2">
        <v>28.32</v>
      </c>
      <c r="G2">
        <v>1.5</v>
      </c>
    </row>
    <row r="3" spans="1:7" x14ac:dyDescent="0.3">
      <c r="A3" t="s">
        <v>20</v>
      </c>
      <c r="B3" t="s">
        <v>24</v>
      </c>
      <c r="C3" t="s">
        <v>94</v>
      </c>
      <c r="D3">
        <v>45.34</v>
      </c>
      <c r="E3">
        <v>0</v>
      </c>
      <c r="F3">
        <v>45.34</v>
      </c>
    </row>
    <row r="4" spans="1:7" x14ac:dyDescent="0.3">
      <c r="A4" t="s">
        <v>20</v>
      </c>
      <c r="B4" t="s">
        <v>24</v>
      </c>
      <c r="C4" t="s">
        <v>33</v>
      </c>
      <c r="D4">
        <v>2.6</v>
      </c>
      <c r="E4">
        <v>0</v>
      </c>
      <c r="F4">
        <v>2.6</v>
      </c>
    </row>
    <row r="5" spans="1:7" x14ac:dyDescent="0.3">
      <c r="A5" t="s">
        <v>20</v>
      </c>
      <c r="B5" t="s">
        <v>17</v>
      </c>
      <c r="C5" t="s">
        <v>34</v>
      </c>
      <c r="D5">
        <v>0.15</v>
      </c>
      <c r="E5">
        <v>0</v>
      </c>
      <c r="F5">
        <v>0.15</v>
      </c>
    </row>
    <row r="6" spans="1:7" x14ac:dyDescent="0.3">
      <c r="A6" t="s">
        <v>20</v>
      </c>
      <c r="B6" t="s">
        <v>17</v>
      </c>
      <c r="C6" t="s">
        <v>95</v>
      </c>
      <c r="D6">
        <v>32.01</v>
      </c>
      <c r="E6">
        <v>0</v>
      </c>
      <c r="F6">
        <v>32.01</v>
      </c>
      <c r="G6">
        <v>1.4</v>
      </c>
    </row>
    <row r="7" spans="1:7" x14ac:dyDescent="0.3">
      <c r="A7" t="s">
        <v>20</v>
      </c>
      <c r="B7" t="s">
        <v>17</v>
      </c>
      <c r="C7" t="s">
        <v>94</v>
      </c>
      <c r="D7">
        <v>39.630000000000003</v>
      </c>
      <c r="E7">
        <v>0</v>
      </c>
      <c r="F7">
        <v>39.630000000000003</v>
      </c>
    </row>
    <row r="8" spans="1:7" x14ac:dyDescent="0.3">
      <c r="A8" t="s">
        <v>20</v>
      </c>
      <c r="B8" t="s">
        <v>17</v>
      </c>
      <c r="C8" t="s">
        <v>30</v>
      </c>
      <c r="D8">
        <v>4.54</v>
      </c>
      <c r="E8">
        <v>0</v>
      </c>
      <c r="F8">
        <v>4.54</v>
      </c>
    </row>
    <row r="9" spans="1:7" x14ac:dyDescent="0.3">
      <c r="A9" t="s">
        <v>20</v>
      </c>
      <c r="B9" t="s">
        <v>17</v>
      </c>
      <c r="C9" t="s">
        <v>33</v>
      </c>
      <c r="D9">
        <v>5.45</v>
      </c>
      <c r="E9">
        <v>0</v>
      </c>
      <c r="F9">
        <v>5.45</v>
      </c>
    </row>
    <row r="10" spans="1:7" x14ac:dyDescent="0.3">
      <c r="A10" t="s">
        <v>20</v>
      </c>
      <c r="B10" t="s">
        <v>14</v>
      </c>
      <c r="C10" t="s">
        <v>95</v>
      </c>
      <c r="D10">
        <v>0</v>
      </c>
      <c r="E10">
        <v>0</v>
      </c>
      <c r="F10">
        <v>0</v>
      </c>
    </row>
    <row r="11" spans="1:7" x14ac:dyDescent="0.3">
      <c r="A11" t="s">
        <v>20</v>
      </c>
      <c r="B11" t="s">
        <v>14</v>
      </c>
      <c r="C11" t="s">
        <v>94</v>
      </c>
      <c r="D11">
        <v>35.14</v>
      </c>
      <c r="E11">
        <v>0</v>
      </c>
      <c r="F11">
        <v>35.14</v>
      </c>
    </row>
    <row r="12" spans="1:7" x14ac:dyDescent="0.3">
      <c r="A12" t="s">
        <v>20</v>
      </c>
      <c r="B12" t="s">
        <v>14</v>
      </c>
      <c r="C12" t="s">
        <v>33</v>
      </c>
      <c r="D12">
        <v>3.83</v>
      </c>
      <c r="E12">
        <v>0</v>
      </c>
      <c r="F12">
        <v>3.83</v>
      </c>
    </row>
    <row r="13" spans="1:7" x14ac:dyDescent="0.3">
      <c r="A13" t="s">
        <v>20</v>
      </c>
      <c r="B13" t="s">
        <v>11</v>
      </c>
      <c r="C13" t="s">
        <v>12</v>
      </c>
      <c r="D13">
        <v>0.67</v>
      </c>
      <c r="E13">
        <v>0</v>
      </c>
      <c r="F13">
        <v>0.67</v>
      </c>
    </row>
    <row r="14" spans="1:7" x14ac:dyDescent="0.3">
      <c r="A14" t="s">
        <v>20</v>
      </c>
      <c r="B14" t="s">
        <v>11</v>
      </c>
      <c r="C14" t="s">
        <v>95</v>
      </c>
      <c r="D14">
        <v>62.55</v>
      </c>
      <c r="E14">
        <v>0</v>
      </c>
      <c r="F14">
        <v>62.55</v>
      </c>
      <c r="G14">
        <v>2.5</v>
      </c>
    </row>
    <row r="15" spans="1:7" x14ac:dyDescent="0.3">
      <c r="A15" t="s">
        <v>20</v>
      </c>
      <c r="B15" t="s">
        <v>11</v>
      </c>
      <c r="C15" t="s">
        <v>94</v>
      </c>
      <c r="D15">
        <v>57.74</v>
      </c>
      <c r="E15">
        <v>0</v>
      </c>
      <c r="F15">
        <v>57.74</v>
      </c>
    </row>
    <row r="16" spans="1:7" x14ac:dyDescent="0.3">
      <c r="A16" t="s">
        <v>20</v>
      </c>
      <c r="B16" t="s">
        <v>11</v>
      </c>
      <c r="C16" t="s">
        <v>21</v>
      </c>
      <c r="D16">
        <v>407.11</v>
      </c>
      <c r="E16">
        <v>406.57</v>
      </c>
      <c r="F16">
        <v>0.54000000000002046</v>
      </c>
    </row>
    <row r="17" spans="1:6" x14ac:dyDescent="0.3">
      <c r="A17" t="s">
        <v>20</v>
      </c>
      <c r="B17" t="s">
        <v>11</v>
      </c>
      <c r="C17" t="s">
        <v>30</v>
      </c>
      <c r="D17">
        <v>0.69</v>
      </c>
      <c r="E17">
        <v>0</v>
      </c>
      <c r="F17">
        <v>0.69</v>
      </c>
    </row>
    <row r="18" spans="1:6" x14ac:dyDescent="0.3">
      <c r="A18" t="s">
        <v>20</v>
      </c>
      <c r="B18" t="s">
        <v>11</v>
      </c>
      <c r="C18" t="s">
        <v>19</v>
      </c>
      <c r="D18">
        <v>0.84</v>
      </c>
      <c r="E18">
        <v>0</v>
      </c>
      <c r="F18">
        <v>0.84</v>
      </c>
    </row>
    <row r="19" spans="1:6" x14ac:dyDescent="0.3">
      <c r="A19" t="s">
        <v>20</v>
      </c>
      <c r="B19" t="s">
        <v>11</v>
      </c>
      <c r="C19" t="s">
        <v>35</v>
      </c>
      <c r="D19">
        <v>408.05</v>
      </c>
      <c r="E19">
        <v>406.36</v>
      </c>
      <c r="F19">
        <v>1.6899999999999977</v>
      </c>
    </row>
    <row r="20" spans="1:6" x14ac:dyDescent="0.3">
      <c r="A20" t="s">
        <v>20</v>
      </c>
      <c r="B20" t="s">
        <v>7</v>
      </c>
      <c r="C20" t="s">
        <v>95</v>
      </c>
      <c r="D20">
        <v>25.53</v>
      </c>
      <c r="E20">
        <v>0</v>
      </c>
      <c r="F20">
        <v>25.53</v>
      </c>
    </row>
    <row r="21" spans="1:6" x14ac:dyDescent="0.3">
      <c r="A21" t="s">
        <v>20</v>
      </c>
      <c r="B21" t="s">
        <v>7</v>
      </c>
      <c r="C21" t="s">
        <v>100</v>
      </c>
      <c r="D21">
        <v>0.17</v>
      </c>
      <c r="E21">
        <v>0</v>
      </c>
      <c r="F21">
        <v>0.17</v>
      </c>
    </row>
    <row r="22" spans="1:6" x14ac:dyDescent="0.3">
      <c r="A22" t="s">
        <v>20</v>
      </c>
      <c r="B22" t="s">
        <v>7</v>
      </c>
      <c r="C22" t="s">
        <v>71</v>
      </c>
      <c r="D22">
        <v>7.0000000000000007E-2</v>
      </c>
      <c r="E22">
        <v>0</v>
      </c>
      <c r="F22">
        <v>7.0000000000000007E-2</v>
      </c>
    </row>
    <row r="23" spans="1:6" x14ac:dyDescent="0.3">
      <c r="A23" t="s">
        <v>20</v>
      </c>
      <c r="B23" t="s">
        <v>7</v>
      </c>
      <c r="C23" t="s">
        <v>94</v>
      </c>
      <c r="D23">
        <v>39.479999999999997</v>
      </c>
      <c r="E23">
        <v>0</v>
      </c>
      <c r="F23">
        <v>39.479999999999997</v>
      </c>
    </row>
    <row r="24" spans="1:6" x14ac:dyDescent="0.3">
      <c r="A24" t="s">
        <v>20</v>
      </c>
      <c r="B24" t="s">
        <v>7</v>
      </c>
      <c r="C24" t="s">
        <v>29</v>
      </c>
      <c r="D24">
        <v>0.86</v>
      </c>
      <c r="E24">
        <v>0</v>
      </c>
      <c r="F24">
        <v>0.86</v>
      </c>
    </row>
    <row r="25" spans="1:6" x14ac:dyDescent="0.3">
      <c r="A25" t="s">
        <v>20</v>
      </c>
      <c r="B25" t="s">
        <v>7</v>
      </c>
      <c r="C25" t="s">
        <v>19</v>
      </c>
      <c r="D25">
        <v>0.11</v>
      </c>
      <c r="E25">
        <v>0</v>
      </c>
      <c r="F25">
        <v>0.11</v>
      </c>
    </row>
    <row r="26" spans="1:6" x14ac:dyDescent="0.3">
      <c r="A26" t="s">
        <v>20</v>
      </c>
      <c r="B26" t="s">
        <v>7</v>
      </c>
      <c r="C26" t="s">
        <v>36</v>
      </c>
      <c r="D26">
        <v>0.41</v>
      </c>
      <c r="E26">
        <v>0</v>
      </c>
      <c r="F26">
        <v>0.41</v>
      </c>
    </row>
    <row r="27" spans="1:6" x14ac:dyDescent="0.3">
      <c r="A27" t="s">
        <v>84</v>
      </c>
      <c r="B27" t="s">
        <v>24</v>
      </c>
      <c r="C27" t="s">
        <v>95</v>
      </c>
      <c r="D27">
        <v>0</v>
      </c>
      <c r="E27">
        <v>0</v>
      </c>
      <c r="F27">
        <v>0</v>
      </c>
    </row>
    <row r="28" spans="1:6" x14ac:dyDescent="0.3">
      <c r="A28" t="s">
        <v>84</v>
      </c>
      <c r="B28" t="s">
        <v>24</v>
      </c>
      <c r="C28" t="s">
        <v>94</v>
      </c>
      <c r="D28">
        <v>80.09</v>
      </c>
      <c r="E28">
        <v>0</v>
      </c>
      <c r="F28">
        <v>80.09</v>
      </c>
    </row>
    <row r="29" spans="1:6" x14ac:dyDescent="0.3">
      <c r="A29" t="s">
        <v>84</v>
      </c>
      <c r="B29" t="s">
        <v>24</v>
      </c>
      <c r="C29" t="s">
        <v>13</v>
      </c>
      <c r="D29">
        <v>438.67</v>
      </c>
      <c r="E29">
        <v>406.36</v>
      </c>
      <c r="F29">
        <v>32.31</v>
      </c>
    </row>
    <row r="30" spans="1:6" x14ac:dyDescent="0.3">
      <c r="A30" t="s">
        <v>84</v>
      </c>
      <c r="B30" t="s">
        <v>17</v>
      </c>
      <c r="C30" t="s">
        <v>95</v>
      </c>
      <c r="D30">
        <v>0</v>
      </c>
      <c r="E30">
        <v>0</v>
      </c>
      <c r="F30">
        <v>0</v>
      </c>
    </row>
    <row r="31" spans="1:6" x14ac:dyDescent="0.3">
      <c r="A31" t="s">
        <v>84</v>
      </c>
      <c r="B31" t="s">
        <v>17</v>
      </c>
      <c r="C31" t="s">
        <v>94</v>
      </c>
      <c r="D31">
        <v>58.55</v>
      </c>
      <c r="E31">
        <v>0</v>
      </c>
      <c r="F31">
        <v>58.55</v>
      </c>
    </row>
    <row r="32" spans="1:6" x14ac:dyDescent="0.3">
      <c r="A32" t="s">
        <v>84</v>
      </c>
      <c r="B32" t="s">
        <v>17</v>
      </c>
      <c r="C32" t="s">
        <v>13</v>
      </c>
      <c r="D32">
        <v>421.48</v>
      </c>
      <c r="E32">
        <v>406.36</v>
      </c>
      <c r="F32">
        <v>15.120000000000005</v>
      </c>
    </row>
    <row r="33" spans="1:6" x14ac:dyDescent="0.3">
      <c r="A33" t="s">
        <v>84</v>
      </c>
      <c r="B33" t="s">
        <v>14</v>
      </c>
      <c r="C33" t="s">
        <v>95</v>
      </c>
      <c r="D33">
        <v>0</v>
      </c>
      <c r="E33">
        <v>0</v>
      </c>
      <c r="F33">
        <v>0</v>
      </c>
    </row>
    <row r="34" spans="1:6" x14ac:dyDescent="0.3">
      <c r="A34" t="s">
        <v>84</v>
      </c>
      <c r="B34" t="s">
        <v>14</v>
      </c>
      <c r="C34" t="s">
        <v>94</v>
      </c>
      <c r="D34">
        <v>41.38</v>
      </c>
      <c r="E34">
        <v>0</v>
      </c>
      <c r="F34">
        <v>41.38</v>
      </c>
    </row>
    <row r="35" spans="1:6" x14ac:dyDescent="0.3">
      <c r="A35" t="s">
        <v>84</v>
      </c>
      <c r="B35" t="s">
        <v>14</v>
      </c>
      <c r="C35" t="s">
        <v>13</v>
      </c>
      <c r="D35">
        <v>411.17</v>
      </c>
      <c r="E35">
        <v>406.36</v>
      </c>
      <c r="F35">
        <v>4.8100000000000023</v>
      </c>
    </row>
    <row r="36" spans="1:6" x14ac:dyDescent="0.3">
      <c r="A36" t="s">
        <v>84</v>
      </c>
      <c r="B36" t="s">
        <v>14</v>
      </c>
      <c r="C36" t="s">
        <v>30</v>
      </c>
      <c r="D36">
        <v>407</v>
      </c>
      <c r="E36">
        <v>406.36</v>
      </c>
      <c r="F36">
        <v>0.63999999999998636</v>
      </c>
    </row>
    <row r="37" spans="1:6" x14ac:dyDescent="0.3">
      <c r="A37" t="s">
        <v>84</v>
      </c>
      <c r="B37" t="s">
        <v>14</v>
      </c>
      <c r="C37" t="s">
        <v>33</v>
      </c>
      <c r="D37">
        <v>407.14</v>
      </c>
      <c r="E37">
        <v>406.36</v>
      </c>
      <c r="F37">
        <v>0.77999999999997272</v>
      </c>
    </row>
    <row r="38" spans="1:6" x14ac:dyDescent="0.3">
      <c r="A38" t="s">
        <v>84</v>
      </c>
      <c r="B38" t="s">
        <v>14</v>
      </c>
      <c r="C38" t="s">
        <v>35</v>
      </c>
      <c r="D38">
        <v>406.72</v>
      </c>
      <c r="E38">
        <v>406.36</v>
      </c>
      <c r="F38">
        <v>0.36000000000001364</v>
      </c>
    </row>
    <row r="39" spans="1:6" x14ac:dyDescent="0.3">
      <c r="A39" t="s">
        <v>84</v>
      </c>
      <c r="B39" t="s">
        <v>14</v>
      </c>
      <c r="C39" t="s">
        <v>18</v>
      </c>
      <c r="D39">
        <v>406.57</v>
      </c>
      <c r="E39">
        <v>406.36</v>
      </c>
      <c r="F39">
        <v>0.20999999999997954</v>
      </c>
    </row>
    <row r="40" spans="1:6" x14ac:dyDescent="0.3">
      <c r="A40" t="s">
        <v>84</v>
      </c>
      <c r="B40" t="s">
        <v>11</v>
      </c>
      <c r="C40" t="s">
        <v>46</v>
      </c>
      <c r="D40">
        <v>406.47</v>
      </c>
      <c r="E40">
        <v>406.36</v>
      </c>
      <c r="F40">
        <v>0.11000000000001364</v>
      </c>
    </row>
    <row r="41" spans="1:6" x14ac:dyDescent="0.3">
      <c r="A41" t="s">
        <v>84</v>
      </c>
      <c r="B41" t="s">
        <v>11</v>
      </c>
      <c r="C41" t="s">
        <v>95</v>
      </c>
      <c r="D41">
        <v>33.75</v>
      </c>
      <c r="E41">
        <v>0</v>
      </c>
      <c r="F41">
        <v>33.75</v>
      </c>
    </row>
    <row r="42" spans="1:6" x14ac:dyDescent="0.3">
      <c r="A42" t="s">
        <v>84</v>
      </c>
      <c r="B42" t="s">
        <v>11</v>
      </c>
      <c r="C42" t="s">
        <v>94</v>
      </c>
      <c r="D42">
        <v>33.700000000000003</v>
      </c>
      <c r="E42">
        <v>0</v>
      </c>
      <c r="F42">
        <v>33.700000000000003</v>
      </c>
    </row>
    <row r="43" spans="1:6" x14ac:dyDescent="0.3">
      <c r="A43" t="s">
        <v>84</v>
      </c>
      <c r="B43" t="s">
        <v>11</v>
      </c>
      <c r="C43" t="s">
        <v>47</v>
      </c>
      <c r="D43">
        <v>407.86</v>
      </c>
      <c r="E43">
        <v>406.36</v>
      </c>
      <c r="F43">
        <v>1.5</v>
      </c>
    </row>
    <row r="44" spans="1:6" x14ac:dyDescent="0.3">
      <c r="A44" t="s">
        <v>84</v>
      </c>
      <c r="B44" t="s">
        <v>11</v>
      </c>
      <c r="C44" t="s">
        <v>30</v>
      </c>
      <c r="D44">
        <v>406.39</v>
      </c>
      <c r="E44">
        <v>406.36</v>
      </c>
      <c r="F44">
        <v>2.9999999999972715E-2</v>
      </c>
    </row>
    <row r="45" spans="1:6" x14ac:dyDescent="0.3">
      <c r="A45" t="s">
        <v>84</v>
      </c>
      <c r="B45" t="s">
        <v>11</v>
      </c>
      <c r="C45" t="s">
        <v>33</v>
      </c>
      <c r="D45">
        <v>414.5</v>
      </c>
      <c r="E45">
        <v>406.36</v>
      </c>
      <c r="F45">
        <v>8.1399999999999864</v>
      </c>
    </row>
    <row r="46" spans="1:6" x14ac:dyDescent="0.3">
      <c r="A46" t="s">
        <v>84</v>
      </c>
      <c r="B46" t="s">
        <v>11</v>
      </c>
      <c r="C46" t="s">
        <v>29</v>
      </c>
      <c r="D46">
        <v>407.06</v>
      </c>
      <c r="E46">
        <v>406.36</v>
      </c>
      <c r="F46">
        <v>0.69999999999998863</v>
      </c>
    </row>
    <row r="47" spans="1:6" x14ac:dyDescent="0.3">
      <c r="A47" t="s">
        <v>84</v>
      </c>
      <c r="B47" t="s">
        <v>11</v>
      </c>
      <c r="C47" t="s">
        <v>98</v>
      </c>
      <c r="D47">
        <v>406.41</v>
      </c>
      <c r="E47">
        <v>406.36</v>
      </c>
      <c r="F47">
        <v>5.0000000000011369E-2</v>
      </c>
    </row>
    <row r="48" spans="1:6" x14ac:dyDescent="0.3">
      <c r="A48" t="s">
        <v>84</v>
      </c>
      <c r="B48" t="s">
        <v>7</v>
      </c>
      <c r="C48" t="s">
        <v>95</v>
      </c>
      <c r="D48">
        <v>25.84</v>
      </c>
      <c r="E48">
        <v>0</v>
      </c>
      <c r="F48">
        <v>25.84</v>
      </c>
    </row>
    <row r="49" spans="1:7" x14ac:dyDescent="0.3">
      <c r="A49" t="s">
        <v>84</v>
      </c>
      <c r="B49" t="s">
        <v>7</v>
      </c>
      <c r="C49" t="s">
        <v>94</v>
      </c>
      <c r="D49">
        <v>41.5</v>
      </c>
      <c r="E49">
        <v>0</v>
      </c>
      <c r="F49">
        <v>41.5</v>
      </c>
    </row>
    <row r="50" spans="1:7" x14ac:dyDescent="0.3">
      <c r="A50" t="s">
        <v>84</v>
      </c>
      <c r="B50" t="s">
        <v>7</v>
      </c>
      <c r="C50" t="s">
        <v>13</v>
      </c>
      <c r="D50">
        <v>412.04</v>
      </c>
      <c r="E50">
        <v>406.36</v>
      </c>
      <c r="F50">
        <v>5.6800000000000068</v>
      </c>
    </row>
    <row r="51" spans="1:7" x14ac:dyDescent="0.3">
      <c r="A51" t="s">
        <v>84</v>
      </c>
      <c r="B51" t="s">
        <v>7</v>
      </c>
      <c r="C51" t="s">
        <v>47</v>
      </c>
      <c r="D51">
        <v>408.83</v>
      </c>
      <c r="E51">
        <v>406.36</v>
      </c>
      <c r="F51">
        <v>2.4699999999999704</v>
      </c>
    </row>
    <row r="52" spans="1:7" x14ac:dyDescent="0.3">
      <c r="A52" t="s">
        <v>84</v>
      </c>
      <c r="B52" t="s">
        <v>7</v>
      </c>
      <c r="C52" t="s">
        <v>30</v>
      </c>
      <c r="D52">
        <v>410.21</v>
      </c>
      <c r="E52">
        <v>406.36</v>
      </c>
      <c r="F52">
        <v>3.8499999999999659</v>
      </c>
    </row>
    <row r="53" spans="1:7" x14ac:dyDescent="0.3">
      <c r="A53" t="s">
        <v>84</v>
      </c>
      <c r="B53" t="s">
        <v>7</v>
      </c>
      <c r="C53" t="s">
        <v>19</v>
      </c>
      <c r="D53">
        <v>406.75</v>
      </c>
      <c r="E53">
        <v>406.36</v>
      </c>
      <c r="F53">
        <v>0.38999999999998636</v>
      </c>
    </row>
    <row r="54" spans="1:7" x14ac:dyDescent="0.3">
      <c r="A54" t="s">
        <v>81</v>
      </c>
      <c r="B54" t="s">
        <v>24</v>
      </c>
      <c r="C54" t="s">
        <v>95</v>
      </c>
      <c r="D54">
        <v>95.06</v>
      </c>
      <c r="E54">
        <v>0</v>
      </c>
      <c r="F54">
        <v>95.06</v>
      </c>
    </row>
    <row r="55" spans="1:7" x14ac:dyDescent="0.3">
      <c r="A55" t="s">
        <v>81</v>
      </c>
      <c r="B55" t="s">
        <v>24</v>
      </c>
      <c r="C55" t="s">
        <v>71</v>
      </c>
      <c r="D55">
        <v>406.37</v>
      </c>
      <c r="E55">
        <v>406.36</v>
      </c>
      <c r="F55">
        <v>9.9999999999909051E-3</v>
      </c>
    </row>
    <row r="56" spans="1:7" x14ac:dyDescent="0.3">
      <c r="A56" t="s">
        <v>81</v>
      </c>
      <c r="B56" t="s">
        <v>24</v>
      </c>
      <c r="C56" t="s">
        <v>94</v>
      </c>
      <c r="D56">
        <v>41.77</v>
      </c>
      <c r="E56">
        <v>0</v>
      </c>
      <c r="F56">
        <v>41.77</v>
      </c>
    </row>
    <row r="57" spans="1:7" x14ac:dyDescent="0.3">
      <c r="A57" t="s">
        <v>81</v>
      </c>
      <c r="B57" t="s">
        <v>24</v>
      </c>
      <c r="C57" t="s">
        <v>13</v>
      </c>
      <c r="D57">
        <v>412.21</v>
      </c>
      <c r="E57">
        <v>406.36</v>
      </c>
      <c r="F57">
        <v>5.8499999999999659</v>
      </c>
    </row>
    <row r="58" spans="1:7" x14ac:dyDescent="0.3">
      <c r="A58" t="s">
        <v>81</v>
      </c>
      <c r="B58" t="s">
        <v>24</v>
      </c>
      <c r="C58" t="s">
        <v>33</v>
      </c>
      <c r="D58">
        <v>407.04</v>
      </c>
      <c r="E58">
        <v>406.36</v>
      </c>
      <c r="F58">
        <v>0.68000000000000682</v>
      </c>
    </row>
    <row r="59" spans="1:7" x14ac:dyDescent="0.3">
      <c r="A59" t="s">
        <v>81</v>
      </c>
      <c r="B59" t="s">
        <v>24</v>
      </c>
      <c r="C59" t="s">
        <v>29</v>
      </c>
      <c r="D59">
        <v>406.47</v>
      </c>
      <c r="E59">
        <v>406.36</v>
      </c>
      <c r="F59">
        <v>0.11000000000001364</v>
      </c>
    </row>
    <row r="60" spans="1:7" x14ac:dyDescent="0.3">
      <c r="A60" t="s">
        <v>81</v>
      </c>
      <c r="B60" t="s">
        <v>24</v>
      </c>
      <c r="C60" t="s">
        <v>19</v>
      </c>
      <c r="D60">
        <v>410.11</v>
      </c>
      <c r="E60">
        <v>406.36</v>
      </c>
      <c r="F60">
        <v>3.75</v>
      </c>
    </row>
    <row r="61" spans="1:7" x14ac:dyDescent="0.3">
      <c r="A61" t="s">
        <v>81</v>
      </c>
      <c r="B61" t="s">
        <v>17</v>
      </c>
      <c r="C61" t="s">
        <v>95</v>
      </c>
      <c r="D61">
        <v>22.37</v>
      </c>
      <c r="E61">
        <v>0</v>
      </c>
      <c r="F61">
        <v>22.37</v>
      </c>
      <c r="G61">
        <v>1.6</v>
      </c>
    </row>
    <row r="62" spans="1:7" x14ac:dyDescent="0.3">
      <c r="A62" t="s">
        <v>81</v>
      </c>
      <c r="B62" t="s">
        <v>17</v>
      </c>
      <c r="C62" t="s">
        <v>94</v>
      </c>
      <c r="D62">
        <v>51.13</v>
      </c>
      <c r="E62">
        <v>0</v>
      </c>
      <c r="F62">
        <v>51.13</v>
      </c>
    </row>
    <row r="63" spans="1:7" x14ac:dyDescent="0.3">
      <c r="A63" t="s">
        <v>81</v>
      </c>
      <c r="B63" t="s">
        <v>17</v>
      </c>
      <c r="C63" t="s">
        <v>47</v>
      </c>
      <c r="D63">
        <v>408.54</v>
      </c>
      <c r="E63">
        <v>406.36</v>
      </c>
      <c r="F63">
        <v>2.1800000000000068</v>
      </c>
    </row>
    <row r="64" spans="1:7" x14ac:dyDescent="0.3">
      <c r="A64" t="s">
        <v>81</v>
      </c>
      <c r="B64" t="s">
        <v>17</v>
      </c>
      <c r="C64" t="s">
        <v>33</v>
      </c>
      <c r="D64">
        <v>407.21</v>
      </c>
      <c r="E64">
        <v>406.36</v>
      </c>
      <c r="F64">
        <v>0.84999999999996589</v>
      </c>
    </row>
    <row r="65" spans="1:7" x14ac:dyDescent="0.3">
      <c r="A65" t="s">
        <v>81</v>
      </c>
      <c r="B65" t="s">
        <v>17</v>
      </c>
      <c r="C65" t="s">
        <v>29</v>
      </c>
      <c r="D65">
        <v>410.58</v>
      </c>
      <c r="E65">
        <v>406.36</v>
      </c>
      <c r="F65">
        <v>4.2199999999999704</v>
      </c>
    </row>
    <row r="66" spans="1:7" x14ac:dyDescent="0.3">
      <c r="A66" t="s">
        <v>81</v>
      </c>
      <c r="B66" t="s">
        <v>14</v>
      </c>
      <c r="C66" t="s">
        <v>95</v>
      </c>
      <c r="D66">
        <v>7.68</v>
      </c>
      <c r="E66">
        <v>0</v>
      </c>
      <c r="F66">
        <v>7.68</v>
      </c>
    </row>
    <row r="67" spans="1:7" x14ac:dyDescent="0.3">
      <c r="A67" t="s">
        <v>81</v>
      </c>
      <c r="B67" t="s">
        <v>14</v>
      </c>
      <c r="C67" t="s">
        <v>71</v>
      </c>
      <c r="D67">
        <v>0.08</v>
      </c>
      <c r="E67">
        <v>406.36</v>
      </c>
      <c r="F67">
        <v>0</v>
      </c>
    </row>
    <row r="68" spans="1:7" x14ac:dyDescent="0.3">
      <c r="A68" t="s">
        <v>81</v>
      </c>
      <c r="B68" t="s">
        <v>14</v>
      </c>
      <c r="C68" t="s">
        <v>94</v>
      </c>
      <c r="D68">
        <v>82.88</v>
      </c>
      <c r="E68">
        <v>0</v>
      </c>
      <c r="F68">
        <v>82.88</v>
      </c>
    </row>
    <row r="69" spans="1:7" x14ac:dyDescent="0.3">
      <c r="A69" t="s">
        <v>81</v>
      </c>
      <c r="B69" t="s">
        <v>14</v>
      </c>
      <c r="C69" t="s">
        <v>98</v>
      </c>
      <c r="D69">
        <v>406.99</v>
      </c>
      <c r="E69">
        <v>406.36</v>
      </c>
      <c r="F69">
        <v>0.62999999999999545</v>
      </c>
    </row>
    <row r="70" spans="1:7" x14ac:dyDescent="0.3">
      <c r="A70" t="s">
        <v>81</v>
      </c>
      <c r="B70" t="s">
        <v>11</v>
      </c>
      <c r="C70" t="s">
        <v>95</v>
      </c>
      <c r="D70">
        <v>2.06</v>
      </c>
      <c r="E70">
        <v>0</v>
      </c>
      <c r="F70">
        <v>2.06</v>
      </c>
      <c r="G70">
        <v>1.2</v>
      </c>
    </row>
    <row r="71" spans="1:7" x14ac:dyDescent="0.3">
      <c r="A71" t="s">
        <v>81</v>
      </c>
      <c r="B71" t="s">
        <v>11</v>
      </c>
      <c r="C71" t="s">
        <v>71</v>
      </c>
      <c r="D71">
        <v>0.02</v>
      </c>
      <c r="E71">
        <v>0</v>
      </c>
      <c r="F71">
        <v>0.02</v>
      </c>
    </row>
    <row r="72" spans="1:7" x14ac:dyDescent="0.3">
      <c r="A72" t="s">
        <v>81</v>
      </c>
      <c r="B72" t="s">
        <v>11</v>
      </c>
      <c r="C72" t="s">
        <v>94</v>
      </c>
      <c r="D72">
        <v>27.09</v>
      </c>
      <c r="E72">
        <v>0</v>
      </c>
      <c r="F72">
        <v>27.09</v>
      </c>
    </row>
    <row r="73" spans="1:7" x14ac:dyDescent="0.3">
      <c r="A73" t="s">
        <v>81</v>
      </c>
      <c r="B73" t="s">
        <v>11</v>
      </c>
      <c r="C73" t="s">
        <v>98</v>
      </c>
      <c r="D73">
        <v>407.34</v>
      </c>
      <c r="E73">
        <v>406.36</v>
      </c>
      <c r="F73">
        <v>0.97999999999996135</v>
      </c>
    </row>
    <row r="74" spans="1:7" x14ac:dyDescent="0.3">
      <c r="A74" t="s">
        <v>81</v>
      </c>
      <c r="B74" t="s">
        <v>11</v>
      </c>
      <c r="C74" t="s">
        <v>85</v>
      </c>
      <c r="D74">
        <v>408.01</v>
      </c>
      <c r="E74">
        <v>406.36</v>
      </c>
      <c r="F74">
        <v>1.6499999999999773</v>
      </c>
    </row>
    <row r="75" spans="1:7" x14ac:dyDescent="0.3">
      <c r="A75" t="s">
        <v>81</v>
      </c>
      <c r="B75" t="s">
        <v>7</v>
      </c>
      <c r="C75" t="s">
        <v>95</v>
      </c>
      <c r="D75">
        <v>38.24</v>
      </c>
      <c r="E75">
        <v>0</v>
      </c>
      <c r="F75">
        <v>38.24</v>
      </c>
    </row>
    <row r="76" spans="1:7" x14ac:dyDescent="0.3">
      <c r="A76" t="s">
        <v>81</v>
      </c>
      <c r="B76" t="s">
        <v>7</v>
      </c>
      <c r="C76" t="s">
        <v>94</v>
      </c>
      <c r="D76">
        <v>42.99</v>
      </c>
      <c r="E76">
        <v>0</v>
      </c>
      <c r="F76">
        <v>42.99</v>
      </c>
    </row>
    <row r="77" spans="1:7" x14ac:dyDescent="0.3">
      <c r="A77" t="s">
        <v>81</v>
      </c>
      <c r="B77" t="s">
        <v>7</v>
      </c>
      <c r="C77" t="s">
        <v>33</v>
      </c>
      <c r="D77">
        <v>406.66</v>
      </c>
      <c r="E77">
        <v>406.36</v>
      </c>
      <c r="F77">
        <v>0.30000000000001137</v>
      </c>
    </row>
    <row r="78" spans="1:7" x14ac:dyDescent="0.3">
      <c r="A78" t="s">
        <v>81</v>
      </c>
      <c r="B78" t="s">
        <v>7</v>
      </c>
      <c r="C78" t="s">
        <v>98</v>
      </c>
      <c r="D78">
        <v>411.62</v>
      </c>
      <c r="E78">
        <v>406.36</v>
      </c>
      <c r="F78">
        <v>5.2599999999999909</v>
      </c>
    </row>
    <row r="79" spans="1:7" x14ac:dyDescent="0.3">
      <c r="A79" t="s">
        <v>6</v>
      </c>
      <c r="B79" t="s">
        <v>24</v>
      </c>
      <c r="C79" t="s">
        <v>95</v>
      </c>
      <c r="D79">
        <v>462.37</v>
      </c>
      <c r="E79">
        <v>406.48</v>
      </c>
      <c r="F79">
        <v>55.889999999999986</v>
      </c>
    </row>
    <row r="80" spans="1:7" x14ac:dyDescent="0.3">
      <c r="A80" t="s">
        <v>6</v>
      </c>
      <c r="B80" t="s">
        <v>24</v>
      </c>
      <c r="C80" t="s">
        <v>94</v>
      </c>
      <c r="D80">
        <v>480.63</v>
      </c>
      <c r="E80">
        <v>406.77</v>
      </c>
      <c r="F80">
        <v>73.860000000000014</v>
      </c>
    </row>
    <row r="81" spans="1:7" x14ac:dyDescent="0.3">
      <c r="A81" t="s">
        <v>6</v>
      </c>
      <c r="B81" t="s">
        <v>24</v>
      </c>
      <c r="C81" t="s">
        <v>13</v>
      </c>
      <c r="D81">
        <v>444.08</v>
      </c>
      <c r="E81">
        <v>406.36</v>
      </c>
      <c r="F81">
        <v>37.71999999999997</v>
      </c>
    </row>
    <row r="82" spans="1:7" x14ac:dyDescent="0.3">
      <c r="A82" t="s">
        <v>6</v>
      </c>
      <c r="B82" t="s">
        <v>17</v>
      </c>
      <c r="C82" t="s">
        <v>95</v>
      </c>
      <c r="D82">
        <v>25.3</v>
      </c>
      <c r="E82">
        <v>0</v>
      </c>
      <c r="F82">
        <v>25.3</v>
      </c>
      <c r="G82">
        <v>2.8</v>
      </c>
    </row>
    <row r="83" spans="1:7" x14ac:dyDescent="0.3">
      <c r="A83" t="s">
        <v>6</v>
      </c>
      <c r="B83" t="s">
        <v>17</v>
      </c>
      <c r="C83" t="s">
        <v>71</v>
      </c>
      <c r="D83">
        <v>0.01</v>
      </c>
      <c r="E83">
        <v>0</v>
      </c>
      <c r="F83">
        <v>0.01</v>
      </c>
    </row>
    <row r="84" spans="1:7" x14ac:dyDescent="0.3">
      <c r="A84" t="s">
        <v>6</v>
      </c>
      <c r="B84" t="s">
        <v>17</v>
      </c>
      <c r="C84" t="s">
        <v>94</v>
      </c>
      <c r="D84">
        <v>50.47</v>
      </c>
      <c r="E84">
        <v>0</v>
      </c>
      <c r="F84">
        <v>50.47</v>
      </c>
    </row>
    <row r="85" spans="1:7" x14ac:dyDescent="0.3">
      <c r="A85" t="s">
        <v>6</v>
      </c>
      <c r="B85" t="s">
        <v>17</v>
      </c>
      <c r="C85" t="s">
        <v>13</v>
      </c>
      <c r="D85">
        <v>424.37</v>
      </c>
      <c r="E85">
        <v>406.5</v>
      </c>
      <c r="F85">
        <v>17.870000000000005</v>
      </c>
    </row>
    <row r="86" spans="1:7" x14ac:dyDescent="0.3">
      <c r="A86" t="s">
        <v>6</v>
      </c>
      <c r="B86" t="s">
        <v>17</v>
      </c>
      <c r="C86" t="s">
        <v>30</v>
      </c>
      <c r="D86">
        <v>0.03</v>
      </c>
      <c r="E86">
        <v>0</v>
      </c>
      <c r="F86">
        <v>0.03</v>
      </c>
    </row>
    <row r="87" spans="1:7" x14ac:dyDescent="0.3">
      <c r="A87" t="s">
        <v>6</v>
      </c>
      <c r="B87" t="s">
        <v>17</v>
      </c>
      <c r="C87" t="s">
        <v>29</v>
      </c>
      <c r="D87">
        <v>0.48</v>
      </c>
      <c r="E87">
        <v>0</v>
      </c>
      <c r="F87">
        <v>0.48</v>
      </c>
    </row>
    <row r="88" spans="1:7" x14ac:dyDescent="0.3">
      <c r="A88" t="s">
        <v>6</v>
      </c>
      <c r="B88" t="s">
        <v>14</v>
      </c>
      <c r="C88" t="s">
        <v>95</v>
      </c>
      <c r="D88">
        <v>132.18</v>
      </c>
      <c r="E88">
        <v>0</v>
      </c>
      <c r="F88">
        <v>132.18</v>
      </c>
      <c r="G88">
        <v>2.7</v>
      </c>
    </row>
    <row r="89" spans="1:7" x14ac:dyDescent="0.3">
      <c r="A89" t="s">
        <v>6</v>
      </c>
      <c r="B89" t="s">
        <v>14</v>
      </c>
      <c r="C89" t="s">
        <v>94</v>
      </c>
      <c r="D89">
        <v>42.36</v>
      </c>
      <c r="E89">
        <v>0</v>
      </c>
      <c r="F89">
        <v>42.36</v>
      </c>
    </row>
    <row r="90" spans="1:7" x14ac:dyDescent="0.3">
      <c r="A90" t="s">
        <v>6</v>
      </c>
      <c r="B90" t="s">
        <v>14</v>
      </c>
      <c r="C90" t="s">
        <v>19</v>
      </c>
      <c r="D90">
        <v>0.31</v>
      </c>
      <c r="E90">
        <v>0</v>
      </c>
      <c r="F90">
        <v>0.31</v>
      </c>
    </row>
    <row r="91" spans="1:7" x14ac:dyDescent="0.3">
      <c r="A91" t="s">
        <v>6</v>
      </c>
      <c r="B91" t="s">
        <v>11</v>
      </c>
      <c r="C91" t="s">
        <v>12</v>
      </c>
      <c r="D91">
        <v>406.74</v>
      </c>
      <c r="E91">
        <v>406.55</v>
      </c>
      <c r="F91">
        <v>0.18999999999999773</v>
      </c>
    </row>
    <row r="92" spans="1:7" x14ac:dyDescent="0.3">
      <c r="A92" t="s">
        <v>6</v>
      </c>
      <c r="B92" t="s">
        <v>11</v>
      </c>
      <c r="C92" t="s">
        <v>95</v>
      </c>
      <c r="D92">
        <v>81.81</v>
      </c>
      <c r="E92">
        <v>0</v>
      </c>
      <c r="F92">
        <v>81.81</v>
      </c>
      <c r="G92">
        <v>1.8</v>
      </c>
    </row>
    <row r="93" spans="1:7" x14ac:dyDescent="0.3">
      <c r="A93" t="s">
        <v>6</v>
      </c>
      <c r="B93" t="s">
        <v>11</v>
      </c>
      <c r="C93" t="s">
        <v>94</v>
      </c>
      <c r="D93">
        <v>55.93</v>
      </c>
      <c r="E93">
        <v>0</v>
      </c>
      <c r="F93">
        <v>55.93</v>
      </c>
    </row>
    <row r="94" spans="1:7" x14ac:dyDescent="0.3">
      <c r="A94" t="s">
        <v>6</v>
      </c>
      <c r="B94" t="s">
        <v>11</v>
      </c>
      <c r="C94" t="s">
        <v>19</v>
      </c>
      <c r="D94">
        <v>406.88</v>
      </c>
      <c r="E94">
        <v>406.8</v>
      </c>
      <c r="F94">
        <v>7.9999999999984084E-2</v>
      </c>
    </row>
    <row r="95" spans="1:7" x14ac:dyDescent="0.3">
      <c r="A95" t="s">
        <v>6</v>
      </c>
      <c r="B95" t="s">
        <v>11</v>
      </c>
      <c r="C95" t="s">
        <v>18</v>
      </c>
      <c r="D95">
        <v>487.07</v>
      </c>
      <c r="E95">
        <v>406.99</v>
      </c>
      <c r="F95">
        <v>80.079999999999984</v>
      </c>
    </row>
    <row r="96" spans="1:7" x14ac:dyDescent="0.3">
      <c r="A96" t="s">
        <v>6</v>
      </c>
      <c r="B96" t="s">
        <v>7</v>
      </c>
      <c r="C96" t="s">
        <v>95</v>
      </c>
      <c r="D96">
        <v>0</v>
      </c>
      <c r="E96">
        <v>0</v>
      </c>
      <c r="F96">
        <v>0</v>
      </c>
      <c r="G96">
        <v>0</v>
      </c>
    </row>
    <row r="97" spans="1:8" x14ac:dyDescent="0.3">
      <c r="A97" t="s">
        <v>6</v>
      </c>
      <c r="B97" t="s">
        <v>7</v>
      </c>
      <c r="C97" t="s">
        <v>94</v>
      </c>
      <c r="D97">
        <v>120.14</v>
      </c>
      <c r="E97">
        <v>0</v>
      </c>
      <c r="F97">
        <v>120.14</v>
      </c>
    </row>
    <row r="98" spans="1:8" x14ac:dyDescent="0.3">
      <c r="A98" t="s">
        <v>6</v>
      </c>
      <c r="B98" t="s">
        <v>7</v>
      </c>
      <c r="C98" t="s">
        <v>13</v>
      </c>
      <c r="D98">
        <v>420.26</v>
      </c>
      <c r="E98">
        <v>406.8</v>
      </c>
      <c r="F98">
        <v>13.45999999999998</v>
      </c>
    </row>
    <row r="99" spans="1:8" x14ac:dyDescent="0.3">
      <c r="A99" t="s">
        <v>6</v>
      </c>
      <c r="B99" t="s">
        <v>7</v>
      </c>
      <c r="C99" t="s">
        <v>8</v>
      </c>
      <c r="D99">
        <v>410.7</v>
      </c>
      <c r="E99">
        <v>406.61</v>
      </c>
      <c r="F99">
        <v>4.089999999999975</v>
      </c>
    </row>
    <row r="100" spans="1:8" x14ac:dyDescent="0.3">
      <c r="A100" t="s">
        <v>6</v>
      </c>
      <c r="B100" t="s">
        <v>7</v>
      </c>
      <c r="C100" t="s">
        <v>18</v>
      </c>
      <c r="D100">
        <v>408.65</v>
      </c>
      <c r="E100">
        <v>407.05</v>
      </c>
      <c r="F100">
        <v>1.5999999999999659</v>
      </c>
      <c r="H100" t="s">
        <v>105</v>
      </c>
    </row>
    <row r="101" spans="1:8" x14ac:dyDescent="0.3">
      <c r="A101" t="s">
        <v>70</v>
      </c>
      <c r="B101" t="s">
        <v>24</v>
      </c>
      <c r="C101" t="s">
        <v>95</v>
      </c>
      <c r="D101">
        <v>37.340000000000003</v>
      </c>
      <c r="E101">
        <v>0</v>
      </c>
      <c r="F101">
        <v>37.340000000000003</v>
      </c>
      <c r="H101">
        <f>F81+F85+F98</f>
        <v>69.049999999999955</v>
      </c>
    </row>
    <row r="102" spans="1:8" x14ac:dyDescent="0.3">
      <c r="A102" t="s">
        <v>70</v>
      </c>
      <c r="B102" t="s">
        <v>24</v>
      </c>
      <c r="C102" t="s">
        <v>71</v>
      </c>
      <c r="D102">
        <v>406.41</v>
      </c>
      <c r="E102">
        <v>406.36</v>
      </c>
      <c r="F102">
        <v>5.0000000000011369E-2</v>
      </c>
    </row>
    <row r="103" spans="1:8" x14ac:dyDescent="0.3">
      <c r="A103" t="s">
        <v>70</v>
      </c>
      <c r="B103" t="s">
        <v>24</v>
      </c>
      <c r="C103" t="s">
        <v>94</v>
      </c>
      <c r="D103">
        <v>46.53</v>
      </c>
      <c r="E103">
        <v>0</v>
      </c>
      <c r="F103">
        <v>46.53</v>
      </c>
    </row>
    <row r="104" spans="1:8" x14ac:dyDescent="0.3">
      <c r="A104" t="s">
        <v>70</v>
      </c>
      <c r="B104" t="s">
        <v>17</v>
      </c>
      <c r="C104" t="s">
        <v>95</v>
      </c>
      <c r="D104">
        <v>199.32</v>
      </c>
      <c r="E104">
        <v>0</v>
      </c>
      <c r="F104">
        <v>199.32</v>
      </c>
      <c r="G104">
        <v>2.8</v>
      </c>
    </row>
    <row r="105" spans="1:8" x14ac:dyDescent="0.3">
      <c r="A105" t="s">
        <v>70</v>
      </c>
      <c r="B105" t="s">
        <v>17</v>
      </c>
      <c r="C105" t="s">
        <v>71</v>
      </c>
      <c r="D105">
        <v>406.43</v>
      </c>
      <c r="E105">
        <v>406.36</v>
      </c>
      <c r="F105">
        <v>6.9999999999993179E-2</v>
      </c>
    </row>
    <row r="106" spans="1:8" x14ac:dyDescent="0.3">
      <c r="A106" t="s">
        <v>70</v>
      </c>
      <c r="B106" t="s">
        <v>17</v>
      </c>
      <c r="C106" t="s">
        <v>94</v>
      </c>
      <c r="D106">
        <v>47.25</v>
      </c>
      <c r="E106">
        <v>0</v>
      </c>
      <c r="F106">
        <v>47.25</v>
      </c>
    </row>
    <row r="107" spans="1:8" x14ac:dyDescent="0.3">
      <c r="A107" t="s">
        <v>70</v>
      </c>
      <c r="B107" t="s">
        <v>14</v>
      </c>
      <c r="C107" t="s">
        <v>95</v>
      </c>
      <c r="D107">
        <v>36.520000000000003</v>
      </c>
      <c r="E107">
        <v>0</v>
      </c>
      <c r="F107">
        <v>36.520000000000003</v>
      </c>
    </row>
    <row r="108" spans="1:8" x14ac:dyDescent="0.3">
      <c r="A108" t="s">
        <v>70</v>
      </c>
      <c r="B108" t="s">
        <v>14</v>
      </c>
      <c r="C108" t="s">
        <v>71</v>
      </c>
      <c r="D108">
        <v>406.42</v>
      </c>
      <c r="E108">
        <v>406.36</v>
      </c>
      <c r="F108">
        <v>6.0000000000002274E-2</v>
      </c>
    </row>
    <row r="109" spans="1:8" x14ac:dyDescent="0.3">
      <c r="A109" t="s">
        <v>70</v>
      </c>
      <c r="B109" t="s">
        <v>14</v>
      </c>
      <c r="C109" t="s">
        <v>94</v>
      </c>
      <c r="D109">
        <v>33.43</v>
      </c>
      <c r="E109">
        <v>0</v>
      </c>
      <c r="F109">
        <v>33.43</v>
      </c>
    </row>
    <row r="110" spans="1:8" x14ac:dyDescent="0.3">
      <c r="A110" t="s">
        <v>70</v>
      </c>
      <c r="B110" t="s">
        <v>14</v>
      </c>
      <c r="C110" t="s">
        <v>13</v>
      </c>
      <c r="D110">
        <v>406.61</v>
      </c>
      <c r="E110">
        <v>406.36</v>
      </c>
      <c r="F110">
        <v>0.25</v>
      </c>
    </row>
    <row r="111" spans="1:8" x14ac:dyDescent="0.3">
      <c r="A111" t="s">
        <v>70</v>
      </c>
      <c r="B111" t="s">
        <v>14</v>
      </c>
      <c r="C111" t="s">
        <v>41</v>
      </c>
      <c r="D111">
        <v>406.46</v>
      </c>
      <c r="E111">
        <v>406.36</v>
      </c>
      <c r="F111">
        <v>9.9999999999965894E-2</v>
      </c>
    </row>
    <row r="112" spans="1:8" x14ac:dyDescent="0.3">
      <c r="A112" t="s">
        <v>70</v>
      </c>
      <c r="B112" t="s">
        <v>11</v>
      </c>
      <c r="C112" t="s">
        <v>95</v>
      </c>
      <c r="D112">
        <v>108.62</v>
      </c>
      <c r="E112">
        <v>0</v>
      </c>
      <c r="F112">
        <v>108.62</v>
      </c>
      <c r="G112">
        <v>1.8</v>
      </c>
    </row>
    <row r="113" spans="1:7" x14ac:dyDescent="0.3">
      <c r="A113" t="s">
        <v>70</v>
      </c>
      <c r="B113" t="s">
        <v>11</v>
      </c>
      <c r="C113" t="s">
        <v>94</v>
      </c>
      <c r="D113">
        <v>49.83</v>
      </c>
      <c r="E113">
        <v>0</v>
      </c>
      <c r="F113">
        <v>49.83</v>
      </c>
    </row>
    <row r="114" spans="1:7" x14ac:dyDescent="0.3">
      <c r="A114" t="s">
        <v>70</v>
      </c>
      <c r="B114" t="s">
        <v>11</v>
      </c>
      <c r="C114" t="s">
        <v>30</v>
      </c>
      <c r="D114">
        <v>406.63</v>
      </c>
      <c r="E114">
        <v>406.36</v>
      </c>
      <c r="F114">
        <v>0.26999999999998181</v>
      </c>
    </row>
    <row r="115" spans="1:7" x14ac:dyDescent="0.3">
      <c r="A115" t="s">
        <v>70</v>
      </c>
      <c r="B115" t="s">
        <v>11</v>
      </c>
      <c r="C115" t="s">
        <v>29</v>
      </c>
      <c r="D115">
        <v>406.92</v>
      </c>
      <c r="E115">
        <v>406.36</v>
      </c>
      <c r="F115">
        <v>0.56000000000000227</v>
      </c>
    </row>
    <row r="116" spans="1:7" x14ac:dyDescent="0.3">
      <c r="A116" t="s">
        <v>70</v>
      </c>
      <c r="B116" t="s">
        <v>7</v>
      </c>
      <c r="C116" t="s">
        <v>95</v>
      </c>
      <c r="D116">
        <v>13.6</v>
      </c>
      <c r="E116">
        <v>0</v>
      </c>
      <c r="F116">
        <v>13.6</v>
      </c>
      <c r="G116">
        <v>1.3</v>
      </c>
    </row>
    <row r="117" spans="1:7" x14ac:dyDescent="0.3">
      <c r="A117" t="s">
        <v>70</v>
      </c>
      <c r="B117" t="s">
        <v>7</v>
      </c>
      <c r="C117" t="s">
        <v>71</v>
      </c>
      <c r="D117">
        <v>407.02</v>
      </c>
      <c r="E117">
        <v>406.36</v>
      </c>
      <c r="F117">
        <v>0.65999999999996817</v>
      </c>
    </row>
    <row r="118" spans="1:7" x14ac:dyDescent="0.3">
      <c r="A118" t="s">
        <v>70</v>
      </c>
      <c r="B118" t="s">
        <v>7</v>
      </c>
      <c r="C118" t="s">
        <v>94</v>
      </c>
      <c r="D118">
        <v>36.020000000000003</v>
      </c>
      <c r="E118">
        <v>0</v>
      </c>
      <c r="F118">
        <v>36.020000000000003</v>
      </c>
    </row>
    <row r="119" spans="1:7" x14ac:dyDescent="0.3">
      <c r="A119" t="s">
        <v>65</v>
      </c>
      <c r="B119" t="s">
        <v>24</v>
      </c>
      <c r="C119" t="s">
        <v>95</v>
      </c>
      <c r="D119">
        <v>249.05</v>
      </c>
      <c r="E119">
        <v>0</v>
      </c>
      <c r="F119">
        <v>249.05</v>
      </c>
      <c r="G119">
        <v>7</v>
      </c>
    </row>
    <row r="120" spans="1:7" x14ac:dyDescent="0.3">
      <c r="A120" t="s">
        <v>65</v>
      </c>
      <c r="B120" t="s">
        <v>24</v>
      </c>
      <c r="C120" t="s">
        <v>71</v>
      </c>
      <c r="D120">
        <v>406.37</v>
      </c>
      <c r="E120">
        <v>406.36</v>
      </c>
      <c r="F120">
        <v>9.9999999999909051E-3</v>
      </c>
    </row>
    <row r="121" spans="1:7" x14ac:dyDescent="0.3">
      <c r="A121" t="s">
        <v>65</v>
      </c>
      <c r="B121" t="s">
        <v>24</v>
      </c>
      <c r="C121" t="s">
        <v>94</v>
      </c>
      <c r="D121">
        <v>40.53</v>
      </c>
      <c r="E121">
        <v>0</v>
      </c>
      <c r="F121">
        <v>40.53</v>
      </c>
    </row>
    <row r="122" spans="1:7" x14ac:dyDescent="0.3">
      <c r="A122" t="s">
        <v>65</v>
      </c>
      <c r="B122" t="s">
        <v>17</v>
      </c>
      <c r="C122" t="s">
        <v>12</v>
      </c>
      <c r="D122">
        <v>406.41</v>
      </c>
      <c r="E122">
        <v>406.36</v>
      </c>
      <c r="F122">
        <v>5.0000000000011369E-2</v>
      </c>
    </row>
    <row r="123" spans="1:7" x14ac:dyDescent="0.3">
      <c r="A123" t="s">
        <v>65</v>
      </c>
      <c r="B123" t="s">
        <v>17</v>
      </c>
      <c r="C123" t="s">
        <v>56</v>
      </c>
      <c r="D123">
        <v>413.04</v>
      </c>
      <c r="E123">
        <v>406.36</v>
      </c>
      <c r="F123">
        <v>6.6800000000000068</v>
      </c>
    </row>
    <row r="124" spans="1:7" x14ac:dyDescent="0.3">
      <c r="A124" t="s">
        <v>65</v>
      </c>
      <c r="B124" t="s">
        <v>17</v>
      </c>
      <c r="C124" t="s">
        <v>95</v>
      </c>
      <c r="D124">
        <v>41.97</v>
      </c>
      <c r="E124">
        <v>0</v>
      </c>
      <c r="F124">
        <v>41.97</v>
      </c>
    </row>
    <row r="125" spans="1:7" x14ac:dyDescent="0.3">
      <c r="A125" t="s">
        <v>65</v>
      </c>
      <c r="B125" t="s">
        <v>17</v>
      </c>
      <c r="C125" t="s">
        <v>71</v>
      </c>
      <c r="D125">
        <v>406.36</v>
      </c>
      <c r="E125">
        <v>406.36</v>
      </c>
      <c r="F125">
        <v>0</v>
      </c>
    </row>
    <row r="126" spans="1:7" x14ac:dyDescent="0.3">
      <c r="A126" t="s">
        <v>65</v>
      </c>
      <c r="B126" t="s">
        <v>17</v>
      </c>
      <c r="C126" t="s">
        <v>94</v>
      </c>
      <c r="D126">
        <v>38.99</v>
      </c>
      <c r="E126">
        <v>0</v>
      </c>
      <c r="F126">
        <v>38.99</v>
      </c>
      <c r="G126">
        <v>2.1</v>
      </c>
    </row>
    <row r="127" spans="1:7" x14ac:dyDescent="0.3">
      <c r="A127" t="s">
        <v>65</v>
      </c>
      <c r="B127" t="s">
        <v>17</v>
      </c>
      <c r="C127" t="s">
        <v>47</v>
      </c>
      <c r="D127">
        <v>409.94</v>
      </c>
      <c r="E127">
        <v>406.36</v>
      </c>
      <c r="F127">
        <v>3.5799999999999841</v>
      </c>
    </row>
    <row r="128" spans="1:7" x14ac:dyDescent="0.3">
      <c r="A128" t="s">
        <v>65</v>
      </c>
      <c r="B128" t="s">
        <v>17</v>
      </c>
      <c r="C128" t="s">
        <v>8</v>
      </c>
      <c r="D128">
        <v>18.8</v>
      </c>
      <c r="E128">
        <v>0</v>
      </c>
      <c r="F128">
        <v>18.8</v>
      </c>
    </row>
    <row r="129" spans="1:7" x14ac:dyDescent="0.3">
      <c r="A129" t="s">
        <v>65</v>
      </c>
      <c r="B129" t="s">
        <v>14</v>
      </c>
      <c r="C129" t="s">
        <v>95</v>
      </c>
      <c r="D129">
        <v>123.66</v>
      </c>
      <c r="E129">
        <v>0</v>
      </c>
      <c r="F129">
        <v>123.66</v>
      </c>
      <c r="G129">
        <v>4.8</v>
      </c>
    </row>
    <row r="130" spans="1:7" x14ac:dyDescent="0.3">
      <c r="A130" t="s">
        <v>65</v>
      </c>
      <c r="B130" t="s">
        <v>14</v>
      </c>
      <c r="C130" t="s">
        <v>71</v>
      </c>
      <c r="D130">
        <v>406.36</v>
      </c>
      <c r="E130">
        <v>406.36</v>
      </c>
      <c r="F130">
        <v>0</v>
      </c>
    </row>
    <row r="131" spans="1:7" x14ac:dyDescent="0.3">
      <c r="A131" t="s">
        <v>65</v>
      </c>
      <c r="B131" t="s">
        <v>14</v>
      </c>
      <c r="C131" t="s">
        <v>94</v>
      </c>
      <c r="D131">
        <v>38.26</v>
      </c>
      <c r="E131">
        <v>0</v>
      </c>
      <c r="F131">
        <v>38.26</v>
      </c>
    </row>
    <row r="132" spans="1:7" x14ac:dyDescent="0.3">
      <c r="A132" t="s">
        <v>65</v>
      </c>
      <c r="B132" t="s">
        <v>11</v>
      </c>
      <c r="C132" t="s">
        <v>95</v>
      </c>
      <c r="D132">
        <v>54.71</v>
      </c>
      <c r="E132">
        <v>0</v>
      </c>
      <c r="F132">
        <v>54.71</v>
      </c>
      <c r="G132">
        <v>4.5</v>
      </c>
    </row>
    <row r="133" spans="1:7" x14ac:dyDescent="0.3">
      <c r="A133" t="s">
        <v>65</v>
      </c>
      <c r="B133" t="s">
        <v>11</v>
      </c>
      <c r="C133" t="s">
        <v>71</v>
      </c>
      <c r="D133">
        <v>406.38</v>
      </c>
      <c r="E133">
        <v>406.36</v>
      </c>
      <c r="F133">
        <v>1.999999999998181E-2</v>
      </c>
    </row>
    <row r="134" spans="1:7" x14ac:dyDescent="0.3">
      <c r="A134" t="s">
        <v>65</v>
      </c>
      <c r="B134" t="s">
        <v>11</v>
      </c>
      <c r="C134" t="s">
        <v>94</v>
      </c>
      <c r="D134">
        <v>30.38</v>
      </c>
      <c r="E134">
        <v>0</v>
      </c>
      <c r="F134">
        <v>30.38</v>
      </c>
    </row>
    <row r="135" spans="1:7" x14ac:dyDescent="0.3">
      <c r="A135" t="s">
        <v>65</v>
      </c>
      <c r="B135" t="s">
        <v>11</v>
      </c>
      <c r="C135" t="s">
        <v>66</v>
      </c>
      <c r="D135">
        <v>406.36</v>
      </c>
      <c r="E135">
        <v>406.36</v>
      </c>
      <c r="F135">
        <v>0</v>
      </c>
    </row>
    <row r="136" spans="1:7" x14ac:dyDescent="0.3">
      <c r="A136" t="s">
        <v>65</v>
      </c>
      <c r="B136" t="s">
        <v>7</v>
      </c>
      <c r="C136" t="s">
        <v>95</v>
      </c>
      <c r="D136">
        <v>0</v>
      </c>
      <c r="E136">
        <v>0</v>
      </c>
      <c r="F136">
        <v>0</v>
      </c>
      <c r="G136">
        <v>0</v>
      </c>
    </row>
    <row r="137" spans="1:7" x14ac:dyDescent="0.3">
      <c r="A137" t="s">
        <v>65</v>
      </c>
      <c r="B137" t="s">
        <v>7</v>
      </c>
      <c r="C137" t="s">
        <v>94</v>
      </c>
      <c r="D137">
        <v>28.05</v>
      </c>
      <c r="E137">
        <v>0</v>
      </c>
      <c r="F137">
        <v>28.05</v>
      </c>
    </row>
    <row r="138" spans="1:7" x14ac:dyDescent="0.3">
      <c r="A138" t="s">
        <v>65</v>
      </c>
      <c r="B138" t="s">
        <v>7</v>
      </c>
      <c r="C138" t="s">
        <v>66</v>
      </c>
      <c r="D138">
        <v>407.27</v>
      </c>
      <c r="E138">
        <v>406.36</v>
      </c>
      <c r="F138">
        <v>0.90999999999996817</v>
      </c>
    </row>
    <row r="139" spans="1:7" x14ac:dyDescent="0.3">
      <c r="A139" t="s">
        <v>25</v>
      </c>
      <c r="B139" t="s">
        <v>24</v>
      </c>
      <c r="C139" t="s">
        <v>12</v>
      </c>
      <c r="D139">
        <v>0.32</v>
      </c>
      <c r="E139">
        <v>0</v>
      </c>
      <c r="F139">
        <v>0.32</v>
      </c>
    </row>
    <row r="140" spans="1:7" x14ac:dyDescent="0.3">
      <c r="A140" t="s">
        <v>25</v>
      </c>
      <c r="B140" t="s">
        <v>24</v>
      </c>
      <c r="C140" t="s">
        <v>34</v>
      </c>
      <c r="D140">
        <v>5.74</v>
      </c>
      <c r="E140">
        <v>0</v>
      </c>
      <c r="F140">
        <v>5.74</v>
      </c>
    </row>
    <row r="141" spans="1:7" x14ac:dyDescent="0.3">
      <c r="A141" t="s">
        <v>25</v>
      </c>
      <c r="B141" t="s">
        <v>24</v>
      </c>
      <c r="C141" t="s">
        <v>95</v>
      </c>
      <c r="D141">
        <v>1.49</v>
      </c>
      <c r="E141">
        <v>0</v>
      </c>
      <c r="F141">
        <v>1.49</v>
      </c>
      <c r="G141">
        <v>2.4</v>
      </c>
    </row>
    <row r="142" spans="1:7" x14ac:dyDescent="0.3">
      <c r="A142" t="s">
        <v>25</v>
      </c>
      <c r="B142" t="s">
        <v>24</v>
      </c>
      <c r="C142" t="s">
        <v>94</v>
      </c>
      <c r="D142">
        <v>18.149999999999999</v>
      </c>
      <c r="E142">
        <v>0</v>
      </c>
      <c r="F142">
        <v>18.149999999999999</v>
      </c>
    </row>
    <row r="143" spans="1:7" x14ac:dyDescent="0.3">
      <c r="A143" t="s">
        <v>25</v>
      </c>
      <c r="B143" t="s">
        <v>24</v>
      </c>
      <c r="C143" t="s">
        <v>33</v>
      </c>
      <c r="D143">
        <v>0.28999999999999998</v>
      </c>
      <c r="E143">
        <v>0</v>
      </c>
      <c r="F143">
        <v>0.28999999999999998</v>
      </c>
    </row>
    <row r="144" spans="1:7" x14ac:dyDescent="0.3">
      <c r="A144" t="s">
        <v>25</v>
      </c>
      <c r="B144" t="s">
        <v>17</v>
      </c>
      <c r="C144" t="s">
        <v>95</v>
      </c>
      <c r="D144">
        <v>14.45</v>
      </c>
      <c r="E144">
        <v>0</v>
      </c>
      <c r="F144">
        <v>14.45</v>
      </c>
    </row>
    <row r="145" spans="1:7" x14ac:dyDescent="0.3">
      <c r="A145" t="s">
        <v>25</v>
      </c>
      <c r="B145" t="s">
        <v>17</v>
      </c>
      <c r="C145" t="s">
        <v>94</v>
      </c>
      <c r="D145">
        <v>68.77</v>
      </c>
      <c r="E145">
        <v>0</v>
      </c>
      <c r="F145">
        <v>68.77</v>
      </c>
    </row>
    <row r="146" spans="1:7" x14ac:dyDescent="0.3">
      <c r="A146" t="s">
        <v>25</v>
      </c>
      <c r="B146" t="s">
        <v>17</v>
      </c>
      <c r="C146" t="s">
        <v>30</v>
      </c>
      <c r="D146">
        <v>0.16</v>
      </c>
      <c r="E146">
        <v>0</v>
      </c>
      <c r="F146">
        <v>0.16</v>
      </c>
    </row>
    <row r="147" spans="1:7" x14ac:dyDescent="0.3">
      <c r="A147" t="s">
        <v>25</v>
      </c>
      <c r="B147" t="s">
        <v>17</v>
      </c>
      <c r="C147" t="s">
        <v>98</v>
      </c>
      <c r="D147">
        <v>1.89</v>
      </c>
      <c r="E147">
        <v>0</v>
      </c>
      <c r="F147">
        <v>1.89</v>
      </c>
    </row>
    <row r="148" spans="1:7" x14ac:dyDescent="0.3">
      <c r="A148" t="s">
        <v>25</v>
      </c>
      <c r="B148" t="s">
        <v>14</v>
      </c>
      <c r="C148" t="s">
        <v>95</v>
      </c>
      <c r="D148">
        <v>13</v>
      </c>
      <c r="E148">
        <v>0</v>
      </c>
      <c r="F148">
        <v>13</v>
      </c>
      <c r="G148">
        <v>0.7</v>
      </c>
    </row>
    <row r="149" spans="1:7" x14ac:dyDescent="0.3">
      <c r="A149" t="s">
        <v>25</v>
      </c>
      <c r="B149" t="s">
        <v>14</v>
      </c>
      <c r="C149" t="s">
        <v>94</v>
      </c>
      <c r="D149">
        <v>38.96</v>
      </c>
      <c r="E149">
        <v>0</v>
      </c>
      <c r="F149">
        <v>38.96</v>
      </c>
    </row>
    <row r="150" spans="1:7" x14ac:dyDescent="0.3">
      <c r="A150" t="s">
        <v>25</v>
      </c>
      <c r="B150" t="s">
        <v>14</v>
      </c>
      <c r="C150" t="s">
        <v>21</v>
      </c>
      <c r="D150">
        <v>1.2</v>
      </c>
      <c r="E150">
        <v>0</v>
      </c>
      <c r="F150">
        <v>1.2</v>
      </c>
    </row>
    <row r="151" spans="1:7" x14ac:dyDescent="0.3">
      <c r="A151" t="s">
        <v>25</v>
      </c>
      <c r="B151" t="s">
        <v>14</v>
      </c>
      <c r="C151" t="s">
        <v>32</v>
      </c>
      <c r="D151">
        <v>0.27</v>
      </c>
      <c r="E151">
        <v>0</v>
      </c>
      <c r="F151">
        <v>0.27</v>
      </c>
    </row>
    <row r="152" spans="1:7" x14ac:dyDescent="0.3">
      <c r="A152" t="s">
        <v>25</v>
      </c>
      <c r="B152" t="s">
        <v>14</v>
      </c>
      <c r="C152" t="s">
        <v>30</v>
      </c>
      <c r="D152">
        <v>2.74</v>
      </c>
      <c r="E152">
        <v>0</v>
      </c>
      <c r="F152">
        <v>2.74</v>
      </c>
    </row>
    <row r="153" spans="1:7" x14ac:dyDescent="0.3">
      <c r="A153" t="s">
        <v>25</v>
      </c>
      <c r="B153" t="s">
        <v>14</v>
      </c>
      <c r="C153" t="s">
        <v>33</v>
      </c>
      <c r="D153">
        <v>0.62</v>
      </c>
      <c r="E153">
        <v>0</v>
      </c>
      <c r="F153">
        <v>0.62</v>
      </c>
    </row>
    <row r="154" spans="1:7" x14ac:dyDescent="0.3">
      <c r="A154" t="s">
        <v>25</v>
      </c>
      <c r="B154" t="s">
        <v>11</v>
      </c>
      <c r="C154" t="s">
        <v>95</v>
      </c>
      <c r="D154">
        <v>0</v>
      </c>
      <c r="E154">
        <v>0</v>
      </c>
      <c r="F154">
        <v>0</v>
      </c>
    </row>
    <row r="155" spans="1:7" x14ac:dyDescent="0.3">
      <c r="A155" t="s">
        <v>25</v>
      </c>
      <c r="B155" t="s">
        <v>11</v>
      </c>
      <c r="C155" t="s">
        <v>94</v>
      </c>
      <c r="D155">
        <v>25.22</v>
      </c>
      <c r="E155">
        <v>0</v>
      </c>
      <c r="F155">
        <v>25.22</v>
      </c>
    </row>
    <row r="156" spans="1:7" x14ac:dyDescent="0.3">
      <c r="A156" t="s">
        <v>25</v>
      </c>
      <c r="B156" t="s">
        <v>11</v>
      </c>
      <c r="C156" t="s">
        <v>33</v>
      </c>
      <c r="D156">
        <v>9.67</v>
      </c>
      <c r="E156">
        <v>0</v>
      </c>
      <c r="F156">
        <v>9.67</v>
      </c>
    </row>
    <row r="157" spans="1:7" x14ac:dyDescent="0.3">
      <c r="A157" t="s">
        <v>25</v>
      </c>
      <c r="B157" t="s">
        <v>7</v>
      </c>
      <c r="C157" t="s">
        <v>95</v>
      </c>
      <c r="D157">
        <v>0</v>
      </c>
      <c r="E157">
        <v>0</v>
      </c>
      <c r="F157">
        <v>0</v>
      </c>
    </row>
    <row r="158" spans="1:7" x14ac:dyDescent="0.3">
      <c r="A158" t="s">
        <v>25</v>
      </c>
      <c r="B158" t="s">
        <v>7</v>
      </c>
      <c r="C158" t="s">
        <v>94</v>
      </c>
      <c r="D158">
        <v>28.99</v>
      </c>
      <c r="E158">
        <v>0</v>
      </c>
      <c r="F158">
        <v>28.99</v>
      </c>
    </row>
    <row r="159" spans="1:7" x14ac:dyDescent="0.3">
      <c r="A159" t="s">
        <v>58</v>
      </c>
      <c r="B159" t="s">
        <v>24</v>
      </c>
      <c r="C159" t="s">
        <v>95</v>
      </c>
      <c r="D159">
        <v>52.62</v>
      </c>
      <c r="E159">
        <v>0</v>
      </c>
      <c r="F159">
        <v>52.62</v>
      </c>
    </row>
    <row r="160" spans="1:7" x14ac:dyDescent="0.3">
      <c r="A160" t="s">
        <v>58</v>
      </c>
      <c r="B160" t="s">
        <v>24</v>
      </c>
      <c r="C160" t="s">
        <v>71</v>
      </c>
      <c r="D160">
        <v>406.41</v>
      </c>
      <c r="E160">
        <v>406.36</v>
      </c>
      <c r="F160">
        <v>5.0000000000011369E-2</v>
      </c>
    </row>
    <row r="161" spans="1:7" x14ac:dyDescent="0.3">
      <c r="A161" t="s">
        <v>58</v>
      </c>
      <c r="B161" t="s">
        <v>24</v>
      </c>
      <c r="C161" t="s">
        <v>94</v>
      </c>
      <c r="D161">
        <v>31.49</v>
      </c>
      <c r="E161">
        <v>0</v>
      </c>
      <c r="F161">
        <v>31.49</v>
      </c>
    </row>
    <row r="162" spans="1:7" x14ac:dyDescent="0.3">
      <c r="A162" t="s">
        <v>58</v>
      </c>
      <c r="B162" t="s">
        <v>24</v>
      </c>
      <c r="C162" t="s">
        <v>98</v>
      </c>
      <c r="D162">
        <v>407.28</v>
      </c>
      <c r="E162">
        <v>406.36</v>
      </c>
      <c r="F162">
        <v>0.91999999999995907</v>
      </c>
    </row>
    <row r="163" spans="1:7" x14ac:dyDescent="0.3">
      <c r="A163" t="s">
        <v>58</v>
      </c>
      <c r="B163" t="s">
        <v>24</v>
      </c>
      <c r="C163" t="s">
        <v>19</v>
      </c>
      <c r="D163">
        <v>415.06</v>
      </c>
      <c r="E163">
        <v>406.36</v>
      </c>
      <c r="F163">
        <v>8.6999999999999886</v>
      </c>
    </row>
    <row r="164" spans="1:7" x14ac:dyDescent="0.3">
      <c r="A164" t="s">
        <v>58</v>
      </c>
      <c r="B164" t="s">
        <v>17</v>
      </c>
      <c r="C164" t="s">
        <v>95</v>
      </c>
      <c r="D164">
        <v>109.14</v>
      </c>
      <c r="E164">
        <v>0</v>
      </c>
      <c r="F164">
        <v>109.14</v>
      </c>
    </row>
    <row r="165" spans="1:7" x14ac:dyDescent="0.3">
      <c r="A165" t="s">
        <v>58</v>
      </c>
      <c r="B165" t="s">
        <v>17</v>
      </c>
      <c r="C165" t="s">
        <v>94</v>
      </c>
      <c r="D165">
        <v>80.7</v>
      </c>
      <c r="E165">
        <v>0</v>
      </c>
      <c r="F165">
        <v>80.7</v>
      </c>
    </row>
    <row r="166" spans="1:7" x14ac:dyDescent="0.3">
      <c r="A166" t="s">
        <v>58</v>
      </c>
      <c r="B166" t="s">
        <v>17</v>
      </c>
      <c r="C166" t="s">
        <v>47</v>
      </c>
      <c r="D166">
        <v>0.17</v>
      </c>
      <c r="E166">
        <v>0</v>
      </c>
      <c r="F166">
        <v>0.17</v>
      </c>
    </row>
    <row r="167" spans="1:7" x14ac:dyDescent="0.3">
      <c r="A167" t="s">
        <v>58</v>
      </c>
      <c r="B167" t="s">
        <v>17</v>
      </c>
      <c r="C167" t="s">
        <v>98</v>
      </c>
      <c r="D167">
        <v>0.8</v>
      </c>
      <c r="E167">
        <v>0</v>
      </c>
      <c r="F167">
        <v>0.8</v>
      </c>
    </row>
    <row r="168" spans="1:7" x14ac:dyDescent="0.3">
      <c r="A168" t="s">
        <v>58</v>
      </c>
      <c r="B168" t="s">
        <v>17</v>
      </c>
      <c r="C168" t="s">
        <v>19</v>
      </c>
      <c r="D168">
        <v>412.56</v>
      </c>
      <c r="E168">
        <v>406.36</v>
      </c>
      <c r="F168">
        <v>6.1999999999999886</v>
      </c>
    </row>
    <row r="169" spans="1:7" x14ac:dyDescent="0.3">
      <c r="A169" t="s">
        <v>58</v>
      </c>
      <c r="B169" t="s">
        <v>14</v>
      </c>
      <c r="C169" t="s">
        <v>95</v>
      </c>
      <c r="D169">
        <v>35.01</v>
      </c>
      <c r="E169">
        <v>0</v>
      </c>
      <c r="F169">
        <v>35.01</v>
      </c>
    </row>
    <row r="170" spans="1:7" x14ac:dyDescent="0.3">
      <c r="A170" t="s">
        <v>58</v>
      </c>
      <c r="B170" t="s">
        <v>14</v>
      </c>
      <c r="C170" t="s">
        <v>71</v>
      </c>
      <c r="D170">
        <v>406.71</v>
      </c>
      <c r="E170">
        <v>406.36</v>
      </c>
      <c r="F170">
        <v>0.34999999999996589</v>
      </c>
    </row>
    <row r="171" spans="1:7" x14ac:dyDescent="0.3">
      <c r="A171" t="s">
        <v>58</v>
      </c>
      <c r="B171" t="s">
        <v>14</v>
      </c>
      <c r="C171" t="s">
        <v>71</v>
      </c>
      <c r="D171">
        <v>406.37</v>
      </c>
      <c r="E171">
        <v>406.36</v>
      </c>
      <c r="F171">
        <v>9.9999999999909051E-3</v>
      </c>
    </row>
    <row r="172" spans="1:7" x14ac:dyDescent="0.3">
      <c r="A172" t="s">
        <v>58</v>
      </c>
      <c r="B172" t="s">
        <v>14</v>
      </c>
      <c r="C172" t="s">
        <v>94</v>
      </c>
      <c r="D172">
        <v>47.43</v>
      </c>
      <c r="E172">
        <v>0</v>
      </c>
      <c r="F172">
        <v>47.43</v>
      </c>
    </row>
    <row r="173" spans="1:7" x14ac:dyDescent="0.3">
      <c r="A173" t="s">
        <v>58</v>
      </c>
      <c r="B173" t="s">
        <v>11</v>
      </c>
      <c r="C173" t="s">
        <v>95</v>
      </c>
      <c r="D173">
        <v>52.21</v>
      </c>
      <c r="E173">
        <v>0</v>
      </c>
      <c r="F173">
        <v>52.21</v>
      </c>
      <c r="G173">
        <v>2</v>
      </c>
    </row>
    <row r="174" spans="1:7" x14ac:dyDescent="0.3">
      <c r="A174" t="s">
        <v>58</v>
      </c>
      <c r="B174" t="s">
        <v>11</v>
      </c>
      <c r="C174" t="s">
        <v>94</v>
      </c>
      <c r="D174">
        <v>35.71</v>
      </c>
      <c r="E174">
        <v>0</v>
      </c>
      <c r="F174">
        <v>35.71</v>
      </c>
    </row>
    <row r="175" spans="1:7" x14ac:dyDescent="0.3">
      <c r="A175" t="s">
        <v>58</v>
      </c>
      <c r="B175" t="s">
        <v>11</v>
      </c>
      <c r="C175" t="s">
        <v>13</v>
      </c>
      <c r="D175">
        <v>408.75</v>
      </c>
      <c r="E175">
        <v>406.36</v>
      </c>
      <c r="F175">
        <v>2.3899999999999864</v>
      </c>
    </row>
    <row r="176" spans="1:7" x14ac:dyDescent="0.3">
      <c r="A176" t="s">
        <v>58</v>
      </c>
      <c r="B176" t="s">
        <v>11</v>
      </c>
      <c r="C176" t="s">
        <v>55</v>
      </c>
      <c r="D176">
        <v>406.59</v>
      </c>
      <c r="E176">
        <v>406.36</v>
      </c>
      <c r="F176">
        <v>0.22999999999996135</v>
      </c>
    </row>
    <row r="177" spans="1:7" x14ac:dyDescent="0.3">
      <c r="A177" t="s">
        <v>58</v>
      </c>
      <c r="B177" t="s">
        <v>11</v>
      </c>
      <c r="C177" t="s">
        <v>30</v>
      </c>
      <c r="D177">
        <v>406.41</v>
      </c>
      <c r="E177">
        <v>406.36</v>
      </c>
      <c r="F177">
        <v>5.0000000000011369E-2</v>
      </c>
    </row>
    <row r="178" spans="1:7" x14ac:dyDescent="0.3">
      <c r="A178" t="s">
        <v>58</v>
      </c>
      <c r="B178" t="s">
        <v>11</v>
      </c>
      <c r="C178" t="s">
        <v>35</v>
      </c>
      <c r="D178">
        <v>413.87</v>
      </c>
      <c r="E178">
        <v>406.36</v>
      </c>
      <c r="F178">
        <v>7.5099999999999909</v>
      </c>
    </row>
    <row r="179" spans="1:7" x14ac:dyDescent="0.3">
      <c r="A179" t="s">
        <v>58</v>
      </c>
      <c r="B179" t="s">
        <v>7</v>
      </c>
      <c r="C179" t="s">
        <v>95</v>
      </c>
      <c r="D179">
        <v>3.97</v>
      </c>
      <c r="E179">
        <v>0</v>
      </c>
      <c r="F179">
        <v>3.97</v>
      </c>
      <c r="G179">
        <v>0.9</v>
      </c>
    </row>
    <row r="180" spans="1:7" x14ac:dyDescent="0.3">
      <c r="A180" t="s">
        <v>58</v>
      </c>
      <c r="B180" t="s">
        <v>7</v>
      </c>
      <c r="C180" t="s">
        <v>71</v>
      </c>
      <c r="D180">
        <v>406.38</v>
      </c>
      <c r="E180">
        <v>406.36</v>
      </c>
      <c r="F180">
        <v>1.999999999998181E-2</v>
      </c>
    </row>
    <row r="181" spans="1:7" x14ac:dyDescent="0.3">
      <c r="A181" t="s">
        <v>58</v>
      </c>
      <c r="B181" t="s">
        <v>7</v>
      </c>
      <c r="C181" t="s">
        <v>94</v>
      </c>
      <c r="D181">
        <v>31.79</v>
      </c>
      <c r="E181">
        <v>0</v>
      </c>
      <c r="F181">
        <v>31.79</v>
      </c>
    </row>
    <row r="182" spans="1:7" x14ac:dyDescent="0.3">
      <c r="A182" t="s">
        <v>72</v>
      </c>
      <c r="B182" t="s">
        <v>24</v>
      </c>
      <c r="C182" t="s">
        <v>95</v>
      </c>
      <c r="D182">
        <v>68.150000000000006</v>
      </c>
      <c r="E182">
        <v>0</v>
      </c>
      <c r="F182">
        <v>68.150000000000006</v>
      </c>
      <c r="G182">
        <v>2.2999999999999998</v>
      </c>
    </row>
    <row r="183" spans="1:7" x14ac:dyDescent="0.3">
      <c r="A183" t="s">
        <v>72</v>
      </c>
      <c r="B183" t="s">
        <v>24</v>
      </c>
      <c r="C183" t="s">
        <v>94</v>
      </c>
      <c r="D183">
        <v>64.92</v>
      </c>
      <c r="E183">
        <v>0</v>
      </c>
      <c r="F183">
        <v>64.92</v>
      </c>
    </row>
    <row r="184" spans="1:7" x14ac:dyDescent="0.3">
      <c r="A184" t="s">
        <v>72</v>
      </c>
      <c r="B184" t="s">
        <v>17</v>
      </c>
      <c r="C184" t="s">
        <v>95</v>
      </c>
      <c r="D184">
        <v>0.37</v>
      </c>
      <c r="E184">
        <v>0</v>
      </c>
      <c r="F184">
        <v>0.37</v>
      </c>
      <c r="G184">
        <v>1.8</v>
      </c>
    </row>
    <row r="185" spans="1:7" x14ac:dyDescent="0.3">
      <c r="A185" t="s">
        <v>72</v>
      </c>
      <c r="B185" t="s">
        <v>17</v>
      </c>
      <c r="C185" t="s">
        <v>71</v>
      </c>
      <c r="D185">
        <v>406.35</v>
      </c>
      <c r="E185">
        <v>406.36</v>
      </c>
      <c r="F185">
        <v>0</v>
      </c>
    </row>
    <row r="186" spans="1:7" x14ac:dyDescent="0.3">
      <c r="A186" t="s">
        <v>72</v>
      </c>
      <c r="B186" t="s">
        <v>17</v>
      </c>
      <c r="C186" t="s">
        <v>94</v>
      </c>
      <c r="D186">
        <v>39.44</v>
      </c>
      <c r="E186">
        <v>0</v>
      </c>
      <c r="F186">
        <v>39.44</v>
      </c>
    </row>
    <row r="187" spans="1:7" x14ac:dyDescent="0.3">
      <c r="A187" t="s">
        <v>72</v>
      </c>
      <c r="B187" t="s">
        <v>14</v>
      </c>
      <c r="C187" t="s">
        <v>71</v>
      </c>
      <c r="D187">
        <v>406.35</v>
      </c>
      <c r="E187">
        <v>406.36</v>
      </c>
      <c r="F187">
        <v>0</v>
      </c>
    </row>
    <row r="188" spans="1:7" x14ac:dyDescent="0.3">
      <c r="A188" t="s">
        <v>72</v>
      </c>
      <c r="B188" t="s">
        <v>14</v>
      </c>
      <c r="C188" t="s">
        <v>73</v>
      </c>
      <c r="D188">
        <v>407.01</v>
      </c>
      <c r="E188">
        <v>406.36</v>
      </c>
      <c r="F188">
        <v>0.64999999999997726</v>
      </c>
    </row>
    <row r="189" spans="1:7" x14ac:dyDescent="0.3">
      <c r="A189" t="s">
        <v>72</v>
      </c>
      <c r="B189" t="s">
        <v>11</v>
      </c>
      <c r="C189" t="s">
        <v>95</v>
      </c>
      <c r="D189">
        <v>157.94999999999999</v>
      </c>
      <c r="E189">
        <v>0</v>
      </c>
      <c r="F189">
        <v>157.94999999999999</v>
      </c>
      <c r="G189">
        <v>1.7</v>
      </c>
    </row>
    <row r="190" spans="1:7" x14ac:dyDescent="0.3">
      <c r="A190" t="s">
        <v>72</v>
      </c>
      <c r="B190" t="s">
        <v>11</v>
      </c>
      <c r="C190" t="s">
        <v>94</v>
      </c>
      <c r="D190">
        <v>48.73</v>
      </c>
      <c r="E190">
        <v>0</v>
      </c>
      <c r="F190">
        <v>48.73</v>
      </c>
    </row>
    <row r="191" spans="1:7" x14ac:dyDescent="0.3">
      <c r="A191" t="s">
        <v>72</v>
      </c>
      <c r="B191" t="s">
        <v>7</v>
      </c>
      <c r="C191" t="s">
        <v>95</v>
      </c>
      <c r="D191">
        <v>76.900000000000006</v>
      </c>
      <c r="E191">
        <v>0</v>
      </c>
      <c r="F191">
        <v>76.900000000000006</v>
      </c>
    </row>
    <row r="192" spans="1:7" x14ac:dyDescent="0.3">
      <c r="A192" t="s">
        <v>72</v>
      </c>
      <c r="B192" t="s">
        <v>7</v>
      </c>
      <c r="C192" t="s">
        <v>95</v>
      </c>
      <c r="D192">
        <v>108.35</v>
      </c>
      <c r="E192">
        <v>0</v>
      </c>
      <c r="F192">
        <v>108.35</v>
      </c>
      <c r="G192">
        <v>1.9</v>
      </c>
    </row>
    <row r="193" spans="1:7" x14ac:dyDescent="0.3">
      <c r="A193" t="s">
        <v>72</v>
      </c>
      <c r="B193" t="s">
        <v>7</v>
      </c>
      <c r="C193" t="s">
        <v>71</v>
      </c>
      <c r="D193">
        <v>406.39</v>
      </c>
      <c r="E193">
        <v>406.36</v>
      </c>
      <c r="F193">
        <v>2.9999999999972715E-2</v>
      </c>
    </row>
    <row r="194" spans="1:7" x14ac:dyDescent="0.3">
      <c r="A194" t="s">
        <v>72</v>
      </c>
      <c r="B194" t="s">
        <v>7</v>
      </c>
      <c r="C194" t="s">
        <v>94</v>
      </c>
      <c r="D194">
        <v>27.57</v>
      </c>
      <c r="E194">
        <v>0</v>
      </c>
      <c r="F194">
        <v>27.57</v>
      </c>
      <c r="G194">
        <v>2.2999999999999998</v>
      </c>
    </row>
    <row r="195" spans="1:7" x14ac:dyDescent="0.3">
      <c r="A195" t="s">
        <v>72</v>
      </c>
      <c r="B195" t="s">
        <v>7</v>
      </c>
      <c r="C195" t="s">
        <v>94</v>
      </c>
      <c r="D195">
        <v>75.709999999999994</v>
      </c>
      <c r="E195">
        <v>0</v>
      </c>
      <c r="F195">
        <v>75.709999999999994</v>
      </c>
    </row>
    <row r="196" spans="1:7" x14ac:dyDescent="0.3">
      <c r="A196" t="s">
        <v>72</v>
      </c>
      <c r="B196" t="s">
        <v>7</v>
      </c>
      <c r="C196" t="s">
        <v>30</v>
      </c>
      <c r="D196">
        <v>408.04</v>
      </c>
      <c r="E196">
        <v>406.36</v>
      </c>
      <c r="F196">
        <v>1.6800000000000068</v>
      </c>
    </row>
    <row r="197" spans="1:7" x14ac:dyDescent="0.3">
      <c r="A197" t="s">
        <v>72</v>
      </c>
      <c r="B197" t="s">
        <v>7</v>
      </c>
      <c r="C197" t="s">
        <v>29</v>
      </c>
      <c r="D197">
        <v>409.87</v>
      </c>
      <c r="E197">
        <v>406.36</v>
      </c>
      <c r="F197">
        <v>3.5099999999999909</v>
      </c>
    </row>
    <row r="198" spans="1:7" x14ac:dyDescent="0.3">
      <c r="A198" t="s">
        <v>68</v>
      </c>
      <c r="B198" t="s">
        <v>24</v>
      </c>
      <c r="C198" t="s">
        <v>95</v>
      </c>
      <c r="D198">
        <v>0</v>
      </c>
      <c r="E198">
        <v>0</v>
      </c>
      <c r="F198">
        <v>0</v>
      </c>
      <c r="G198">
        <v>0</v>
      </c>
    </row>
    <row r="199" spans="1:7" x14ac:dyDescent="0.3">
      <c r="A199" t="s">
        <v>68</v>
      </c>
      <c r="B199" t="s">
        <v>24</v>
      </c>
      <c r="C199" t="s">
        <v>94</v>
      </c>
      <c r="D199">
        <v>27.6</v>
      </c>
      <c r="E199">
        <v>0</v>
      </c>
      <c r="F199">
        <v>27.6</v>
      </c>
    </row>
    <row r="200" spans="1:7" x14ac:dyDescent="0.3">
      <c r="A200" t="s">
        <v>68</v>
      </c>
      <c r="B200" t="s">
        <v>24</v>
      </c>
      <c r="C200" t="s">
        <v>13</v>
      </c>
      <c r="D200">
        <v>407.98</v>
      </c>
      <c r="E200">
        <v>406.36</v>
      </c>
      <c r="F200">
        <v>1.6200000000000045</v>
      </c>
    </row>
    <row r="201" spans="1:7" x14ac:dyDescent="0.3">
      <c r="A201" t="s">
        <v>68</v>
      </c>
      <c r="B201" t="s">
        <v>24</v>
      </c>
      <c r="C201" t="s">
        <v>8</v>
      </c>
      <c r="D201">
        <v>0.02</v>
      </c>
      <c r="E201">
        <v>0</v>
      </c>
      <c r="F201">
        <v>0.02</v>
      </c>
    </row>
    <row r="202" spans="1:7" x14ac:dyDescent="0.3">
      <c r="A202" t="s">
        <v>68</v>
      </c>
      <c r="B202" t="s">
        <v>24</v>
      </c>
      <c r="C202" t="s">
        <v>33</v>
      </c>
      <c r="D202">
        <v>407.98</v>
      </c>
      <c r="E202">
        <v>406.36</v>
      </c>
      <c r="F202">
        <v>1.6200000000000045</v>
      </c>
    </row>
    <row r="203" spans="1:7" x14ac:dyDescent="0.3">
      <c r="A203" t="s">
        <v>68</v>
      </c>
      <c r="B203" t="s">
        <v>24</v>
      </c>
      <c r="C203" t="s">
        <v>18</v>
      </c>
      <c r="D203">
        <v>435.04</v>
      </c>
      <c r="E203">
        <v>406.36</v>
      </c>
      <c r="F203">
        <v>28.680000000000007</v>
      </c>
    </row>
    <row r="204" spans="1:7" x14ac:dyDescent="0.3">
      <c r="A204" t="s">
        <v>68</v>
      </c>
      <c r="B204" t="s">
        <v>17</v>
      </c>
      <c r="C204" t="s">
        <v>95</v>
      </c>
      <c r="D204">
        <v>2</v>
      </c>
      <c r="E204">
        <v>0</v>
      </c>
      <c r="F204">
        <v>2</v>
      </c>
      <c r="G204">
        <v>1</v>
      </c>
    </row>
    <row r="205" spans="1:7" x14ac:dyDescent="0.3">
      <c r="A205" t="s">
        <v>68</v>
      </c>
      <c r="B205" t="s">
        <v>17</v>
      </c>
      <c r="C205" t="s">
        <v>94</v>
      </c>
      <c r="D205">
        <v>41.85</v>
      </c>
      <c r="E205">
        <v>0</v>
      </c>
      <c r="F205">
        <v>41.85</v>
      </c>
    </row>
    <row r="206" spans="1:7" x14ac:dyDescent="0.3">
      <c r="A206" t="s">
        <v>68</v>
      </c>
      <c r="B206" t="s">
        <v>17</v>
      </c>
      <c r="C206" t="s">
        <v>13</v>
      </c>
      <c r="D206">
        <v>406.91</v>
      </c>
      <c r="E206">
        <v>406.36</v>
      </c>
      <c r="F206">
        <v>0.55000000000001137</v>
      </c>
    </row>
    <row r="207" spans="1:7" x14ac:dyDescent="0.3">
      <c r="A207" t="s">
        <v>68</v>
      </c>
      <c r="B207" t="s">
        <v>17</v>
      </c>
      <c r="C207" t="s">
        <v>55</v>
      </c>
      <c r="D207">
        <v>406.59</v>
      </c>
      <c r="E207">
        <v>406.36</v>
      </c>
      <c r="F207">
        <v>0.22999999999996135</v>
      </c>
    </row>
    <row r="208" spans="1:7" x14ac:dyDescent="0.3">
      <c r="A208" t="s">
        <v>68</v>
      </c>
      <c r="B208" t="s">
        <v>17</v>
      </c>
      <c r="C208" t="s">
        <v>47</v>
      </c>
      <c r="D208">
        <v>407.34</v>
      </c>
      <c r="E208">
        <v>406.36</v>
      </c>
      <c r="F208">
        <v>0.97999999999996135</v>
      </c>
    </row>
    <row r="209" spans="1:7" x14ac:dyDescent="0.3">
      <c r="A209" t="s">
        <v>68</v>
      </c>
      <c r="B209" t="s">
        <v>17</v>
      </c>
      <c r="C209" t="s">
        <v>30</v>
      </c>
      <c r="D209">
        <v>406.49</v>
      </c>
      <c r="E209">
        <v>406.36</v>
      </c>
      <c r="F209">
        <v>0.12999999999999545</v>
      </c>
    </row>
    <row r="210" spans="1:7" x14ac:dyDescent="0.3">
      <c r="A210" t="s">
        <v>68</v>
      </c>
      <c r="B210" t="s">
        <v>17</v>
      </c>
      <c r="C210" t="s">
        <v>8</v>
      </c>
      <c r="D210">
        <v>408.52</v>
      </c>
      <c r="E210">
        <v>406.36</v>
      </c>
      <c r="F210">
        <v>2.1599999999999682</v>
      </c>
    </row>
    <row r="211" spans="1:7" x14ac:dyDescent="0.3">
      <c r="A211" t="s">
        <v>68</v>
      </c>
      <c r="B211" t="s">
        <v>17</v>
      </c>
      <c r="C211" t="s">
        <v>29</v>
      </c>
      <c r="D211">
        <v>406.47</v>
      </c>
      <c r="E211">
        <v>406.36</v>
      </c>
      <c r="F211">
        <v>0.11000000000001364</v>
      </c>
    </row>
    <row r="212" spans="1:7" x14ac:dyDescent="0.3">
      <c r="A212" t="s">
        <v>68</v>
      </c>
      <c r="B212" t="s">
        <v>14</v>
      </c>
      <c r="C212" t="s">
        <v>99</v>
      </c>
      <c r="D212">
        <v>406.58</v>
      </c>
      <c r="E212">
        <v>406.36</v>
      </c>
      <c r="F212">
        <v>0.21999999999997044</v>
      </c>
    </row>
    <row r="213" spans="1:7" x14ac:dyDescent="0.3">
      <c r="A213" t="s">
        <v>68</v>
      </c>
      <c r="B213" t="s">
        <v>14</v>
      </c>
      <c r="C213" t="s">
        <v>95</v>
      </c>
      <c r="D213">
        <v>8</v>
      </c>
      <c r="E213">
        <v>0</v>
      </c>
      <c r="F213">
        <v>8</v>
      </c>
      <c r="G213">
        <v>1.8</v>
      </c>
    </row>
    <row r="214" spans="1:7" x14ac:dyDescent="0.3">
      <c r="A214" t="s">
        <v>68</v>
      </c>
      <c r="B214" t="s">
        <v>14</v>
      </c>
      <c r="C214" t="s">
        <v>94</v>
      </c>
      <c r="D214">
        <v>23.56</v>
      </c>
      <c r="E214">
        <v>0</v>
      </c>
      <c r="F214">
        <v>23.56</v>
      </c>
    </row>
    <row r="215" spans="1:7" x14ac:dyDescent="0.3">
      <c r="A215" t="s">
        <v>68</v>
      </c>
      <c r="B215" t="s">
        <v>14</v>
      </c>
      <c r="C215" t="s">
        <v>33</v>
      </c>
      <c r="D215">
        <v>410.82</v>
      </c>
      <c r="E215">
        <v>406.36</v>
      </c>
      <c r="F215">
        <v>4.4599999999999795</v>
      </c>
    </row>
    <row r="216" spans="1:7" x14ac:dyDescent="0.3">
      <c r="A216" t="s">
        <v>68</v>
      </c>
      <c r="B216" t="s">
        <v>14</v>
      </c>
      <c r="C216" t="s">
        <v>35</v>
      </c>
      <c r="D216">
        <v>411.29</v>
      </c>
      <c r="E216">
        <v>406.36</v>
      </c>
      <c r="F216">
        <v>4.9300000000000068</v>
      </c>
    </row>
    <row r="217" spans="1:7" x14ac:dyDescent="0.3">
      <c r="A217" t="s">
        <v>68</v>
      </c>
      <c r="B217" t="s">
        <v>11</v>
      </c>
      <c r="C217" t="s">
        <v>46</v>
      </c>
      <c r="D217">
        <v>411.93</v>
      </c>
      <c r="E217">
        <v>406.36</v>
      </c>
      <c r="F217">
        <v>5.5699999999999932</v>
      </c>
    </row>
    <row r="218" spans="1:7" x14ac:dyDescent="0.3">
      <c r="A218" t="s">
        <v>68</v>
      </c>
      <c r="B218" t="s">
        <v>11</v>
      </c>
      <c r="C218" t="s">
        <v>95</v>
      </c>
      <c r="D218">
        <v>0</v>
      </c>
      <c r="E218">
        <v>0</v>
      </c>
      <c r="F218">
        <v>0</v>
      </c>
      <c r="G218">
        <v>0</v>
      </c>
    </row>
    <row r="219" spans="1:7" x14ac:dyDescent="0.3">
      <c r="A219" t="s">
        <v>68</v>
      </c>
      <c r="B219" t="s">
        <v>11</v>
      </c>
      <c r="C219" t="s">
        <v>94</v>
      </c>
      <c r="D219">
        <v>17.670000000000002</v>
      </c>
      <c r="E219">
        <v>0</v>
      </c>
      <c r="F219">
        <v>17.670000000000002</v>
      </c>
    </row>
    <row r="220" spans="1:7" x14ac:dyDescent="0.3">
      <c r="A220" t="s">
        <v>68</v>
      </c>
      <c r="B220" t="s">
        <v>11</v>
      </c>
      <c r="C220" t="s">
        <v>30</v>
      </c>
      <c r="D220">
        <v>412.44</v>
      </c>
      <c r="E220">
        <v>407.1</v>
      </c>
      <c r="F220">
        <v>5.339999999999975</v>
      </c>
    </row>
    <row r="221" spans="1:7" x14ac:dyDescent="0.3">
      <c r="A221" t="s">
        <v>68</v>
      </c>
      <c r="B221" t="s">
        <v>11</v>
      </c>
      <c r="C221" t="s">
        <v>33</v>
      </c>
      <c r="D221">
        <v>406.52</v>
      </c>
      <c r="E221">
        <v>406.36</v>
      </c>
      <c r="F221">
        <v>0.15999999999996817</v>
      </c>
    </row>
    <row r="222" spans="1:7" x14ac:dyDescent="0.3">
      <c r="A222" t="s">
        <v>68</v>
      </c>
      <c r="B222" t="s">
        <v>7</v>
      </c>
      <c r="C222" t="s">
        <v>12</v>
      </c>
      <c r="D222">
        <v>407.14</v>
      </c>
      <c r="E222">
        <v>406.36</v>
      </c>
      <c r="F222">
        <v>0.77999999999997272</v>
      </c>
    </row>
    <row r="223" spans="1:7" x14ac:dyDescent="0.3">
      <c r="A223" t="s">
        <v>68</v>
      </c>
      <c r="B223" t="s">
        <v>7</v>
      </c>
      <c r="C223" t="s">
        <v>95</v>
      </c>
      <c r="D223">
        <v>0</v>
      </c>
      <c r="E223">
        <v>0</v>
      </c>
      <c r="F223">
        <v>0</v>
      </c>
      <c r="G223">
        <v>0</v>
      </c>
    </row>
    <row r="224" spans="1:7" x14ac:dyDescent="0.3">
      <c r="A224" t="s">
        <v>68</v>
      </c>
      <c r="B224" t="s">
        <v>7</v>
      </c>
      <c r="C224" t="s">
        <v>94</v>
      </c>
      <c r="D224">
        <v>48.94</v>
      </c>
      <c r="E224">
        <v>0</v>
      </c>
      <c r="F224">
        <v>48.94</v>
      </c>
    </row>
    <row r="225" spans="1:7" x14ac:dyDescent="0.3">
      <c r="A225" t="s">
        <v>68</v>
      </c>
      <c r="B225" t="s">
        <v>7</v>
      </c>
      <c r="C225" t="s">
        <v>55</v>
      </c>
      <c r="D225">
        <v>406.58</v>
      </c>
      <c r="E225">
        <v>406.36</v>
      </c>
      <c r="F225">
        <v>0.21999999999997044</v>
      </c>
    </row>
    <row r="226" spans="1:7" x14ac:dyDescent="0.3">
      <c r="A226" t="s">
        <v>68</v>
      </c>
      <c r="B226" t="s">
        <v>7</v>
      </c>
      <c r="C226" t="s">
        <v>52</v>
      </c>
      <c r="D226">
        <v>2.85</v>
      </c>
      <c r="E226">
        <v>0</v>
      </c>
      <c r="F226">
        <v>2.85</v>
      </c>
    </row>
    <row r="227" spans="1:7" x14ac:dyDescent="0.3">
      <c r="A227" t="s">
        <v>68</v>
      </c>
      <c r="B227" t="s">
        <v>7</v>
      </c>
      <c r="C227" t="s">
        <v>33</v>
      </c>
      <c r="D227">
        <v>408.11</v>
      </c>
      <c r="E227">
        <v>406.36</v>
      </c>
      <c r="F227">
        <v>1.75</v>
      </c>
    </row>
    <row r="228" spans="1:7" x14ac:dyDescent="0.3">
      <c r="A228" t="s">
        <v>68</v>
      </c>
      <c r="B228" t="s">
        <v>7</v>
      </c>
      <c r="C228" t="s">
        <v>29</v>
      </c>
      <c r="D228">
        <v>409.02</v>
      </c>
      <c r="E228">
        <v>406.36</v>
      </c>
      <c r="F228">
        <v>2.6599999999999682</v>
      </c>
    </row>
    <row r="229" spans="1:7" x14ac:dyDescent="0.3">
      <c r="A229" t="s">
        <v>60</v>
      </c>
      <c r="B229" t="s">
        <v>24</v>
      </c>
      <c r="C229" t="s">
        <v>95</v>
      </c>
      <c r="D229">
        <v>0</v>
      </c>
      <c r="E229">
        <v>0</v>
      </c>
      <c r="F229">
        <v>0</v>
      </c>
      <c r="G229">
        <v>0</v>
      </c>
    </row>
    <row r="230" spans="1:7" x14ac:dyDescent="0.3">
      <c r="A230" t="s">
        <v>60</v>
      </c>
      <c r="B230" t="s">
        <v>24</v>
      </c>
      <c r="C230" t="s">
        <v>94</v>
      </c>
      <c r="D230">
        <v>63.54</v>
      </c>
      <c r="E230">
        <v>0</v>
      </c>
      <c r="F230">
        <v>63.54</v>
      </c>
    </row>
    <row r="231" spans="1:7" x14ac:dyDescent="0.3">
      <c r="A231" t="s">
        <v>60</v>
      </c>
      <c r="B231" t="s">
        <v>24</v>
      </c>
      <c r="C231" t="s">
        <v>13</v>
      </c>
      <c r="D231">
        <v>429.89</v>
      </c>
      <c r="E231">
        <v>406.36</v>
      </c>
      <c r="F231">
        <v>23.529999999999973</v>
      </c>
    </row>
    <row r="232" spans="1:7" x14ac:dyDescent="0.3">
      <c r="A232" t="s">
        <v>60</v>
      </c>
      <c r="B232" t="s">
        <v>17</v>
      </c>
      <c r="C232" t="s">
        <v>95</v>
      </c>
      <c r="D232">
        <v>0</v>
      </c>
      <c r="E232">
        <v>0</v>
      </c>
      <c r="F232">
        <v>0</v>
      </c>
      <c r="G232">
        <v>0</v>
      </c>
    </row>
    <row r="233" spans="1:7" x14ac:dyDescent="0.3">
      <c r="A233" t="s">
        <v>60</v>
      </c>
      <c r="B233" t="s">
        <v>17</v>
      </c>
      <c r="C233" t="s">
        <v>94</v>
      </c>
      <c r="D233">
        <v>24.7</v>
      </c>
      <c r="E233">
        <v>0</v>
      </c>
      <c r="F233">
        <v>24.7</v>
      </c>
    </row>
    <row r="234" spans="1:7" x14ac:dyDescent="0.3">
      <c r="A234" t="s">
        <v>60</v>
      </c>
      <c r="B234" t="s">
        <v>17</v>
      </c>
      <c r="C234" t="s">
        <v>13</v>
      </c>
      <c r="D234">
        <v>7.72</v>
      </c>
      <c r="E234">
        <v>0</v>
      </c>
      <c r="F234">
        <v>7.72</v>
      </c>
    </row>
    <row r="235" spans="1:7" x14ac:dyDescent="0.3">
      <c r="A235" t="s">
        <v>60</v>
      </c>
      <c r="B235" t="s">
        <v>14</v>
      </c>
      <c r="C235" t="s">
        <v>95</v>
      </c>
      <c r="D235">
        <v>0</v>
      </c>
      <c r="E235">
        <v>0</v>
      </c>
      <c r="F235">
        <v>0</v>
      </c>
      <c r="G235">
        <v>0</v>
      </c>
    </row>
    <row r="236" spans="1:7" x14ac:dyDescent="0.3">
      <c r="A236" t="s">
        <v>60</v>
      </c>
      <c r="B236" t="s">
        <v>14</v>
      </c>
      <c r="C236" t="s">
        <v>94</v>
      </c>
      <c r="D236">
        <v>52.25</v>
      </c>
      <c r="E236">
        <v>0</v>
      </c>
      <c r="F236">
        <v>52.25</v>
      </c>
    </row>
    <row r="237" spans="1:7" x14ac:dyDescent="0.3">
      <c r="A237" t="s">
        <v>60</v>
      </c>
      <c r="B237" t="s">
        <v>14</v>
      </c>
      <c r="C237" t="s">
        <v>13</v>
      </c>
      <c r="D237">
        <v>25.11</v>
      </c>
      <c r="E237">
        <v>0</v>
      </c>
      <c r="F237">
        <v>25.11</v>
      </c>
    </row>
    <row r="238" spans="1:7" x14ac:dyDescent="0.3">
      <c r="A238" t="s">
        <v>60</v>
      </c>
      <c r="B238" t="s">
        <v>14</v>
      </c>
      <c r="C238" t="s">
        <v>8</v>
      </c>
      <c r="D238">
        <v>409.37</v>
      </c>
      <c r="E238">
        <v>406.36</v>
      </c>
      <c r="F238">
        <v>3.0099999999999909</v>
      </c>
    </row>
    <row r="239" spans="1:7" x14ac:dyDescent="0.3">
      <c r="A239" t="s">
        <v>60</v>
      </c>
      <c r="B239" t="s">
        <v>11</v>
      </c>
      <c r="C239" t="s">
        <v>95</v>
      </c>
      <c r="D239">
        <v>0</v>
      </c>
      <c r="E239">
        <v>0</v>
      </c>
      <c r="F239">
        <v>0</v>
      </c>
      <c r="G239">
        <v>0</v>
      </c>
    </row>
    <row r="240" spans="1:7" x14ac:dyDescent="0.3">
      <c r="A240" t="s">
        <v>60</v>
      </c>
      <c r="B240" t="s">
        <v>11</v>
      </c>
      <c r="C240" t="s">
        <v>94</v>
      </c>
      <c r="D240">
        <v>27.53</v>
      </c>
      <c r="E240">
        <v>0</v>
      </c>
      <c r="F240">
        <v>27.53</v>
      </c>
    </row>
    <row r="241" spans="1:10" x14ac:dyDescent="0.3">
      <c r="A241" t="s">
        <v>60</v>
      </c>
      <c r="B241" t="s">
        <v>11</v>
      </c>
      <c r="C241" t="s">
        <v>13</v>
      </c>
      <c r="D241">
        <v>408.25</v>
      </c>
      <c r="E241">
        <v>406.36</v>
      </c>
      <c r="F241">
        <v>1.8899999999999864</v>
      </c>
    </row>
    <row r="242" spans="1:10" x14ac:dyDescent="0.3">
      <c r="A242" t="s">
        <v>60</v>
      </c>
      <c r="B242" t="s">
        <v>11</v>
      </c>
      <c r="C242" t="s">
        <v>30</v>
      </c>
      <c r="D242">
        <v>407</v>
      </c>
      <c r="E242">
        <v>406.36</v>
      </c>
      <c r="F242">
        <v>0.63999999999998636</v>
      </c>
    </row>
    <row r="243" spans="1:10" x14ac:dyDescent="0.3">
      <c r="A243" t="s">
        <v>60</v>
      </c>
      <c r="B243" t="s">
        <v>11</v>
      </c>
      <c r="C243" t="s">
        <v>33</v>
      </c>
      <c r="D243">
        <v>410.34</v>
      </c>
      <c r="E243">
        <v>406.36</v>
      </c>
      <c r="F243">
        <v>3.9799999999999613</v>
      </c>
    </row>
    <row r="244" spans="1:10" x14ac:dyDescent="0.3">
      <c r="A244" t="s">
        <v>60</v>
      </c>
      <c r="B244" t="s">
        <v>7</v>
      </c>
      <c r="C244" t="s">
        <v>74</v>
      </c>
      <c r="D244">
        <v>412</v>
      </c>
      <c r="E244">
        <v>406.51</v>
      </c>
      <c r="F244">
        <v>5.4900000000000091</v>
      </c>
    </row>
    <row r="245" spans="1:10" x14ac:dyDescent="0.3">
      <c r="A245" t="s">
        <v>60</v>
      </c>
      <c r="B245" t="s">
        <v>7</v>
      </c>
      <c r="C245" t="s">
        <v>95</v>
      </c>
      <c r="D245">
        <v>10.210000000000001</v>
      </c>
      <c r="E245">
        <v>0</v>
      </c>
      <c r="F245">
        <v>10.210000000000001</v>
      </c>
      <c r="G245">
        <v>1.2</v>
      </c>
    </row>
    <row r="246" spans="1:10" x14ac:dyDescent="0.3">
      <c r="A246" t="s">
        <v>60</v>
      </c>
      <c r="B246" t="s">
        <v>7</v>
      </c>
      <c r="C246" t="s">
        <v>94</v>
      </c>
      <c r="D246">
        <v>73.23</v>
      </c>
      <c r="E246">
        <v>0</v>
      </c>
      <c r="F246">
        <v>73.23</v>
      </c>
    </row>
    <row r="247" spans="1:10" x14ac:dyDescent="0.3">
      <c r="A247" t="s">
        <v>60</v>
      </c>
      <c r="B247" t="s">
        <v>7</v>
      </c>
      <c r="C247" t="s">
        <v>13</v>
      </c>
      <c r="D247">
        <v>407.68</v>
      </c>
      <c r="E247">
        <v>406.36</v>
      </c>
      <c r="F247">
        <v>1.3199999999999932</v>
      </c>
    </row>
    <row r="248" spans="1:10" x14ac:dyDescent="0.3">
      <c r="A248" t="s">
        <v>60</v>
      </c>
      <c r="B248" t="s">
        <v>7</v>
      </c>
      <c r="C248" t="s">
        <v>52</v>
      </c>
      <c r="D248">
        <v>409.15</v>
      </c>
      <c r="E248">
        <v>406.36</v>
      </c>
      <c r="F248">
        <v>2.7899999999999636</v>
      </c>
    </row>
    <row r="249" spans="1:10" x14ac:dyDescent="0.3">
      <c r="A249" t="s">
        <v>60</v>
      </c>
      <c r="B249" t="s">
        <v>7</v>
      </c>
      <c r="C249" t="s">
        <v>33</v>
      </c>
      <c r="D249">
        <v>1.68</v>
      </c>
      <c r="E249">
        <v>0</v>
      </c>
      <c r="F249">
        <v>1.68</v>
      </c>
      <c r="H249" t="s">
        <v>102</v>
      </c>
      <c r="I249" t="s">
        <v>103</v>
      </c>
      <c r="J249" t="s">
        <v>104</v>
      </c>
    </row>
    <row r="250" spans="1:10" x14ac:dyDescent="0.3">
      <c r="A250" t="s">
        <v>60</v>
      </c>
      <c r="B250" t="s">
        <v>7</v>
      </c>
      <c r="C250" t="s">
        <v>29</v>
      </c>
      <c r="D250">
        <v>407.95</v>
      </c>
      <c r="E250">
        <v>406.36</v>
      </c>
      <c r="F250">
        <v>1.589999999999975</v>
      </c>
      <c r="H250">
        <f>F229+F232+F235+F239+F245</f>
        <v>10.210000000000001</v>
      </c>
      <c r="I250">
        <f>F230+F233+F236+F240+F246</f>
        <v>241.25</v>
      </c>
      <c r="J250">
        <f>H250+I250</f>
        <v>251.46</v>
      </c>
    </row>
    <row r="251" spans="1:10" x14ac:dyDescent="0.3">
      <c r="A251" t="s">
        <v>59</v>
      </c>
      <c r="B251" t="s">
        <v>24</v>
      </c>
      <c r="C251" t="s">
        <v>95</v>
      </c>
      <c r="D251">
        <v>0</v>
      </c>
      <c r="E251">
        <v>0</v>
      </c>
      <c r="F251">
        <v>0</v>
      </c>
      <c r="G251">
        <v>0</v>
      </c>
    </row>
    <row r="252" spans="1:10" x14ac:dyDescent="0.3">
      <c r="A252" t="s">
        <v>59</v>
      </c>
      <c r="B252" t="s">
        <v>24</v>
      </c>
      <c r="C252" t="s">
        <v>94</v>
      </c>
      <c r="D252">
        <v>83.17</v>
      </c>
      <c r="E252">
        <v>0</v>
      </c>
      <c r="F252">
        <v>83.17</v>
      </c>
    </row>
    <row r="253" spans="1:10" x14ac:dyDescent="0.3">
      <c r="A253" t="s">
        <v>59</v>
      </c>
      <c r="B253" t="s">
        <v>24</v>
      </c>
      <c r="C253" t="s">
        <v>8</v>
      </c>
      <c r="D253">
        <v>6.04</v>
      </c>
      <c r="E253">
        <v>0</v>
      </c>
      <c r="F253">
        <v>6.04</v>
      </c>
    </row>
    <row r="254" spans="1:10" x14ac:dyDescent="0.3">
      <c r="A254" t="s">
        <v>59</v>
      </c>
      <c r="B254" t="s">
        <v>24</v>
      </c>
      <c r="C254" t="s">
        <v>29</v>
      </c>
      <c r="D254">
        <v>406.56</v>
      </c>
      <c r="E254">
        <v>406.36</v>
      </c>
      <c r="F254">
        <v>0.19999999999998863</v>
      </c>
    </row>
    <row r="255" spans="1:10" x14ac:dyDescent="0.3">
      <c r="A255" t="s">
        <v>59</v>
      </c>
      <c r="B255" t="s">
        <v>17</v>
      </c>
      <c r="C255" t="s">
        <v>95</v>
      </c>
      <c r="D255">
        <v>5.23</v>
      </c>
      <c r="E255">
        <v>0</v>
      </c>
      <c r="F255">
        <v>5.23</v>
      </c>
      <c r="G255">
        <v>0.6</v>
      </c>
    </row>
    <row r="256" spans="1:10" x14ac:dyDescent="0.3">
      <c r="A256" t="s">
        <v>59</v>
      </c>
      <c r="B256" t="s">
        <v>17</v>
      </c>
      <c r="C256" t="s">
        <v>94</v>
      </c>
      <c r="D256">
        <v>85.96</v>
      </c>
      <c r="E256">
        <v>0</v>
      </c>
      <c r="F256">
        <v>85.96</v>
      </c>
    </row>
    <row r="257" spans="1:10" x14ac:dyDescent="0.3">
      <c r="A257" t="s">
        <v>59</v>
      </c>
      <c r="B257" t="s">
        <v>14</v>
      </c>
      <c r="C257" t="s">
        <v>95</v>
      </c>
      <c r="D257">
        <v>2.11</v>
      </c>
      <c r="E257">
        <v>0</v>
      </c>
      <c r="F257">
        <v>2.11</v>
      </c>
      <c r="G257">
        <v>0.7</v>
      </c>
    </row>
    <row r="258" spans="1:10" x14ac:dyDescent="0.3">
      <c r="A258" t="s">
        <v>59</v>
      </c>
      <c r="B258" t="s">
        <v>14</v>
      </c>
      <c r="C258" t="s">
        <v>94</v>
      </c>
      <c r="D258">
        <v>83.78</v>
      </c>
      <c r="E258">
        <v>0</v>
      </c>
      <c r="F258">
        <v>83.78</v>
      </c>
    </row>
    <row r="259" spans="1:10" x14ac:dyDescent="0.3">
      <c r="A259" t="s">
        <v>59</v>
      </c>
      <c r="B259" t="s">
        <v>14</v>
      </c>
      <c r="C259" t="s">
        <v>29</v>
      </c>
      <c r="D259">
        <v>406.66</v>
      </c>
      <c r="E259">
        <v>406.36</v>
      </c>
      <c r="F259">
        <v>0.30000000000001137</v>
      </c>
    </row>
    <row r="260" spans="1:10" x14ac:dyDescent="0.3">
      <c r="A260" t="s">
        <v>59</v>
      </c>
      <c r="B260" t="s">
        <v>11</v>
      </c>
      <c r="C260" t="s">
        <v>95</v>
      </c>
      <c r="D260">
        <v>5.62</v>
      </c>
      <c r="E260">
        <v>0</v>
      </c>
      <c r="F260">
        <v>5.62</v>
      </c>
      <c r="G260">
        <v>0.8</v>
      </c>
    </row>
    <row r="261" spans="1:10" x14ac:dyDescent="0.3">
      <c r="A261" t="s">
        <v>59</v>
      </c>
      <c r="B261" t="s">
        <v>11</v>
      </c>
      <c r="C261" t="s">
        <v>94</v>
      </c>
      <c r="D261">
        <v>69.44</v>
      </c>
      <c r="E261">
        <v>0</v>
      </c>
      <c r="F261">
        <v>69.44</v>
      </c>
    </row>
    <row r="262" spans="1:10" x14ac:dyDescent="0.3">
      <c r="A262" t="s">
        <v>59</v>
      </c>
      <c r="B262" t="s">
        <v>7</v>
      </c>
      <c r="C262" t="s">
        <v>95</v>
      </c>
      <c r="D262">
        <v>1.4</v>
      </c>
      <c r="E262">
        <v>0</v>
      </c>
      <c r="F262">
        <v>1.4</v>
      </c>
      <c r="G262">
        <v>0.6</v>
      </c>
    </row>
    <row r="263" spans="1:10" x14ac:dyDescent="0.3">
      <c r="A263" t="s">
        <v>59</v>
      </c>
      <c r="B263" t="s">
        <v>7</v>
      </c>
      <c r="C263" t="s">
        <v>94</v>
      </c>
      <c r="D263">
        <v>86.21</v>
      </c>
      <c r="E263">
        <v>0</v>
      </c>
      <c r="F263">
        <v>86.21</v>
      </c>
      <c r="H263">
        <f>F251+F255+F257+F260+F262</f>
        <v>14.360000000000001</v>
      </c>
      <c r="I263">
        <f>F252+F256+F258+F261+F263</f>
        <v>408.56</v>
      </c>
      <c r="J263">
        <f>H263+I263</f>
        <v>422.92</v>
      </c>
    </row>
    <row r="264" spans="1:10" x14ac:dyDescent="0.3">
      <c r="A264" t="s">
        <v>26</v>
      </c>
      <c r="B264" t="s">
        <v>24</v>
      </c>
      <c r="C264" t="s">
        <v>13</v>
      </c>
      <c r="D264">
        <v>40.47</v>
      </c>
      <c r="E264">
        <v>0</v>
      </c>
      <c r="F264">
        <v>40.47</v>
      </c>
    </row>
    <row r="265" spans="1:10" x14ac:dyDescent="0.3">
      <c r="A265" t="s">
        <v>26</v>
      </c>
      <c r="B265" t="s">
        <v>17</v>
      </c>
      <c r="C265" t="s">
        <v>13</v>
      </c>
      <c r="D265">
        <v>470.94</v>
      </c>
      <c r="E265">
        <v>406.36</v>
      </c>
      <c r="F265">
        <v>64.579999999999984</v>
      </c>
    </row>
    <row r="266" spans="1:10" x14ac:dyDescent="0.3">
      <c r="A266" t="s">
        <v>26</v>
      </c>
      <c r="B266" t="s">
        <v>14</v>
      </c>
      <c r="C266" t="s">
        <v>94</v>
      </c>
      <c r="D266">
        <v>95.18</v>
      </c>
      <c r="E266">
        <v>0</v>
      </c>
      <c r="F266">
        <v>95.18</v>
      </c>
    </row>
    <row r="267" spans="1:10" x14ac:dyDescent="0.3">
      <c r="A267" t="s">
        <v>26</v>
      </c>
      <c r="B267" t="s">
        <v>14</v>
      </c>
      <c r="C267" t="s">
        <v>13</v>
      </c>
      <c r="D267">
        <v>418.73</v>
      </c>
      <c r="E267">
        <v>406.36</v>
      </c>
      <c r="F267">
        <v>12.370000000000005</v>
      </c>
    </row>
    <row r="268" spans="1:10" x14ac:dyDescent="0.3">
      <c r="A268" t="s">
        <v>26</v>
      </c>
      <c r="B268" t="s">
        <v>14</v>
      </c>
      <c r="C268" t="s">
        <v>8</v>
      </c>
      <c r="D268">
        <v>43.3</v>
      </c>
      <c r="E268">
        <v>0</v>
      </c>
      <c r="F268">
        <v>43.3</v>
      </c>
    </row>
    <row r="269" spans="1:10" x14ac:dyDescent="0.3">
      <c r="A269" t="s">
        <v>26</v>
      </c>
      <c r="B269" t="s">
        <v>11</v>
      </c>
      <c r="C269" t="s">
        <v>13</v>
      </c>
      <c r="D269">
        <v>411.33</v>
      </c>
      <c r="E269">
        <v>406.36</v>
      </c>
      <c r="F269">
        <v>4.9699999999999704</v>
      </c>
    </row>
    <row r="270" spans="1:10" x14ac:dyDescent="0.3">
      <c r="A270" t="s">
        <v>26</v>
      </c>
      <c r="B270" t="s">
        <v>11</v>
      </c>
      <c r="C270" t="s">
        <v>8</v>
      </c>
      <c r="D270">
        <v>60.17</v>
      </c>
      <c r="E270">
        <v>0</v>
      </c>
      <c r="F270">
        <v>60.17</v>
      </c>
    </row>
    <row r="271" spans="1:10" x14ac:dyDescent="0.3">
      <c r="A271" t="s">
        <v>26</v>
      </c>
      <c r="B271" t="s">
        <v>7</v>
      </c>
      <c r="C271" t="s">
        <v>8</v>
      </c>
      <c r="D271">
        <v>450.21</v>
      </c>
      <c r="E271">
        <v>406.36</v>
      </c>
      <c r="F271">
        <v>43.849999999999966</v>
      </c>
    </row>
    <row r="272" spans="1:10" x14ac:dyDescent="0.3">
      <c r="A272" t="s">
        <v>26</v>
      </c>
      <c r="B272" t="s">
        <v>7</v>
      </c>
      <c r="C272" t="s">
        <v>29</v>
      </c>
      <c r="D272">
        <v>410</v>
      </c>
      <c r="E272">
        <v>406.36</v>
      </c>
      <c r="F272">
        <v>3.6399999999999864</v>
      </c>
    </row>
    <row r="273" spans="1:7" x14ac:dyDescent="0.3">
      <c r="A273" t="s">
        <v>82</v>
      </c>
      <c r="B273" t="s">
        <v>24</v>
      </c>
      <c r="C273" t="s">
        <v>95</v>
      </c>
      <c r="D273">
        <v>0</v>
      </c>
      <c r="E273">
        <v>0</v>
      </c>
      <c r="F273">
        <v>0</v>
      </c>
      <c r="G273">
        <v>0</v>
      </c>
    </row>
    <row r="274" spans="1:7" x14ac:dyDescent="0.3">
      <c r="A274" t="s">
        <v>82</v>
      </c>
      <c r="B274" t="s">
        <v>24</v>
      </c>
      <c r="C274" t="s">
        <v>94</v>
      </c>
      <c r="D274">
        <v>129.51</v>
      </c>
      <c r="E274">
        <v>0</v>
      </c>
      <c r="F274">
        <v>129.51</v>
      </c>
    </row>
    <row r="275" spans="1:7" x14ac:dyDescent="0.3">
      <c r="A275" t="s">
        <v>82</v>
      </c>
      <c r="B275" t="s">
        <v>24</v>
      </c>
      <c r="C275" t="s">
        <v>13</v>
      </c>
      <c r="D275">
        <v>420.4</v>
      </c>
      <c r="E275">
        <v>406.36</v>
      </c>
      <c r="F275">
        <v>14.039999999999964</v>
      </c>
    </row>
    <row r="276" spans="1:7" x14ac:dyDescent="0.3">
      <c r="A276" t="s">
        <v>82</v>
      </c>
      <c r="B276" t="s">
        <v>24</v>
      </c>
      <c r="C276" t="s">
        <v>8</v>
      </c>
      <c r="D276">
        <v>408.34</v>
      </c>
      <c r="E276">
        <v>406.36</v>
      </c>
      <c r="F276">
        <v>1.9799999999999613</v>
      </c>
    </row>
    <row r="277" spans="1:7" x14ac:dyDescent="0.3">
      <c r="A277" t="s">
        <v>82</v>
      </c>
      <c r="B277" t="s">
        <v>24</v>
      </c>
      <c r="C277" t="s">
        <v>29</v>
      </c>
      <c r="D277">
        <v>407.25</v>
      </c>
      <c r="E277">
        <v>406.36</v>
      </c>
      <c r="F277">
        <v>0.88999999999998636</v>
      </c>
    </row>
    <row r="278" spans="1:7" x14ac:dyDescent="0.3">
      <c r="A278" t="s">
        <v>82</v>
      </c>
      <c r="B278" t="s">
        <v>17</v>
      </c>
      <c r="C278" t="s">
        <v>95</v>
      </c>
      <c r="D278">
        <v>7.3</v>
      </c>
      <c r="E278">
        <v>0</v>
      </c>
      <c r="F278">
        <v>7.3</v>
      </c>
      <c r="G278">
        <v>1</v>
      </c>
    </row>
    <row r="279" spans="1:7" x14ac:dyDescent="0.3">
      <c r="A279" t="s">
        <v>82</v>
      </c>
      <c r="B279" t="s">
        <v>17</v>
      </c>
      <c r="C279" t="s">
        <v>94</v>
      </c>
      <c r="D279">
        <v>80.25</v>
      </c>
      <c r="E279">
        <v>0</v>
      </c>
      <c r="F279">
        <v>80.25</v>
      </c>
    </row>
    <row r="280" spans="1:7" x14ac:dyDescent="0.3">
      <c r="A280" t="s">
        <v>82</v>
      </c>
      <c r="B280" t="s">
        <v>17</v>
      </c>
      <c r="C280" t="s">
        <v>8</v>
      </c>
      <c r="D280">
        <v>418.17</v>
      </c>
      <c r="E280">
        <v>406.36</v>
      </c>
      <c r="F280">
        <v>11.810000000000002</v>
      </c>
    </row>
    <row r="281" spans="1:7" x14ac:dyDescent="0.3">
      <c r="A281" t="s">
        <v>82</v>
      </c>
      <c r="B281" t="s">
        <v>17</v>
      </c>
      <c r="C281" t="s">
        <v>29</v>
      </c>
      <c r="D281">
        <v>408.6</v>
      </c>
      <c r="E281">
        <v>406.36</v>
      </c>
      <c r="F281">
        <v>2.2400000000000091</v>
      </c>
    </row>
    <row r="282" spans="1:7" x14ac:dyDescent="0.3">
      <c r="A282" t="s">
        <v>82</v>
      </c>
      <c r="B282" t="s">
        <v>14</v>
      </c>
      <c r="C282" t="s">
        <v>95</v>
      </c>
      <c r="D282">
        <v>0</v>
      </c>
      <c r="E282">
        <v>0</v>
      </c>
      <c r="F282">
        <v>0</v>
      </c>
      <c r="G282">
        <v>0</v>
      </c>
    </row>
    <row r="283" spans="1:7" x14ac:dyDescent="0.3">
      <c r="A283" t="s">
        <v>82</v>
      </c>
      <c r="B283" t="s">
        <v>14</v>
      </c>
      <c r="C283" t="s">
        <v>94</v>
      </c>
      <c r="D283">
        <v>74.41</v>
      </c>
      <c r="E283">
        <v>0</v>
      </c>
      <c r="F283">
        <v>74.41</v>
      </c>
    </row>
    <row r="284" spans="1:7" x14ac:dyDescent="0.3">
      <c r="A284" t="s">
        <v>82</v>
      </c>
      <c r="B284" t="s">
        <v>14</v>
      </c>
      <c r="C284" t="s">
        <v>13</v>
      </c>
      <c r="D284">
        <v>411.39</v>
      </c>
      <c r="E284">
        <v>406.36</v>
      </c>
      <c r="F284">
        <v>5.0299999999999727</v>
      </c>
    </row>
    <row r="285" spans="1:7" x14ac:dyDescent="0.3">
      <c r="A285" t="s">
        <v>82</v>
      </c>
      <c r="B285" t="s">
        <v>14</v>
      </c>
      <c r="C285" t="s">
        <v>8</v>
      </c>
      <c r="D285">
        <v>407.28</v>
      </c>
      <c r="E285">
        <v>406.36</v>
      </c>
      <c r="F285">
        <v>0.91999999999995907</v>
      </c>
    </row>
    <row r="286" spans="1:7" x14ac:dyDescent="0.3">
      <c r="A286" t="s">
        <v>82</v>
      </c>
      <c r="B286" t="s">
        <v>14</v>
      </c>
      <c r="C286" t="s">
        <v>29</v>
      </c>
      <c r="D286">
        <v>417.56</v>
      </c>
      <c r="E286">
        <v>406.36</v>
      </c>
      <c r="F286">
        <v>11.199999999999989</v>
      </c>
    </row>
    <row r="287" spans="1:7" x14ac:dyDescent="0.3">
      <c r="A287" t="s">
        <v>82</v>
      </c>
      <c r="B287" t="s">
        <v>11</v>
      </c>
      <c r="C287" t="s">
        <v>95</v>
      </c>
      <c r="D287">
        <v>0</v>
      </c>
      <c r="E287">
        <v>0</v>
      </c>
      <c r="F287">
        <v>0</v>
      </c>
      <c r="G287">
        <v>0</v>
      </c>
    </row>
    <row r="288" spans="1:7" x14ac:dyDescent="0.3">
      <c r="A288" t="s">
        <v>82</v>
      </c>
      <c r="B288" t="s">
        <v>11</v>
      </c>
      <c r="C288" t="s">
        <v>94</v>
      </c>
      <c r="D288">
        <v>35.26</v>
      </c>
      <c r="E288">
        <v>0</v>
      </c>
      <c r="F288">
        <v>35.26</v>
      </c>
    </row>
    <row r="289" spans="1:7" x14ac:dyDescent="0.3">
      <c r="A289" t="s">
        <v>82</v>
      </c>
      <c r="B289" t="s">
        <v>11</v>
      </c>
      <c r="C289" t="s">
        <v>13</v>
      </c>
      <c r="D289">
        <v>455.92</v>
      </c>
      <c r="E289">
        <v>406.36</v>
      </c>
      <c r="F289">
        <v>49.56</v>
      </c>
    </row>
    <row r="290" spans="1:7" x14ac:dyDescent="0.3">
      <c r="A290" t="s">
        <v>82</v>
      </c>
      <c r="B290" t="s">
        <v>7</v>
      </c>
      <c r="C290" t="s">
        <v>95</v>
      </c>
      <c r="D290">
        <v>4.26</v>
      </c>
      <c r="E290">
        <v>0</v>
      </c>
      <c r="F290">
        <v>4.26</v>
      </c>
      <c r="G290">
        <v>0.6</v>
      </c>
    </row>
    <row r="291" spans="1:7" x14ac:dyDescent="0.3">
      <c r="A291" t="s">
        <v>82</v>
      </c>
      <c r="B291" t="s">
        <v>7</v>
      </c>
      <c r="C291" t="s">
        <v>94</v>
      </c>
      <c r="D291">
        <v>43.94</v>
      </c>
      <c r="E291">
        <v>0</v>
      </c>
      <c r="F291">
        <v>43.94</v>
      </c>
    </row>
    <row r="292" spans="1:7" x14ac:dyDescent="0.3">
      <c r="A292" t="s">
        <v>82</v>
      </c>
      <c r="B292" t="s">
        <v>7</v>
      </c>
      <c r="C292" t="s">
        <v>13</v>
      </c>
      <c r="D292">
        <v>408.8</v>
      </c>
      <c r="E292">
        <v>406.36</v>
      </c>
      <c r="F292">
        <v>2.4399999999999977</v>
      </c>
    </row>
    <row r="293" spans="1:7" x14ac:dyDescent="0.3">
      <c r="A293" t="s">
        <v>82</v>
      </c>
      <c r="B293" t="s">
        <v>7</v>
      </c>
      <c r="C293" t="s">
        <v>8</v>
      </c>
      <c r="D293">
        <v>452.13</v>
      </c>
      <c r="E293">
        <v>406.36</v>
      </c>
      <c r="F293">
        <v>45.769999999999982</v>
      </c>
    </row>
    <row r="294" spans="1:7" x14ac:dyDescent="0.3">
      <c r="A294" t="s">
        <v>82</v>
      </c>
      <c r="B294" t="s">
        <v>7</v>
      </c>
      <c r="C294" t="s">
        <v>8</v>
      </c>
      <c r="D294">
        <v>421.11</v>
      </c>
      <c r="E294">
        <v>406.36</v>
      </c>
      <c r="F294">
        <v>14.75</v>
      </c>
    </row>
    <row r="295" spans="1:7" x14ac:dyDescent="0.3">
      <c r="A295" t="s">
        <v>62</v>
      </c>
      <c r="B295" t="s">
        <v>24</v>
      </c>
      <c r="C295" t="s">
        <v>95</v>
      </c>
      <c r="D295">
        <v>0</v>
      </c>
      <c r="E295">
        <v>0</v>
      </c>
      <c r="F295">
        <v>0</v>
      </c>
      <c r="G295">
        <v>0</v>
      </c>
    </row>
    <row r="296" spans="1:7" x14ac:dyDescent="0.3">
      <c r="A296" t="s">
        <v>62</v>
      </c>
      <c r="B296" t="s">
        <v>24</v>
      </c>
      <c r="C296" t="s">
        <v>95</v>
      </c>
      <c r="D296">
        <v>24.88</v>
      </c>
      <c r="E296">
        <v>0</v>
      </c>
      <c r="F296">
        <v>24.88</v>
      </c>
      <c r="G296">
        <v>1.1000000000000001</v>
      </c>
    </row>
    <row r="297" spans="1:7" x14ac:dyDescent="0.3">
      <c r="A297" t="s">
        <v>62</v>
      </c>
      <c r="B297" t="s">
        <v>24</v>
      </c>
      <c r="C297" t="s">
        <v>94</v>
      </c>
      <c r="D297">
        <v>70.62</v>
      </c>
      <c r="E297">
        <v>0</v>
      </c>
      <c r="F297">
        <v>70.62</v>
      </c>
    </row>
    <row r="298" spans="1:7" x14ac:dyDescent="0.3">
      <c r="A298" t="s">
        <v>62</v>
      </c>
      <c r="B298" t="s">
        <v>24</v>
      </c>
      <c r="C298" t="s">
        <v>94</v>
      </c>
      <c r="D298">
        <v>136.56</v>
      </c>
      <c r="E298">
        <v>0</v>
      </c>
      <c r="F298">
        <v>136.56</v>
      </c>
    </row>
    <row r="299" spans="1:7" x14ac:dyDescent="0.3">
      <c r="A299" t="s">
        <v>62</v>
      </c>
      <c r="B299" t="s">
        <v>24</v>
      </c>
      <c r="C299" t="s">
        <v>8</v>
      </c>
      <c r="D299">
        <v>14.07</v>
      </c>
      <c r="E299">
        <v>0</v>
      </c>
      <c r="F299">
        <v>14.07</v>
      </c>
    </row>
    <row r="300" spans="1:7" x14ac:dyDescent="0.3">
      <c r="A300" t="s">
        <v>62</v>
      </c>
      <c r="B300" t="s">
        <v>17</v>
      </c>
      <c r="C300" t="s">
        <v>95</v>
      </c>
      <c r="D300">
        <v>1.1499999999999999</v>
      </c>
      <c r="E300">
        <v>0</v>
      </c>
      <c r="F300">
        <v>1.1499999999999999</v>
      </c>
      <c r="G300">
        <v>0.8</v>
      </c>
    </row>
    <row r="301" spans="1:7" x14ac:dyDescent="0.3">
      <c r="A301" t="s">
        <v>62</v>
      </c>
      <c r="B301" t="s">
        <v>17</v>
      </c>
      <c r="C301" t="s">
        <v>95</v>
      </c>
      <c r="D301">
        <v>0</v>
      </c>
      <c r="E301">
        <v>0</v>
      </c>
      <c r="F301">
        <v>0</v>
      </c>
      <c r="G301">
        <v>0</v>
      </c>
    </row>
    <row r="302" spans="1:7" x14ac:dyDescent="0.3">
      <c r="A302" t="s">
        <v>62</v>
      </c>
      <c r="B302" t="s">
        <v>17</v>
      </c>
      <c r="C302" t="s">
        <v>94</v>
      </c>
      <c r="D302">
        <v>84.16</v>
      </c>
      <c r="E302">
        <v>0</v>
      </c>
      <c r="F302">
        <v>84.16</v>
      </c>
    </row>
    <row r="303" spans="1:7" x14ac:dyDescent="0.3">
      <c r="A303" t="s">
        <v>62</v>
      </c>
      <c r="B303" t="s">
        <v>17</v>
      </c>
      <c r="C303" t="s">
        <v>94</v>
      </c>
      <c r="D303">
        <v>123.55</v>
      </c>
      <c r="E303">
        <v>0</v>
      </c>
      <c r="F303">
        <v>123.55</v>
      </c>
    </row>
    <row r="304" spans="1:7" x14ac:dyDescent="0.3">
      <c r="A304" t="s">
        <v>62</v>
      </c>
      <c r="B304" t="s">
        <v>17</v>
      </c>
      <c r="C304" t="s">
        <v>8</v>
      </c>
      <c r="D304">
        <v>15.37</v>
      </c>
      <c r="E304">
        <v>0</v>
      </c>
      <c r="F304">
        <v>15.37</v>
      </c>
    </row>
    <row r="305" spans="1:7" x14ac:dyDescent="0.3">
      <c r="A305" t="s">
        <v>62</v>
      </c>
      <c r="B305" t="s">
        <v>17</v>
      </c>
      <c r="C305" t="s">
        <v>33</v>
      </c>
      <c r="D305">
        <v>0.08</v>
      </c>
      <c r="E305">
        <v>0</v>
      </c>
      <c r="F305">
        <v>0.08</v>
      </c>
    </row>
    <row r="306" spans="1:7" x14ac:dyDescent="0.3">
      <c r="A306" t="s">
        <v>62</v>
      </c>
      <c r="B306" t="s">
        <v>14</v>
      </c>
      <c r="C306" t="s">
        <v>95</v>
      </c>
      <c r="D306">
        <v>0.75</v>
      </c>
      <c r="E306">
        <v>0</v>
      </c>
      <c r="F306">
        <v>0.75</v>
      </c>
      <c r="G306">
        <v>0.6</v>
      </c>
    </row>
    <row r="307" spans="1:7" x14ac:dyDescent="0.3">
      <c r="A307" t="s">
        <v>62</v>
      </c>
      <c r="B307" t="s">
        <v>14</v>
      </c>
      <c r="C307" t="s">
        <v>94</v>
      </c>
      <c r="D307">
        <v>41.33</v>
      </c>
      <c r="E307">
        <v>0</v>
      </c>
      <c r="F307">
        <v>41.33</v>
      </c>
    </row>
    <row r="308" spans="1:7" x14ac:dyDescent="0.3">
      <c r="A308" t="s">
        <v>62</v>
      </c>
      <c r="B308" t="s">
        <v>14</v>
      </c>
      <c r="C308" t="s">
        <v>13</v>
      </c>
      <c r="D308">
        <v>437.59</v>
      </c>
      <c r="E308">
        <v>406.48</v>
      </c>
      <c r="F308">
        <v>31.109999999999957</v>
      </c>
    </row>
    <row r="309" spans="1:7" x14ac:dyDescent="0.3">
      <c r="A309" t="s">
        <v>62</v>
      </c>
      <c r="B309" t="s">
        <v>14</v>
      </c>
      <c r="C309" t="s">
        <v>13</v>
      </c>
      <c r="D309">
        <v>0.04</v>
      </c>
      <c r="E309">
        <v>0</v>
      </c>
      <c r="F309">
        <v>0.04</v>
      </c>
    </row>
    <row r="310" spans="1:7" x14ac:dyDescent="0.3">
      <c r="A310" t="s">
        <v>62</v>
      </c>
      <c r="B310" t="s">
        <v>14</v>
      </c>
      <c r="C310" t="s">
        <v>8</v>
      </c>
      <c r="D310">
        <v>407.71</v>
      </c>
      <c r="E310">
        <v>406.36</v>
      </c>
      <c r="F310">
        <v>1.3499999999999659</v>
      </c>
    </row>
    <row r="311" spans="1:7" x14ac:dyDescent="0.3">
      <c r="A311" t="s">
        <v>62</v>
      </c>
      <c r="B311" t="s">
        <v>11</v>
      </c>
      <c r="C311" t="s">
        <v>79</v>
      </c>
      <c r="D311">
        <v>5.44</v>
      </c>
      <c r="E311">
        <v>0</v>
      </c>
      <c r="F311">
        <v>5.44</v>
      </c>
    </row>
    <row r="312" spans="1:7" x14ac:dyDescent="0.3">
      <c r="A312" t="s">
        <v>62</v>
      </c>
      <c r="B312" t="s">
        <v>11</v>
      </c>
      <c r="C312" t="s">
        <v>95</v>
      </c>
      <c r="D312">
        <v>1.96</v>
      </c>
      <c r="E312">
        <v>0</v>
      </c>
      <c r="F312">
        <v>1.96</v>
      </c>
      <c r="G312">
        <v>0.6</v>
      </c>
    </row>
    <row r="313" spans="1:7" x14ac:dyDescent="0.3">
      <c r="A313" t="s">
        <v>62</v>
      </c>
      <c r="B313" t="s">
        <v>11</v>
      </c>
      <c r="C313" t="s">
        <v>95</v>
      </c>
      <c r="D313">
        <v>0</v>
      </c>
      <c r="E313">
        <v>0</v>
      </c>
      <c r="F313">
        <v>0</v>
      </c>
      <c r="G313">
        <v>0</v>
      </c>
    </row>
    <row r="314" spans="1:7" x14ac:dyDescent="0.3">
      <c r="A314" t="s">
        <v>62</v>
      </c>
      <c r="B314" t="s">
        <v>11</v>
      </c>
      <c r="C314" t="s">
        <v>94</v>
      </c>
      <c r="D314">
        <v>52.36</v>
      </c>
      <c r="E314">
        <v>0</v>
      </c>
      <c r="F314">
        <v>52.36</v>
      </c>
    </row>
    <row r="315" spans="1:7" x14ac:dyDescent="0.3">
      <c r="A315" t="s">
        <v>62</v>
      </c>
      <c r="B315" t="s">
        <v>11</v>
      </c>
      <c r="C315" t="s">
        <v>94</v>
      </c>
      <c r="D315">
        <v>87.38</v>
      </c>
      <c r="E315">
        <v>0</v>
      </c>
      <c r="F315">
        <v>87.38</v>
      </c>
    </row>
    <row r="316" spans="1:7" x14ac:dyDescent="0.3">
      <c r="A316" t="s">
        <v>62</v>
      </c>
      <c r="B316" t="s">
        <v>11</v>
      </c>
      <c r="C316" t="s">
        <v>13</v>
      </c>
      <c r="D316">
        <v>7.39</v>
      </c>
      <c r="E316">
        <v>0</v>
      </c>
      <c r="F316">
        <v>7.39</v>
      </c>
    </row>
    <row r="317" spans="1:7" x14ac:dyDescent="0.3">
      <c r="A317" t="s">
        <v>62</v>
      </c>
      <c r="B317" t="s">
        <v>11</v>
      </c>
      <c r="C317" t="s">
        <v>80</v>
      </c>
      <c r="D317">
        <v>5.43</v>
      </c>
      <c r="E317">
        <v>0</v>
      </c>
      <c r="F317">
        <v>5.43</v>
      </c>
    </row>
    <row r="318" spans="1:7" x14ac:dyDescent="0.3">
      <c r="A318" t="s">
        <v>62</v>
      </c>
      <c r="B318" t="s">
        <v>7</v>
      </c>
      <c r="C318" t="s">
        <v>95</v>
      </c>
      <c r="D318">
        <v>2.31</v>
      </c>
      <c r="E318">
        <v>0</v>
      </c>
      <c r="F318">
        <v>2.31</v>
      </c>
      <c r="G318">
        <v>0.7</v>
      </c>
    </row>
    <row r="319" spans="1:7" x14ac:dyDescent="0.3">
      <c r="A319" t="s">
        <v>62</v>
      </c>
      <c r="B319" t="s">
        <v>7</v>
      </c>
      <c r="C319" t="s">
        <v>95</v>
      </c>
      <c r="D319">
        <v>45.54</v>
      </c>
      <c r="E319">
        <v>0</v>
      </c>
      <c r="F319">
        <v>45.54</v>
      </c>
      <c r="G319">
        <v>2.2999999999999998</v>
      </c>
    </row>
    <row r="320" spans="1:7" x14ac:dyDescent="0.3">
      <c r="A320" t="s">
        <v>62</v>
      </c>
      <c r="B320" t="s">
        <v>7</v>
      </c>
      <c r="C320" t="s">
        <v>94</v>
      </c>
      <c r="D320">
        <v>52.62</v>
      </c>
      <c r="E320">
        <v>0</v>
      </c>
      <c r="F320">
        <v>52.62</v>
      </c>
    </row>
    <row r="321" spans="1:7" x14ac:dyDescent="0.3">
      <c r="A321" t="s">
        <v>62</v>
      </c>
      <c r="B321" t="s">
        <v>7</v>
      </c>
      <c r="C321" t="s">
        <v>94</v>
      </c>
      <c r="D321">
        <v>71.650000000000006</v>
      </c>
      <c r="E321">
        <v>0</v>
      </c>
      <c r="F321">
        <v>71.650000000000006</v>
      </c>
    </row>
    <row r="322" spans="1:7" x14ac:dyDescent="0.3">
      <c r="A322" t="s">
        <v>62</v>
      </c>
      <c r="B322" t="s">
        <v>7</v>
      </c>
      <c r="C322" t="s">
        <v>80</v>
      </c>
      <c r="D322">
        <v>11.94</v>
      </c>
      <c r="E322">
        <v>0</v>
      </c>
      <c r="F322">
        <v>11.94</v>
      </c>
    </row>
    <row r="323" spans="1:7" x14ac:dyDescent="0.3">
      <c r="A323" t="s">
        <v>62</v>
      </c>
      <c r="B323" t="s">
        <v>7</v>
      </c>
      <c r="C323" t="s">
        <v>8</v>
      </c>
      <c r="D323">
        <v>1.44</v>
      </c>
      <c r="E323">
        <v>0</v>
      </c>
      <c r="F323">
        <v>1.44</v>
      </c>
    </row>
    <row r="324" spans="1:7" x14ac:dyDescent="0.3">
      <c r="A324" t="s">
        <v>62</v>
      </c>
      <c r="B324" t="s">
        <v>7</v>
      </c>
      <c r="C324" t="s">
        <v>29</v>
      </c>
      <c r="D324">
        <v>0.88</v>
      </c>
      <c r="E324">
        <v>0</v>
      </c>
      <c r="F324">
        <v>0.88</v>
      </c>
    </row>
    <row r="325" spans="1:7" x14ac:dyDescent="0.3">
      <c r="A325" t="s">
        <v>62</v>
      </c>
      <c r="B325" t="s">
        <v>7</v>
      </c>
      <c r="C325" t="s">
        <v>101</v>
      </c>
      <c r="D325">
        <v>406.68</v>
      </c>
      <c r="E325">
        <v>406.36</v>
      </c>
      <c r="F325">
        <v>0.31999999999999318</v>
      </c>
    </row>
    <row r="326" spans="1:7" x14ac:dyDescent="0.3">
      <c r="A326" t="s">
        <v>48</v>
      </c>
      <c r="B326" t="s">
        <v>24</v>
      </c>
      <c r="C326" t="s">
        <v>95</v>
      </c>
      <c r="D326">
        <v>1.68</v>
      </c>
      <c r="E326">
        <v>0</v>
      </c>
      <c r="F326">
        <v>1.68</v>
      </c>
      <c r="G326">
        <v>0.6</v>
      </c>
    </row>
    <row r="327" spans="1:7" x14ac:dyDescent="0.3">
      <c r="A327" t="s">
        <v>48</v>
      </c>
      <c r="B327" t="s">
        <v>24</v>
      </c>
      <c r="C327" t="s">
        <v>94</v>
      </c>
      <c r="D327">
        <v>8.15</v>
      </c>
      <c r="E327">
        <v>0</v>
      </c>
      <c r="F327">
        <v>8.15</v>
      </c>
    </row>
    <row r="328" spans="1:7" x14ac:dyDescent="0.3">
      <c r="A328" t="s">
        <v>48</v>
      </c>
      <c r="B328" t="s">
        <v>24</v>
      </c>
      <c r="C328" t="s">
        <v>33</v>
      </c>
      <c r="D328">
        <v>7.48</v>
      </c>
      <c r="E328">
        <v>0</v>
      </c>
      <c r="F328">
        <v>7.48</v>
      </c>
    </row>
    <row r="329" spans="1:7" x14ac:dyDescent="0.3">
      <c r="A329" t="s">
        <v>48</v>
      </c>
      <c r="B329" t="s">
        <v>24</v>
      </c>
      <c r="C329" t="s">
        <v>29</v>
      </c>
      <c r="D329">
        <v>407.23</v>
      </c>
      <c r="E329">
        <v>406.36</v>
      </c>
      <c r="F329">
        <v>0.87000000000000455</v>
      </c>
    </row>
    <row r="330" spans="1:7" x14ac:dyDescent="0.3">
      <c r="A330" t="s">
        <v>48</v>
      </c>
      <c r="B330" t="s">
        <v>24</v>
      </c>
      <c r="C330" t="s">
        <v>50</v>
      </c>
      <c r="D330">
        <v>406.97</v>
      </c>
      <c r="E330">
        <v>406.36</v>
      </c>
      <c r="F330">
        <v>0.61000000000001364</v>
      </c>
    </row>
    <row r="331" spans="1:7" x14ac:dyDescent="0.3">
      <c r="A331" t="s">
        <v>48</v>
      </c>
      <c r="B331" t="s">
        <v>24</v>
      </c>
      <c r="C331" t="s">
        <v>49</v>
      </c>
      <c r="D331">
        <v>407.2</v>
      </c>
      <c r="E331">
        <v>406.36</v>
      </c>
      <c r="F331">
        <v>0.83999999999997499</v>
      </c>
    </row>
    <row r="332" spans="1:7" x14ac:dyDescent="0.3">
      <c r="A332" t="s">
        <v>48</v>
      </c>
      <c r="B332" t="s">
        <v>17</v>
      </c>
      <c r="C332" t="s">
        <v>56</v>
      </c>
      <c r="D332">
        <v>411.28</v>
      </c>
      <c r="E332">
        <v>406.36</v>
      </c>
      <c r="F332">
        <v>4.9199999999999591</v>
      </c>
    </row>
    <row r="333" spans="1:7" x14ac:dyDescent="0.3">
      <c r="A333" t="s">
        <v>48</v>
      </c>
      <c r="B333" t="s">
        <v>17</v>
      </c>
      <c r="C333" t="s">
        <v>95</v>
      </c>
      <c r="D333">
        <v>5.83</v>
      </c>
      <c r="E333">
        <v>0</v>
      </c>
      <c r="F333">
        <v>5.83</v>
      </c>
      <c r="G333">
        <v>0.6</v>
      </c>
    </row>
    <row r="334" spans="1:7" x14ac:dyDescent="0.3">
      <c r="A334" t="s">
        <v>48</v>
      </c>
      <c r="B334" t="s">
        <v>17</v>
      </c>
      <c r="C334" t="s">
        <v>94</v>
      </c>
      <c r="D334">
        <v>11.73</v>
      </c>
      <c r="E334">
        <v>0</v>
      </c>
      <c r="F334">
        <v>11.73</v>
      </c>
    </row>
    <row r="335" spans="1:7" x14ac:dyDescent="0.3">
      <c r="A335" t="s">
        <v>48</v>
      </c>
      <c r="B335" t="s">
        <v>17</v>
      </c>
      <c r="C335" t="s">
        <v>57</v>
      </c>
      <c r="D335">
        <v>421.77</v>
      </c>
      <c r="E335">
        <v>406.36</v>
      </c>
      <c r="F335">
        <v>15.409999999999968</v>
      </c>
    </row>
    <row r="336" spans="1:7" x14ac:dyDescent="0.3">
      <c r="A336" t="s">
        <v>48</v>
      </c>
      <c r="B336" t="s">
        <v>17</v>
      </c>
      <c r="C336" t="s">
        <v>29</v>
      </c>
      <c r="D336">
        <v>411.74</v>
      </c>
      <c r="E336">
        <v>406.36</v>
      </c>
      <c r="F336">
        <v>5.3799999999999955</v>
      </c>
    </row>
    <row r="337" spans="1:7" x14ac:dyDescent="0.3">
      <c r="A337" t="s">
        <v>48</v>
      </c>
      <c r="B337" t="s">
        <v>14</v>
      </c>
      <c r="C337" t="s">
        <v>95</v>
      </c>
      <c r="D337">
        <v>0</v>
      </c>
      <c r="E337">
        <v>0</v>
      </c>
      <c r="F337">
        <v>0</v>
      </c>
      <c r="G337">
        <v>0</v>
      </c>
    </row>
    <row r="338" spans="1:7" x14ac:dyDescent="0.3">
      <c r="A338" t="s">
        <v>48</v>
      </c>
      <c r="B338" t="s">
        <v>14</v>
      </c>
      <c r="C338" t="s">
        <v>94</v>
      </c>
      <c r="D338">
        <v>11.19</v>
      </c>
      <c r="E338">
        <v>0</v>
      </c>
      <c r="F338">
        <v>11.19</v>
      </c>
    </row>
    <row r="339" spans="1:7" x14ac:dyDescent="0.3">
      <c r="A339" t="s">
        <v>48</v>
      </c>
      <c r="B339" t="s">
        <v>14</v>
      </c>
      <c r="C339" t="s">
        <v>52</v>
      </c>
      <c r="D339">
        <v>406.37</v>
      </c>
      <c r="E339">
        <v>406.36</v>
      </c>
      <c r="F339">
        <v>9.9999999999909051E-3</v>
      </c>
    </row>
    <row r="340" spans="1:7" x14ac:dyDescent="0.3">
      <c r="A340" t="s">
        <v>48</v>
      </c>
      <c r="B340" t="s">
        <v>14</v>
      </c>
      <c r="C340" t="s">
        <v>49</v>
      </c>
      <c r="D340">
        <v>406.52</v>
      </c>
      <c r="E340">
        <v>406.36</v>
      </c>
      <c r="F340">
        <v>0.15999999999996817</v>
      </c>
    </row>
    <row r="341" spans="1:7" x14ac:dyDescent="0.3">
      <c r="A341" t="s">
        <v>48</v>
      </c>
      <c r="B341" t="s">
        <v>14</v>
      </c>
      <c r="C341" t="s">
        <v>18</v>
      </c>
      <c r="D341">
        <v>43.02</v>
      </c>
      <c r="E341">
        <v>0</v>
      </c>
      <c r="F341">
        <v>43.02</v>
      </c>
    </row>
    <row r="342" spans="1:7" x14ac:dyDescent="0.3">
      <c r="A342" t="s">
        <v>48</v>
      </c>
      <c r="B342" t="s">
        <v>11</v>
      </c>
      <c r="C342" t="s">
        <v>95</v>
      </c>
      <c r="D342">
        <v>217.67</v>
      </c>
      <c r="E342">
        <v>0</v>
      </c>
      <c r="F342">
        <v>217.67</v>
      </c>
      <c r="G342">
        <v>2</v>
      </c>
    </row>
    <row r="343" spans="1:7" x14ac:dyDescent="0.3">
      <c r="A343" t="s">
        <v>48</v>
      </c>
      <c r="B343" t="s">
        <v>11</v>
      </c>
      <c r="C343" t="s">
        <v>71</v>
      </c>
      <c r="D343">
        <v>406.36</v>
      </c>
      <c r="E343">
        <v>406.36</v>
      </c>
      <c r="F343">
        <v>0</v>
      </c>
    </row>
    <row r="344" spans="1:7" x14ac:dyDescent="0.3">
      <c r="A344" t="s">
        <v>48</v>
      </c>
      <c r="B344" t="s">
        <v>11</v>
      </c>
      <c r="C344" t="s">
        <v>94</v>
      </c>
      <c r="D344">
        <v>25.75</v>
      </c>
      <c r="E344">
        <v>0</v>
      </c>
      <c r="F344">
        <v>25.75</v>
      </c>
    </row>
    <row r="345" spans="1:7" x14ac:dyDescent="0.3">
      <c r="A345" t="s">
        <v>48</v>
      </c>
      <c r="B345" t="s">
        <v>11</v>
      </c>
      <c r="C345" t="s">
        <v>30</v>
      </c>
      <c r="D345">
        <v>406.32</v>
      </c>
      <c r="E345">
        <v>406.36</v>
      </c>
      <c r="F345">
        <v>0</v>
      </c>
    </row>
    <row r="346" spans="1:7" x14ac:dyDescent="0.3">
      <c r="A346" t="s">
        <v>48</v>
      </c>
      <c r="B346" t="s">
        <v>7</v>
      </c>
      <c r="C346" t="s">
        <v>95</v>
      </c>
      <c r="D346">
        <v>317.67</v>
      </c>
      <c r="E346">
        <v>0</v>
      </c>
      <c r="F346">
        <v>317.67</v>
      </c>
      <c r="G346">
        <v>7</v>
      </c>
    </row>
    <row r="347" spans="1:7" x14ac:dyDescent="0.3">
      <c r="A347" t="s">
        <v>48</v>
      </c>
      <c r="B347" t="s">
        <v>7</v>
      </c>
      <c r="C347" t="s">
        <v>94</v>
      </c>
      <c r="D347">
        <v>108.4</v>
      </c>
      <c r="E347">
        <v>0</v>
      </c>
      <c r="F347">
        <v>108.4</v>
      </c>
    </row>
    <row r="348" spans="1:7" x14ac:dyDescent="0.3">
      <c r="A348" t="s">
        <v>27</v>
      </c>
      <c r="B348" t="s">
        <v>24</v>
      </c>
      <c r="C348" t="s">
        <v>46</v>
      </c>
      <c r="D348">
        <v>413.93</v>
      </c>
      <c r="E348">
        <v>406.41</v>
      </c>
      <c r="F348">
        <v>7.5199999999999818</v>
      </c>
    </row>
    <row r="349" spans="1:7" x14ac:dyDescent="0.3">
      <c r="A349" t="s">
        <v>27</v>
      </c>
      <c r="B349" t="s">
        <v>24</v>
      </c>
      <c r="C349" t="s">
        <v>95</v>
      </c>
      <c r="D349">
        <v>6.71</v>
      </c>
      <c r="E349">
        <v>0</v>
      </c>
      <c r="F349">
        <v>6.71</v>
      </c>
      <c r="G349">
        <v>1.2</v>
      </c>
    </row>
    <row r="350" spans="1:7" x14ac:dyDescent="0.3">
      <c r="A350" t="s">
        <v>27</v>
      </c>
      <c r="B350" t="s">
        <v>24</v>
      </c>
      <c r="C350" t="s">
        <v>94</v>
      </c>
      <c r="D350">
        <v>20.93</v>
      </c>
      <c r="E350">
        <v>0</v>
      </c>
      <c r="F350">
        <v>20.93</v>
      </c>
    </row>
    <row r="351" spans="1:7" x14ac:dyDescent="0.3">
      <c r="A351" t="s">
        <v>27</v>
      </c>
      <c r="B351" t="s">
        <v>24</v>
      </c>
      <c r="C351" t="s">
        <v>33</v>
      </c>
      <c r="D351">
        <v>406.68</v>
      </c>
      <c r="E351">
        <v>406.41</v>
      </c>
      <c r="F351">
        <v>0.26999999999998181</v>
      </c>
    </row>
    <row r="352" spans="1:7" x14ac:dyDescent="0.3">
      <c r="A352" t="s">
        <v>27</v>
      </c>
      <c r="B352" t="s">
        <v>24</v>
      </c>
      <c r="C352" t="s">
        <v>29</v>
      </c>
      <c r="D352">
        <v>407.64</v>
      </c>
      <c r="E352">
        <v>406.41</v>
      </c>
      <c r="F352">
        <v>1.2299999999999613</v>
      </c>
    </row>
    <row r="353" spans="1:7" x14ac:dyDescent="0.3">
      <c r="A353" t="s">
        <v>27</v>
      </c>
      <c r="B353" t="s">
        <v>24</v>
      </c>
      <c r="C353" t="s">
        <v>35</v>
      </c>
      <c r="D353">
        <v>406.99</v>
      </c>
      <c r="E353">
        <v>406.41</v>
      </c>
      <c r="F353">
        <v>0.57999999999998408</v>
      </c>
    </row>
    <row r="354" spans="1:7" x14ac:dyDescent="0.3">
      <c r="A354" t="s">
        <v>27</v>
      </c>
      <c r="B354" t="s">
        <v>17</v>
      </c>
      <c r="C354" t="s">
        <v>97</v>
      </c>
      <c r="D354">
        <v>406.49</v>
      </c>
      <c r="E354">
        <v>406.41</v>
      </c>
      <c r="F354">
        <v>7.9999999999984084E-2</v>
      </c>
    </row>
    <row r="355" spans="1:7" x14ac:dyDescent="0.3">
      <c r="A355" t="s">
        <v>27</v>
      </c>
      <c r="B355" t="s">
        <v>17</v>
      </c>
      <c r="C355" t="s">
        <v>54</v>
      </c>
      <c r="D355">
        <v>412.64</v>
      </c>
      <c r="E355">
        <v>406.41</v>
      </c>
      <c r="F355">
        <v>6.2299999999999613</v>
      </c>
    </row>
    <row r="356" spans="1:7" x14ac:dyDescent="0.3">
      <c r="A356" t="s">
        <v>27</v>
      </c>
      <c r="B356" t="s">
        <v>17</v>
      </c>
      <c r="C356" t="s">
        <v>46</v>
      </c>
      <c r="D356">
        <v>409.28</v>
      </c>
      <c r="E356">
        <v>406.41</v>
      </c>
      <c r="F356">
        <v>2.8699999999999477</v>
      </c>
    </row>
    <row r="357" spans="1:7" x14ac:dyDescent="0.3">
      <c r="A357" t="s">
        <v>27</v>
      </c>
      <c r="B357" t="s">
        <v>17</v>
      </c>
      <c r="C357" t="s">
        <v>95</v>
      </c>
      <c r="D357">
        <v>95.51</v>
      </c>
      <c r="E357">
        <v>0</v>
      </c>
      <c r="F357">
        <v>95.51</v>
      </c>
      <c r="G357">
        <v>2.5</v>
      </c>
    </row>
    <row r="358" spans="1:7" x14ac:dyDescent="0.3">
      <c r="A358" t="s">
        <v>27</v>
      </c>
      <c r="B358" t="s">
        <v>17</v>
      </c>
      <c r="C358" t="s">
        <v>94</v>
      </c>
      <c r="D358">
        <v>17.329999999999998</v>
      </c>
      <c r="E358">
        <v>0</v>
      </c>
      <c r="F358">
        <v>17.329999999999998</v>
      </c>
    </row>
    <row r="359" spans="1:7" x14ac:dyDescent="0.3">
      <c r="A359" t="s">
        <v>27</v>
      </c>
      <c r="B359" t="s">
        <v>17</v>
      </c>
      <c r="C359" t="s">
        <v>55</v>
      </c>
      <c r="D359">
        <v>407.82</v>
      </c>
      <c r="E359">
        <v>406.41</v>
      </c>
      <c r="F359">
        <v>1.4099999999999682</v>
      </c>
    </row>
    <row r="360" spans="1:7" x14ac:dyDescent="0.3">
      <c r="A360" t="s">
        <v>27</v>
      </c>
      <c r="B360" t="s">
        <v>17</v>
      </c>
      <c r="C360" t="s">
        <v>47</v>
      </c>
      <c r="D360">
        <v>407.1</v>
      </c>
      <c r="E360">
        <v>406.43</v>
      </c>
      <c r="F360">
        <v>0.67000000000001592</v>
      </c>
    </row>
    <row r="361" spans="1:7" x14ac:dyDescent="0.3">
      <c r="A361" t="s">
        <v>27</v>
      </c>
      <c r="B361" t="s">
        <v>17</v>
      </c>
      <c r="C361" t="s">
        <v>33</v>
      </c>
      <c r="D361">
        <v>414.87</v>
      </c>
      <c r="E361">
        <v>406.41</v>
      </c>
      <c r="F361">
        <v>8.4599999999999795</v>
      </c>
    </row>
    <row r="362" spans="1:7" x14ac:dyDescent="0.3">
      <c r="A362" t="s">
        <v>27</v>
      </c>
      <c r="B362" t="s">
        <v>17</v>
      </c>
      <c r="C362" t="s">
        <v>29</v>
      </c>
      <c r="D362">
        <v>408.89</v>
      </c>
      <c r="E362">
        <v>406.41</v>
      </c>
      <c r="F362">
        <v>2.4799999999999613</v>
      </c>
    </row>
    <row r="363" spans="1:7" x14ac:dyDescent="0.3">
      <c r="A363" t="s">
        <v>27</v>
      </c>
      <c r="B363" t="s">
        <v>14</v>
      </c>
      <c r="C363" t="s">
        <v>46</v>
      </c>
      <c r="D363">
        <v>425.57</v>
      </c>
      <c r="E363">
        <v>406.41</v>
      </c>
      <c r="F363">
        <v>19.159999999999968</v>
      </c>
    </row>
    <row r="364" spans="1:7" x14ac:dyDescent="0.3">
      <c r="A364" t="s">
        <v>27</v>
      </c>
      <c r="B364" t="s">
        <v>14</v>
      </c>
      <c r="C364" t="s">
        <v>95</v>
      </c>
      <c r="D364">
        <v>7.03</v>
      </c>
      <c r="E364">
        <v>0</v>
      </c>
      <c r="F364">
        <v>7.03</v>
      </c>
      <c r="G364">
        <v>0.9</v>
      </c>
    </row>
    <row r="365" spans="1:7" x14ac:dyDescent="0.3">
      <c r="A365" t="s">
        <v>27</v>
      </c>
      <c r="B365" t="s">
        <v>14</v>
      </c>
      <c r="C365" t="s">
        <v>94</v>
      </c>
      <c r="D365">
        <v>11.69</v>
      </c>
      <c r="E365">
        <v>0</v>
      </c>
      <c r="F365">
        <v>11.69</v>
      </c>
    </row>
    <row r="366" spans="1:7" x14ac:dyDescent="0.3">
      <c r="A366" t="s">
        <v>27</v>
      </c>
      <c r="B366" t="s">
        <v>14</v>
      </c>
      <c r="C366" t="s">
        <v>47</v>
      </c>
      <c r="D366">
        <v>420.26</v>
      </c>
      <c r="E366">
        <v>406.79</v>
      </c>
      <c r="F366">
        <v>13.46999999999997</v>
      </c>
    </row>
    <row r="367" spans="1:7" x14ac:dyDescent="0.3">
      <c r="A367" t="s">
        <v>27</v>
      </c>
      <c r="B367" t="s">
        <v>14</v>
      </c>
      <c r="C367" t="s">
        <v>33</v>
      </c>
      <c r="D367">
        <v>411.19</v>
      </c>
      <c r="E367">
        <v>406.41</v>
      </c>
      <c r="F367">
        <v>4.7799999999999727</v>
      </c>
    </row>
    <row r="368" spans="1:7" x14ac:dyDescent="0.3">
      <c r="A368" t="s">
        <v>27</v>
      </c>
      <c r="B368" t="s">
        <v>14</v>
      </c>
      <c r="C368" t="s">
        <v>29</v>
      </c>
      <c r="D368">
        <v>408.32</v>
      </c>
      <c r="E368">
        <v>406.43</v>
      </c>
      <c r="F368">
        <v>1.8899999999999864</v>
      </c>
    </row>
    <row r="369" spans="1:7" x14ac:dyDescent="0.3">
      <c r="A369" t="s">
        <v>27</v>
      </c>
      <c r="B369" t="s">
        <v>14</v>
      </c>
      <c r="C369" t="s">
        <v>35</v>
      </c>
      <c r="D369">
        <v>406.62</v>
      </c>
      <c r="E369">
        <v>406.41</v>
      </c>
      <c r="F369">
        <v>0.20999999999997954</v>
      </c>
    </row>
    <row r="370" spans="1:7" x14ac:dyDescent="0.3">
      <c r="A370" t="s">
        <v>27</v>
      </c>
      <c r="B370" t="s">
        <v>11</v>
      </c>
      <c r="C370" t="s">
        <v>12</v>
      </c>
      <c r="D370">
        <v>406.75</v>
      </c>
      <c r="E370">
        <v>406.41</v>
      </c>
      <c r="F370">
        <v>0.33999999999997499</v>
      </c>
    </row>
    <row r="371" spans="1:7" x14ac:dyDescent="0.3">
      <c r="A371" t="s">
        <v>27</v>
      </c>
      <c r="B371" t="s">
        <v>11</v>
      </c>
      <c r="C371" t="s">
        <v>95</v>
      </c>
      <c r="D371">
        <v>87.25</v>
      </c>
      <c r="E371">
        <v>0</v>
      </c>
      <c r="F371">
        <v>87.25</v>
      </c>
      <c r="G371">
        <v>1.5</v>
      </c>
    </row>
    <row r="372" spans="1:7" x14ac:dyDescent="0.3">
      <c r="A372" t="s">
        <v>27</v>
      </c>
      <c r="B372" t="s">
        <v>11</v>
      </c>
      <c r="C372" t="s">
        <v>94</v>
      </c>
      <c r="D372">
        <v>53.2</v>
      </c>
      <c r="E372">
        <v>0</v>
      </c>
      <c r="F372">
        <v>53.2</v>
      </c>
    </row>
    <row r="373" spans="1:7" x14ac:dyDescent="0.3">
      <c r="A373" t="s">
        <v>27</v>
      </c>
      <c r="B373" t="s">
        <v>11</v>
      </c>
      <c r="C373" t="s">
        <v>35</v>
      </c>
      <c r="D373">
        <v>411.83</v>
      </c>
      <c r="E373">
        <v>406.52</v>
      </c>
      <c r="F373">
        <v>5.3100000000000023</v>
      </c>
    </row>
    <row r="374" spans="1:7" x14ac:dyDescent="0.3">
      <c r="A374" t="s">
        <v>27</v>
      </c>
      <c r="B374" t="s">
        <v>7</v>
      </c>
      <c r="C374" t="s">
        <v>95</v>
      </c>
      <c r="D374">
        <v>219.88</v>
      </c>
      <c r="E374">
        <v>0</v>
      </c>
      <c r="F374">
        <v>219.88</v>
      </c>
      <c r="G374">
        <v>1.5</v>
      </c>
    </row>
    <row r="375" spans="1:7" x14ac:dyDescent="0.3">
      <c r="A375" t="s">
        <v>27</v>
      </c>
      <c r="B375" t="s">
        <v>7</v>
      </c>
      <c r="C375" t="s">
        <v>94</v>
      </c>
      <c r="D375">
        <v>38.270000000000003</v>
      </c>
      <c r="E375">
        <v>0</v>
      </c>
      <c r="F375">
        <v>38.270000000000003</v>
      </c>
    </row>
    <row r="376" spans="1:7" x14ac:dyDescent="0.3">
      <c r="A376" t="s">
        <v>27</v>
      </c>
      <c r="B376" t="s">
        <v>7</v>
      </c>
      <c r="C376" t="s">
        <v>32</v>
      </c>
      <c r="D376">
        <v>412.01</v>
      </c>
      <c r="E376">
        <v>406.41</v>
      </c>
      <c r="F376">
        <v>5.5999999999999659</v>
      </c>
    </row>
    <row r="377" spans="1:7" x14ac:dyDescent="0.3">
      <c r="A377" t="s">
        <v>27</v>
      </c>
      <c r="B377" t="s">
        <v>7</v>
      </c>
      <c r="C377" t="s">
        <v>29</v>
      </c>
      <c r="D377">
        <v>419.37</v>
      </c>
      <c r="E377">
        <v>406.41</v>
      </c>
      <c r="F377">
        <v>12.95999999999998</v>
      </c>
    </row>
    <row r="378" spans="1:7" x14ac:dyDescent="0.3">
      <c r="A378" t="s">
        <v>28</v>
      </c>
      <c r="B378" t="s">
        <v>24</v>
      </c>
      <c r="C378" t="s">
        <v>46</v>
      </c>
      <c r="D378">
        <v>422.68</v>
      </c>
      <c r="E378">
        <v>406.36</v>
      </c>
      <c r="F378">
        <v>16.319999999999993</v>
      </c>
    </row>
    <row r="379" spans="1:7" x14ac:dyDescent="0.3">
      <c r="A379" t="s">
        <v>28</v>
      </c>
      <c r="B379" t="s">
        <v>24</v>
      </c>
      <c r="C379" t="s">
        <v>95</v>
      </c>
      <c r="D379">
        <v>0</v>
      </c>
      <c r="E379">
        <v>0</v>
      </c>
      <c r="F379">
        <v>0</v>
      </c>
      <c r="G379">
        <v>0</v>
      </c>
    </row>
    <row r="380" spans="1:7" x14ac:dyDescent="0.3">
      <c r="A380" t="s">
        <v>28</v>
      </c>
      <c r="B380" t="s">
        <v>24</v>
      </c>
      <c r="C380" t="s">
        <v>94</v>
      </c>
      <c r="D380">
        <v>24.28</v>
      </c>
      <c r="E380">
        <v>0</v>
      </c>
      <c r="F380">
        <v>24.28</v>
      </c>
    </row>
    <row r="381" spans="1:7" x14ac:dyDescent="0.3">
      <c r="A381" t="s">
        <v>28</v>
      </c>
      <c r="B381" t="s">
        <v>24</v>
      </c>
      <c r="C381" t="s">
        <v>47</v>
      </c>
      <c r="D381">
        <v>407.3</v>
      </c>
      <c r="E381">
        <v>406.36</v>
      </c>
      <c r="F381">
        <v>0.93999999999999773</v>
      </c>
    </row>
    <row r="382" spans="1:7" x14ac:dyDescent="0.3">
      <c r="A382" t="s">
        <v>28</v>
      </c>
      <c r="B382" t="s">
        <v>24</v>
      </c>
      <c r="C382" t="s">
        <v>30</v>
      </c>
      <c r="D382">
        <v>406.58</v>
      </c>
      <c r="E382">
        <v>406.36</v>
      </c>
      <c r="F382">
        <v>0.21999999999997044</v>
      </c>
    </row>
    <row r="383" spans="1:7" x14ac:dyDescent="0.3">
      <c r="A383" t="s">
        <v>28</v>
      </c>
      <c r="B383" t="s">
        <v>24</v>
      </c>
      <c r="C383" t="s">
        <v>33</v>
      </c>
      <c r="D383">
        <v>406.38</v>
      </c>
      <c r="E383">
        <v>406.36</v>
      </c>
      <c r="F383">
        <v>1.999999999998181E-2</v>
      </c>
    </row>
    <row r="384" spans="1:7" x14ac:dyDescent="0.3">
      <c r="A384" t="s">
        <v>28</v>
      </c>
      <c r="B384" t="s">
        <v>17</v>
      </c>
      <c r="C384" t="s">
        <v>95</v>
      </c>
      <c r="D384">
        <v>53.27</v>
      </c>
      <c r="E384">
        <v>0</v>
      </c>
      <c r="F384">
        <v>53.27</v>
      </c>
      <c r="G384">
        <v>0.9</v>
      </c>
    </row>
    <row r="385" spans="1:7" x14ac:dyDescent="0.3">
      <c r="A385" t="s">
        <v>28</v>
      </c>
      <c r="B385" t="s">
        <v>17</v>
      </c>
      <c r="C385" t="s">
        <v>94</v>
      </c>
      <c r="D385">
        <v>19.600000000000001</v>
      </c>
      <c r="E385">
        <v>0</v>
      </c>
      <c r="F385">
        <v>19.600000000000001</v>
      </c>
    </row>
    <row r="386" spans="1:7" x14ac:dyDescent="0.3">
      <c r="A386" t="s">
        <v>28</v>
      </c>
      <c r="B386" t="s">
        <v>17</v>
      </c>
      <c r="C386" t="s">
        <v>80</v>
      </c>
      <c r="D386">
        <v>406.65</v>
      </c>
      <c r="E386">
        <v>406.36</v>
      </c>
      <c r="F386">
        <v>0.28999999999996362</v>
      </c>
    </row>
    <row r="387" spans="1:7" x14ac:dyDescent="0.3">
      <c r="A387" t="s">
        <v>28</v>
      </c>
      <c r="B387" t="s">
        <v>14</v>
      </c>
      <c r="C387" t="s">
        <v>12</v>
      </c>
      <c r="D387">
        <v>406.45</v>
      </c>
      <c r="E387">
        <v>406.36</v>
      </c>
      <c r="F387">
        <v>8.9999999999974989E-2</v>
      </c>
    </row>
    <row r="388" spans="1:7" x14ac:dyDescent="0.3">
      <c r="A388" t="s">
        <v>28</v>
      </c>
      <c r="B388" t="s">
        <v>14</v>
      </c>
      <c r="C388" t="s">
        <v>95</v>
      </c>
      <c r="D388">
        <v>10.78</v>
      </c>
      <c r="E388">
        <v>0</v>
      </c>
      <c r="F388">
        <v>10.78</v>
      </c>
      <c r="G388">
        <v>0.6</v>
      </c>
    </row>
    <row r="389" spans="1:7" x14ac:dyDescent="0.3">
      <c r="A389" t="s">
        <v>28</v>
      </c>
      <c r="B389" t="s">
        <v>14</v>
      </c>
      <c r="C389" t="s">
        <v>94</v>
      </c>
      <c r="D389">
        <v>41.65</v>
      </c>
      <c r="E389">
        <v>0</v>
      </c>
      <c r="F389">
        <v>41.65</v>
      </c>
    </row>
    <row r="390" spans="1:7" x14ac:dyDescent="0.3">
      <c r="A390" t="s">
        <v>28</v>
      </c>
      <c r="B390" t="s">
        <v>11</v>
      </c>
      <c r="C390" t="s">
        <v>12</v>
      </c>
      <c r="D390">
        <v>408.16</v>
      </c>
      <c r="E390">
        <v>406.36</v>
      </c>
      <c r="F390">
        <v>1.8000000000000114</v>
      </c>
    </row>
    <row r="391" spans="1:7" x14ac:dyDescent="0.3">
      <c r="A391" t="s">
        <v>28</v>
      </c>
      <c r="B391" t="s">
        <v>11</v>
      </c>
      <c r="C391" t="s">
        <v>45</v>
      </c>
      <c r="D391">
        <v>407.08</v>
      </c>
      <c r="E391">
        <v>406.36</v>
      </c>
      <c r="F391">
        <v>0.71999999999997044</v>
      </c>
    </row>
    <row r="392" spans="1:7" x14ac:dyDescent="0.3">
      <c r="A392" t="s">
        <v>28</v>
      </c>
      <c r="B392" t="s">
        <v>11</v>
      </c>
      <c r="C392" t="s">
        <v>95</v>
      </c>
      <c r="D392">
        <v>0</v>
      </c>
      <c r="E392">
        <v>0</v>
      </c>
      <c r="F392">
        <v>0</v>
      </c>
      <c r="G392">
        <v>0</v>
      </c>
    </row>
    <row r="393" spans="1:7" x14ac:dyDescent="0.3">
      <c r="A393" t="s">
        <v>28</v>
      </c>
      <c r="B393" t="s">
        <v>11</v>
      </c>
      <c r="C393" t="s">
        <v>94</v>
      </c>
      <c r="D393">
        <v>26.1</v>
      </c>
      <c r="E393">
        <v>0</v>
      </c>
      <c r="F393">
        <v>26.1</v>
      </c>
    </row>
    <row r="394" spans="1:7" x14ac:dyDescent="0.3">
      <c r="A394" t="s">
        <v>28</v>
      </c>
      <c r="B394" t="s">
        <v>11</v>
      </c>
      <c r="C394" t="s">
        <v>43</v>
      </c>
      <c r="D394">
        <v>409.1</v>
      </c>
      <c r="E394">
        <v>406.36</v>
      </c>
      <c r="F394">
        <v>2.7400000000000091</v>
      </c>
    </row>
    <row r="395" spans="1:7" x14ac:dyDescent="0.3">
      <c r="A395" t="s">
        <v>28</v>
      </c>
      <c r="B395" t="s">
        <v>11</v>
      </c>
      <c r="C395" t="s">
        <v>41</v>
      </c>
      <c r="D395">
        <v>1.45</v>
      </c>
      <c r="E395">
        <v>0</v>
      </c>
      <c r="F395">
        <v>1.45</v>
      </c>
    </row>
    <row r="396" spans="1:7" x14ac:dyDescent="0.3">
      <c r="A396" t="s">
        <v>28</v>
      </c>
      <c r="B396" t="s">
        <v>7</v>
      </c>
      <c r="C396" t="s">
        <v>46</v>
      </c>
      <c r="D396">
        <v>15.29</v>
      </c>
      <c r="E396">
        <v>0</v>
      </c>
      <c r="F396">
        <v>15.29</v>
      </c>
    </row>
    <row r="397" spans="1:7" x14ac:dyDescent="0.3">
      <c r="A397" t="s">
        <v>28</v>
      </c>
      <c r="B397" t="s">
        <v>7</v>
      </c>
      <c r="C397" t="s">
        <v>95</v>
      </c>
      <c r="D397">
        <v>0</v>
      </c>
      <c r="E397">
        <v>0</v>
      </c>
      <c r="F397">
        <v>0</v>
      </c>
      <c r="G397">
        <v>0</v>
      </c>
    </row>
    <row r="398" spans="1:7" x14ac:dyDescent="0.3">
      <c r="A398" t="s">
        <v>28</v>
      </c>
      <c r="B398" t="s">
        <v>7</v>
      </c>
      <c r="C398" t="s">
        <v>94</v>
      </c>
      <c r="D398">
        <v>22.71</v>
      </c>
      <c r="E398">
        <v>0</v>
      </c>
      <c r="F398">
        <v>22.71</v>
      </c>
    </row>
    <row r="399" spans="1:7" x14ac:dyDescent="0.3">
      <c r="A399" t="s">
        <v>28</v>
      </c>
      <c r="B399" t="s">
        <v>7</v>
      </c>
      <c r="C399" t="s">
        <v>43</v>
      </c>
      <c r="D399">
        <v>407.2</v>
      </c>
      <c r="E399">
        <v>406.36</v>
      </c>
      <c r="F399">
        <v>0.83999999999997499</v>
      </c>
    </row>
  </sheetData>
  <sortState xmlns:xlrd2="http://schemas.microsoft.com/office/spreadsheetml/2017/richdata2" ref="A2:G400">
    <sortCondition ref="A2:A400"/>
    <sortCondition ref="B2:B400"/>
    <sortCondition ref="C2:C40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75B53-A558-49D7-9404-75DE50315E69}">
  <dimension ref="A1:G313"/>
  <sheetViews>
    <sheetView topLeftCell="A107" zoomScale="85" zoomScaleNormal="85" workbookViewId="0">
      <selection activeCell="C129" sqref="C1:C1048576"/>
    </sheetView>
  </sheetViews>
  <sheetFormatPr defaultRowHeight="14.4" x14ac:dyDescent="0.3"/>
  <cols>
    <col min="1" max="1" width="9.44140625" customWidth="1"/>
    <col min="2" max="2" width="20.88671875" customWidth="1"/>
    <col min="3" max="3" width="12.6640625" customWidth="1"/>
    <col min="4" max="4" width="22.44140625" bestFit="1" customWidth="1"/>
    <col min="5" max="5" width="26.88671875" customWidth="1"/>
    <col min="6" max="6" width="16.44140625" bestFit="1" customWidth="1"/>
    <col min="7" max="7" width="17.33203125" customWidth="1"/>
    <col min="8" max="8" width="16.88671875" bestFit="1" customWidth="1"/>
  </cols>
  <sheetData>
    <row r="1" spans="1:7" x14ac:dyDescent="0.3">
      <c r="A1" s="1" t="s">
        <v>78</v>
      </c>
    </row>
    <row r="3" spans="1:7" x14ac:dyDescent="0.3">
      <c r="A3" t="s">
        <v>23</v>
      </c>
      <c r="B3">
        <v>1</v>
      </c>
      <c r="C3" t="s">
        <v>0</v>
      </c>
      <c r="D3" t="s">
        <v>1</v>
      </c>
      <c r="E3" t="s">
        <v>2</v>
      </c>
      <c r="F3" t="s">
        <v>9</v>
      </c>
      <c r="G3" t="s">
        <v>10</v>
      </c>
    </row>
    <row r="4" spans="1:7" x14ac:dyDescent="0.3">
      <c r="A4" t="s">
        <v>22</v>
      </c>
      <c r="B4" s="3">
        <v>44812.916666666664</v>
      </c>
      <c r="C4" t="s">
        <v>20</v>
      </c>
      <c r="D4" t="s">
        <v>11</v>
      </c>
      <c r="E4" t="s">
        <v>21</v>
      </c>
      <c r="F4" t="s">
        <v>42</v>
      </c>
      <c r="G4" s="2">
        <v>7.07</v>
      </c>
    </row>
    <row r="5" spans="1:7" x14ac:dyDescent="0.3">
      <c r="A5" t="s">
        <v>86</v>
      </c>
      <c r="B5" s="3">
        <v>44814.5</v>
      </c>
      <c r="C5" t="s">
        <v>6</v>
      </c>
      <c r="D5" t="s">
        <v>24</v>
      </c>
      <c r="E5" t="s">
        <v>13</v>
      </c>
      <c r="F5" t="s">
        <v>44</v>
      </c>
      <c r="G5" s="2">
        <v>98.7</v>
      </c>
    </row>
    <row r="6" spans="1:7" x14ac:dyDescent="0.3">
      <c r="C6" t="s">
        <v>6</v>
      </c>
      <c r="D6" t="s">
        <v>24</v>
      </c>
      <c r="E6" t="s">
        <v>15</v>
      </c>
      <c r="F6" t="s">
        <v>44</v>
      </c>
      <c r="G6" s="2">
        <v>354.05</v>
      </c>
    </row>
    <row r="7" spans="1:7" x14ac:dyDescent="0.3">
      <c r="C7" t="s">
        <v>6</v>
      </c>
      <c r="D7" t="s">
        <v>17</v>
      </c>
      <c r="E7" t="s">
        <v>13</v>
      </c>
      <c r="F7" t="s">
        <v>44</v>
      </c>
      <c r="G7" s="2">
        <v>44.29</v>
      </c>
    </row>
    <row r="8" spans="1:7" x14ac:dyDescent="0.3">
      <c r="C8" t="s">
        <v>16</v>
      </c>
      <c r="D8" t="s">
        <v>17</v>
      </c>
      <c r="E8" t="s">
        <v>15</v>
      </c>
      <c r="F8" t="s">
        <v>44</v>
      </c>
      <c r="G8" s="2">
        <v>147.76</v>
      </c>
    </row>
    <row r="9" spans="1:7" x14ac:dyDescent="0.3">
      <c r="C9" t="s">
        <v>6</v>
      </c>
      <c r="D9" t="s">
        <v>14</v>
      </c>
      <c r="E9" t="s">
        <v>15</v>
      </c>
      <c r="F9" t="s">
        <v>44</v>
      </c>
      <c r="G9" s="2">
        <v>212.45</v>
      </c>
    </row>
    <row r="10" spans="1:7" x14ac:dyDescent="0.3">
      <c r="C10" t="s">
        <v>6</v>
      </c>
      <c r="D10" t="s">
        <v>11</v>
      </c>
      <c r="E10" t="s">
        <v>12</v>
      </c>
      <c r="F10" t="s">
        <v>42</v>
      </c>
      <c r="G10" s="2">
        <v>6.54</v>
      </c>
    </row>
    <row r="11" spans="1:7" x14ac:dyDescent="0.3">
      <c r="C11" t="s">
        <v>6</v>
      </c>
      <c r="D11" t="s">
        <v>11</v>
      </c>
      <c r="E11" t="s">
        <v>18</v>
      </c>
      <c r="F11" t="s">
        <v>44</v>
      </c>
      <c r="G11" s="2">
        <v>191.32</v>
      </c>
    </row>
    <row r="12" spans="1:7" x14ac:dyDescent="0.3">
      <c r="C12" t="s">
        <v>6</v>
      </c>
      <c r="D12" t="s">
        <v>11</v>
      </c>
      <c r="E12" t="s">
        <v>19</v>
      </c>
      <c r="F12" t="s">
        <v>42</v>
      </c>
      <c r="G12" s="2">
        <v>6.68</v>
      </c>
    </row>
    <row r="13" spans="1:7" x14ac:dyDescent="0.3">
      <c r="C13" t="s">
        <v>6</v>
      </c>
      <c r="D13" t="s">
        <v>11</v>
      </c>
      <c r="E13" t="s">
        <v>15</v>
      </c>
      <c r="F13" t="s">
        <v>44</v>
      </c>
      <c r="G13" s="2">
        <v>171.54</v>
      </c>
    </row>
    <row r="14" spans="1:7" x14ac:dyDescent="0.3">
      <c r="C14" t="s">
        <v>6</v>
      </c>
      <c r="D14" t="s">
        <v>7</v>
      </c>
      <c r="E14" t="s">
        <v>8</v>
      </c>
      <c r="F14" t="s">
        <v>42</v>
      </c>
      <c r="G14" s="2">
        <v>10.55</v>
      </c>
    </row>
    <row r="15" spans="1:7" x14ac:dyDescent="0.3">
      <c r="C15" t="s">
        <v>6</v>
      </c>
      <c r="D15" t="s">
        <v>7</v>
      </c>
      <c r="E15" t="s">
        <v>13</v>
      </c>
      <c r="F15" t="s">
        <v>44</v>
      </c>
      <c r="G15" s="2">
        <v>42.47</v>
      </c>
    </row>
    <row r="16" spans="1:7" x14ac:dyDescent="0.3">
      <c r="C16" t="s">
        <v>6</v>
      </c>
      <c r="D16" t="s">
        <v>7</v>
      </c>
      <c r="E16" t="s">
        <v>18</v>
      </c>
      <c r="F16" t="s">
        <v>42</v>
      </c>
      <c r="G16" s="2">
        <v>8.2100000000000009</v>
      </c>
    </row>
    <row r="17" spans="1:7" x14ac:dyDescent="0.3">
      <c r="C17" t="s">
        <v>6</v>
      </c>
      <c r="D17" t="s">
        <v>7</v>
      </c>
      <c r="E17" t="s">
        <v>15</v>
      </c>
      <c r="F17" t="s">
        <v>44</v>
      </c>
      <c r="G17" s="2">
        <v>200.11</v>
      </c>
    </row>
    <row r="18" spans="1:7" x14ac:dyDescent="0.3">
      <c r="A18" t="s">
        <v>23</v>
      </c>
      <c r="B18">
        <v>2</v>
      </c>
      <c r="C18" t="s">
        <v>20</v>
      </c>
      <c r="D18" t="s">
        <v>24</v>
      </c>
      <c r="E18" t="s">
        <v>33</v>
      </c>
      <c r="F18" t="s">
        <v>42</v>
      </c>
      <c r="G18" s="2">
        <v>9.01</v>
      </c>
    </row>
    <row r="19" spans="1:7" x14ac:dyDescent="0.3">
      <c r="A19" t="s">
        <v>22</v>
      </c>
      <c r="B19" s="3">
        <v>44814.504861111112</v>
      </c>
      <c r="C19" t="s">
        <v>20</v>
      </c>
      <c r="D19" t="s">
        <v>24</v>
      </c>
      <c r="E19" t="s">
        <v>15</v>
      </c>
      <c r="F19" t="s">
        <v>42</v>
      </c>
      <c r="G19" s="2">
        <v>76.67</v>
      </c>
    </row>
    <row r="20" spans="1:7" x14ac:dyDescent="0.3">
      <c r="A20" t="s">
        <v>86</v>
      </c>
      <c r="B20" s="3">
        <v>44816.517361111109</v>
      </c>
      <c r="C20" t="s">
        <v>20</v>
      </c>
      <c r="D20" t="s">
        <v>17</v>
      </c>
      <c r="E20" t="s">
        <v>15</v>
      </c>
      <c r="F20" t="s">
        <v>42</v>
      </c>
      <c r="G20" s="2">
        <v>77.650000000000006</v>
      </c>
    </row>
    <row r="21" spans="1:7" x14ac:dyDescent="0.3">
      <c r="C21" t="s">
        <v>20</v>
      </c>
      <c r="D21" t="s">
        <v>17</v>
      </c>
      <c r="E21" t="s">
        <v>30</v>
      </c>
      <c r="F21" t="s">
        <v>42</v>
      </c>
      <c r="G21" s="2">
        <v>11.02</v>
      </c>
    </row>
    <row r="22" spans="1:7" x14ac:dyDescent="0.3">
      <c r="C22" t="s">
        <v>20</v>
      </c>
      <c r="D22" t="s">
        <v>17</v>
      </c>
      <c r="E22" t="s">
        <v>34</v>
      </c>
      <c r="F22" t="s">
        <v>42</v>
      </c>
      <c r="G22" s="2">
        <v>6.55</v>
      </c>
    </row>
    <row r="23" spans="1:7" x14ac:dyDescent="0.3">
      <c r="C23" t="s">
        <v>20</v>
      </c>
      <c r="D23" t="s">
        <v>17</v>
      </c>
      <c r="E23" t="s">
        <v>33</v>
      </c>
      <c r="F23" t="s">
        <v>42</v>
      </c>
      <c r="G23" s="2">
        <v>17.39</v>
      </c>
    </row>
    <row r="24" spans="1:7" x14ac:dyDescent="0.3">
      <c r="C24" t="s">
        <v>20</v>
      </c>
      <c r="D24" t="s">
        <v>14</v>
      </c>
      <c r="E24" t="s">
        <v>33</v>
      </c>
      <c r="F24" t="s">
        <v>42</v>
      </c>
      <c r="G24" s="2">
        <v>12.53</v>
      </c>
    </row>
    <row r="25" spans="1:7" x14ac:dyDescent="0.3">
      <c r="C25" t="s">
        <v>20</v>
      </c>
      <c r="D25" t="s">
        <v>14</v>
      </c>
      <c r="E25" t="s">
        <v>15</v>
      </c>
      <c r="F25" t="s">
        <v>42</v>
      </c>
      <c r="G25" s="2">
        <v>40.270000000000003</v>
      </c>
    </row>
    <row r="26" spans="1:7" x14ac:dyDescent="0.3">
      <c r="C26" t="s">
        <v>20</v>
      </c>
      <c r="D26" t="s">
        <v>11</v>
      </c>
      <c r="E26" t="s">
        <v>19</v>
      </c>
      <c r="F26" t="s">
        <v>42</v>
      </c>
      <c r="G26" s="2">
        <v>7.26</v>
      </c>
    </row>
    <row r="27" spans="1:7" x14ac:dyDescent="0.3">
      <c r="C27" t="s">
        <v>20</v>
      </c>
      <c r="D27" t="s">
        <v>11</v>
      </c>
      <c r="E27" t="s">
        <v>35</v>
      </c>
      <c r="F27" t="s">
        <v>42</v>
      </c>
      <c r="G27" s="2">
        <v>8.23</v>
      </c>
    </row>
    <row r="28" spans="1:7" x14ac:dyDescent="0.3">
      <c r="C28" t="s">
        <v>20</v>
      </c>
      <c r="D28" t="s">
        <v>11</v>
      </c>
      <c r="E28" t="s">
        <v>12</v>
      </c>
      <c r="F28" t="s">
        <v>42</v>
      </c>
      <c r="G28" s="2">
        <v>7.06</v>
      </c>
    </row>
    <row r="29" spans="1:7" x14ac:dyDescent="0.3">
      <c r="C29" t="s">
        <v>20</v>
      </c>
      <c r="D29" t="s">
        <v>11</v>
      </c>
      <c r="E29" t="s">
        <v>30</v>
      </c>
      <c r="F29" t="s">
        <v>42</v>
      </c>
      <c r="G29" s="2">
        <v>7.18</v>
      </c>
    </row>
    <row r="30" spans="1:7" x14ac:dyDescent="0.3">
      <c r="C30" t="s">
        <v>20</v>
      </c>
      <c r="D30" t="s">
        <v>11</v>
      </c>
      <c r="E30" t="s">
        <v>15</v>
      </c>
      <c r="F30" t="s">
        <v>44</v>
      </c>
      <c r="G30" s="2">
        <v>161.83000000000001</v>
      </c>
    </row>
    <row r="31" spans="1:7" x14ac:dyDescent="0.3">
      <c r="C31" t="s">
        <v>20</v>
      </c>
      <c r="D31" t="s">
        <v>7</v>
      </c>
      <c r="E31" t="s">
        <v>29</v>
      </c>
      <c r="F31" t="s">
        <v>42</v>
      </c>
      <c r="G31" s="2">
        <v>7.21</v>
      </c>
    </row>
    <row r="32" spans="1:7" x14ac:dyDescent="0.3">
      <c r="C32" t="s">
        <v>20</v>
      </c>
      <c r="D32" t="s">
        <v>7</v>
      </c>
      <c r="E32" t="s">
        <v>19</v>
      </c>
      <c r="F32" t="s">
        <v>42</v>
      </c>
      <c r="G32" s="2">
        <v>6.41</v>
      </c>
    </row>
    <row r="33" spans="3:7" x14ac:dyDescent="0.3">
      <c r="C33" t="s">
        <v>20</v>
      </c>
      <c r="D33" t="s">
        <v>7</v>
      </c>
      <c r="E33" t="s">
        <v>71</v>
      </c>
      <c r="F33" t="s">
        <v>42</v>
      </c>
      <c r="G33" s="2">
        <v>6.39</v>
      </c>
    </row>
    <row r="34" spans="3:7" x14ac:dyDescent="0.3">
      <c r="C34" t="s">
        <v>20</v>
      </c>
      <c r="D34" t="s">
        <v>7</v>
      </c>
      <c r="E34" t="s">
        <v>15</v>
      </c>
      <c r="F34" t="s">
        <v>42</v>
      </c>
      <c r="G34" s="2">
        <v>70.02</v>
      </c>
    </row>
    <row r="35" spans="3:7" x14ac:dyDescent="0.3">
      <c r="C35" t="s">
        <v>20</v>
      </c>
      <c r="D35" t="s">
        <v>7</v>
      </c>
      <c r="E35" t="s">
        <v>36</v>
      </c>
      <c r="F35" t="s">
        <v>42</v>
      </c>
      <c r="G35" s="2">
        <v>6.96</v>
      </c>
    </row>
    <row r="36" spans="3:7" x14ac:dyDescent="0.3">
      <c r="C36" t="s">
        <v>20</v>
      </c>
      <c r="D36" t="s">
        <v>7</v>
      </c>
      <c r="E36" t="s">
        <v>37</v>
      </c>
      <c r="F36" t="s">
        <v>42</v>
      </c>
      <c r="G36" s="2">
        <v>6.67</v>
      </c>
    </row>
    <row r="37" spans="3:7" x14ac:dyDescent="0.3">
      <c r="C37" t="s">
        <v>6</v>
      </c>
      <c r="D37" t="s">
        <v>17</v>
      </c>
      <c r="E37" t="s">
        <v>30</v>
      </c>
      <c r="F37" t="s">
        <v>42</v>
      </c>
      <c r="G37" s="2">
        <v>6.46</v>
      </c>
    </row>
    <row r="38" spans="3:7" x14ac:dyDescent="0.3">
      <c r="C38" t="s">
        <v>6</v>
      </c>
      <c r="D38" t="s">
        <v>17</v>
      </c>
      <c r="E38" t="s">
        <v>29</v>
      </c>
      <c r="F38" t="s">
        <v>42</v>
      </c>
      <c r="G38" s="2">
        <v>6.83</v>
      </c>
    </row>
    <row r="39" spans="3:7" x14ac:dyDescent="0.3">
      <c r="C39" t="s">
        <v>6</v>
      </c>
      <c r="D39" t="s">
        <v>17</v>
      </c>
      <c r="E39" t="s">
        <v>71</v>
      </c>
      <c r="F39" t="s">
        <v>42</v>
      </c>
      <c r="G39" s="2">
        <v>6.24</v>
      </c>
    </row>
    <row r="40" spans="3:7" x14ac:dyDescent="0.3">
      <c r="C40" t="s">
        <v>6</v>
      </c>
      <c r="D40" t="s">
        <v>14</v>
      </c>
      <c r="E40" t="s">
        <v>19</v>
      </c>
      <c r="F40" t="s">
        <v>42</v>
      </c>
      <c r="G40" s="2">
        <v>6.62</v>
      </c>
    </row>
    <row r="41" spans="3:7" x14ac:dyDescent="0.3">
      <c r="C41" t="s">
        <v>25</v>
      </c>
      <c r="D41" t="s">
        <v>24</v>
      </c>
      <c r="E41" t="s">
        <v>12</v>
      </c>
      <c r="F41" t="s">
        <v>42</v>
      </c>
      <c r="G41" s="2">
        <v>6.56</v>
      </c>
    </row>
    <row r="42" spans="3:7" x14ac:dyDescent="0.3">
      <c r="C42" t="s">
        <v>25</v>
      </c>
      <c r="D42" t="s">
        <v>24</v>
      </c>
      <c r="E42" t="s">
        <v>33</v>
      </c>
      <c r="F42" t="s">
        <v>42</v>
      </c>
      <c r="G42" s="2">
        <v>6.65</v>
      </c>
    </row>
    <row r="43" spans="3:7" x14ac:dyDescent="0.3">
      <c r="C43" t="s">
        <v>25</v>
      </c>
      <c r="D43" t="s">
        <v>24</v>
      </c>
      <c r="E43" t="s">
        <v>34</v>
      </c>
      <c r="F43" t="s">
        <v>42</v>
      </c>
      <c r="G43" s="2">
        <v>12.27</v>
      </c>
    </row>
    <row r="44" spans="3:7" x14ac:dyDescent="0.3">
      <c r="C44" t="s">
        <v>25</v>
      </c>
      <c r="D44" t="s">
        <v>24</v>
      </c>
      <c r="E44" t="s">
        <v>15</v>
      </c>
      <c r="F44" t="s">
        <v>42</v>
      </c>
      <c r="G44" s="2">
        <v>25.56</v>
      </c>
    </row>
    <row r="45" spans="3:7" x14ac:dyDescent="0.3">
      <c r="C45" t="s">
        <v>25</v>
      </c>
      <c r="D45" t="s">
        <v>17</v>
      </c>
      <c r="E45" t="s">
        <v>15</v>
      </c>
      <c r="F45" t="s">
        <v>42</v>
      </c>
      <c r="G45" s="2">
        <v>88.65</v>
      </c>
    </row>
    <row r="46" spans="3:7" x14ac:dyDescent="0.3">
      <c r="C46" t="s">
        <v>25</v>
      </c>
      <c r="D46" t="s">
        <v>17</v>
      </c>
      <c r="E46" t="s">
        <v>31</v>
      </c>
      <c r="F46" t="s">
        <v>42</v>
      </c>
      <c r="G46" s="2">
        <v>8.16</v>
      </c>
    </row>
    <row r="47" spans="3:7" x14ac:dyDescent="0.3">
      <c r="C47" t="s">
        <v>25</v>
      </c>
      <c r="D47" t="s">
        <v>17</v>
      </c>
      <c r="E47" t="s">
        <v>30</v>
      </c>
      <c r="F47" t="s">
        <v>42</v>
      </c>
      <c r="G47" s="2">
        <v>6.45</v>
      </c>
    </row>
    <row r="48" spans="3:7" x14ac:dyDescent="0.3">
      <c r="C48" t="s">
        <v>25</v>
      </c>
      <c r="D48" t="s">
        <v>14</v>
      </c>
      <c r="E48" t="s">
        <v>21</v>
      </c>
      <c r="F48" t="s">
        <v>42</v>
      </c>
      <c r="G48" s="2">
        <v>7.54</v>
      </c>
    </row>
    <row r="49" spans="1:7" x14ac:dyDescent="0.3">
      <c r="C49" t="s">
        <v>25</v>
      </c>
      <c r="D49" t="s">
        <v>14</v>
      </c>
      <c r="E49" t="s">
        <v>30</v>
      </c>
      <c r="F49" t="s">
        <v>42</v>
      </c>
      <c r="G49" s="2">
        <v>9.15</v>
      </c>
    </row>
    <row r="50" spans="1:7" x14ac:dyDescent="0.3">
      <c r="C50" t="s">
        <v>25</v>
      </c>
      <c r="D50" t="s">
        <v>14</v>
      </c>
      <c r="E50" t="s">
        <v>32</v>
      </c>
      <c r="F50" t="s">
        <v>42</v>
      </c>
      <c r="G50" s="2">
        <v>6.54</v>
      </c>
    </row>
    <row r="51" spans="1:7" x14ac:dyDescent="0.3">
      <c r="C51" t="s">
        <v>25</v>
      </c>
      <c r="D51" t="s">
        <v>14</v>
      </c>
      <c r="E51" t="s">
        <v>33</v>
      </c>
      <c r="F51" t="s">
        <v>42</v>
      </c>
      <c r="G51" s="2">
        <v>7.02</v>
      </c>
    </row>
    <row r="52" spans="1:7" x14ac:dyDescent="0.3">
      <c r="C52" t="s">
        <v>25</v>
      </c>
      <c r="D52" t="s">
        <v>14</v>
      </c>
      <c r="E52" t="s">
        <v>15</v>
      </c>
      <c r="F52" t="s">
        <v>42</v>
      </c>
      <c r="G52" s="2">
        <v>56.91</v>
      </c>
    </row>
    <row r="53" spans="1:7" x14ac:dyDescent="0.3">
      <c r="C53" t="s">
        <v>25</v>
      </c>
      <c r="D53" t="s">
        <v>11</v>
      </c>
      <c r="E53" t="s">
        <v>15</v>
      </c>
      <c r="F53" t="s">
        <v>42</v>
      </c>
      <c r="G53" s="2">
        <v>31.1</v>
      </c>
    </row>
    <row r="54" spans="1:7" x14ac:dyDescent="0.3">
      <c r="C54" t="s">
        <v>25</v>
      </c>
      <c r="D54" t="s">
        <v>11</v>
      </c>
      <c r="E54" t="s">
        <v>33</v>
      </c>
      <c r="F54" t="s">
        <v>44</v>
      </c>
      <c r="G54" s="2">
        <v>64.72</v>
      </c>
    </row>
    <row r="55" spans="1:7" x14ac:dyDescent="0.3">
      <c r="C55" t="s">
        <v>25</v>
      </c>
      <c r="D55" t="s">
        <v>7</v>
      </c>
      <c r="E55" t="s">
        <v>15</v>
      </c>
      <c r="F55" t="s">
        <v>42</v>
      </c>
      <c r="G55" s="2">
        <v>35.340000000000003</v>
      </c>
    </row>
    <row r="56" spans="1:7" x14ac:dyDescent="0.3">
      <c r="C56" t="s">
        <v>26</v>
      </c>
      <c r="D56" t="s">
        <v>24</v>
      </c>
      <c r="E56" t="s">
        <v>13</v>
      </c>
      <c r="F56" t="s">
        <v>44</v>
      </c>
      <c r="G56" s="2">
        <v>70.59</v>
      </c>
    </row>
    <row r="57" spans="1:7" x14ac:dyDescent="0.3">
      <c r="C57" t="s">
        <v>26</v>
      </c>
      <c r="D57" t="s">
        <v>14</v>
      </c>
      <c r="E57" t="s">
        <v>15</v>
      </c>
      <c r="F57" t="s">
        <v>42</v>
      </c>
      <c r="G57" s="2">
        <v>163.05000000000001</v>
      </c>
    </row>
    <row r="58" spans="1:7" x14ac:dyDescent="0.3">
      <c r="C58" t="s">
        <v>26</v>
      </c>
      <c r="D58" t="s">
        <v>14</v>
      </c>
      <c r="E58" t="s">
        <v>8</v>
      </c>
      <c r="F58" t="s">
        <v>44</v>
      </c>
      <c r="G58" s="2">
        <v>69.03</v>
      </c>
    </row>
    <row r="59" spans="1:7" x14ac:dyDescent="0.3">
      <c r="A59" t="s">
        <v>23</v>
      </c>
      <c r="B59">
        <v>2</v>
      </c>
      <c r="C59" t="s">
        <v>26</v>
      </c>
      <c r="D59" t="s">
        <v>7</v>
      </c>
      <c r="E59" t="s">
        <v>29</v>
      </c>
      <c r="F59" t="s">
        <v>42</v>
      </c>
      <c r="G59" s="2">
        <v>9.9700000000000006</v>
      </c>
    </row>
    <row r="60" spans="1:7" x14ac:dyDescent="0.3">
      <c r="A60" t="s">
        <v>22</v>
      </c>
      <c r="B60" s="3">
        <v>44814.537499999999</v>
      </c>
      <c r="C60" t="s">
        <v>28</v>
      </c>
      <c r="D60" t="s">
        <v>11</v>
      </c>
      <c r="E60" t="s">
        <v>12</v>
      </c>
      <c r="F60" t="s">
        <v>42</v>
      </c>
      <c r="G60" s="2">
        <v>8.4600000000000009</v>
      </c>
    </row>
    <row r="61" spans="1:7" x14ac:dyDescent="0.3">
      <c r="A61" t="s">
        <v>86</v>
      </c>
      <c r="B61" s="3">
        <v>44818.522222222222</v>
      </c>
      <c r="C61" t="s">
        <v>27</v>
      </c>
      <c r="D61" t="s">
        <v>11</v>
      </c>
      <c r="E61" t="s">
        <v>41</v>
      </c>
      <c r="F61" t="s">
        <v>42</v>
      </c>
      <c r="G61" s="2">
        <v>7.89</v>
      </c>
    </row>
    <row r="62" spans="1:7" x14ac:dyDescent="0.3">
      <c r="C62" t="s">
        <v>26</v>
      </c>
      <c r="D62" t="s">
        <v>7</v>
      </c>
      <c r="E62" t="s">
        <v>8</v>
      </c>
      <c r="F62" t="s">
        <v>44</v>
      </c>
      <c r="G62" s="2">
        <v>71.5</v>
      </c>
    </row>
    <row r="63" spans="1:7" x14ac:dyDescent="0.3">
      <c r="C63" t="s">
        <v>28</v>
      </c>
      <c r="D63" t="s">
        <v>7</v>
      </c>
      <c r="E63" t="s">
        <v>15</v>
      </c>
      <c r="F63" t="s">
        <v>42</v>
      </c>
      <c r="G63" s="2">
        <v>28.16</v>
      </c>
    </row>
    <row r="64" spans="1:7" x14ac:dyDescent="0.3">
      <c r="C64" t="s">
        <v>28</v>
      </c>
      <c r="D64" t="s">
        <v>11</v>
      </c>
      <c r="E64" t="s">
        <v>43</v>
      </c>
      <c r="F64" t="s">
        <v>42</v>
      </c>
      <c r="G64" s="2">
        <v>9.4499999999999993</v>
      </c>
    </row>
    <row r="65" spans="3:7" x14ac:dyDescent="0.3">
      <c r="C65" t="s">
        <v>26</v>
      </c>
      <c r="D65" t="s">
        <v>24</v>
      </c>
      <c r="E65" t="s">
        <v>15</v>
      </c>
      <c r="F65" t="s">
        <v>44</v>
      </c>
      <c r="G65" s="2">
        <v>207.59</v>
      </c>
    </row>
    <row r="66" spans="3:7" x14ac:dyDescent="0.3">
      <c r="C66" t="s">
        <v>28</v>
      </c>
      <c r="D66" t="s">
        <v>24</v>
      </c>
      <c r="E66" t="s">
        <v>33</v>
      </c>
      <c r="F66" t="s">
        <v>42</v>
      </c>
      <c r="G66" s="2">
        <v>6.51</v>
      </c>
    </row>
    <row r="67" spans="3:7" x14ac:dyDescent="0.3">
      <c r="C67" t="s">
        <v>28</v>
      </c>
      <c r="D67" t="s">
        <v>24</v>
      </c>
      <c r="E67" t="s">
        <v>15</v>
      </c>
      <c r="F67" t="s">
        <v>42</v>
      </c>
      <c r="G67" s="2">
        <v>30.45</v>
      </c>
    </row>
    <row r="68" spans="3:7" x14ac:dyDescent="0.3">
      <c r="C68" t="s">
        <v>27</v>
      </c>
      <c r="D68" t="s">
        <v>7</v>
      </c>
      <c r="E68" t="s">
        <v>15</v>
      </c>
      <c r="F68" t="s">
        <v>44</v>
      </c>
      <c r="G68" s="2">
        <v>283.04000000000002</v>
      </c>
    </row>
    <row r="69" spans="3:7" x14ac:dyDescent="0.3">
      <c r="C69" t="s">
        <v>26</v>
      </c>
      <c r="D69" t="s">
        <v>17</v>
      </c>
      <c r="E69" t="s">
        <v>15</v>
      </c>
      <c r="F69" t="s">
        <v>44</v>
      </c>
      <c r="G69" s="2">
        <v>238.29</v>
      </c>
    </row>
    <row r="70" spans="3:7" x14ac:dyDescent="0.3">
      <c r="C70" t="s">
        <v>27</v>
      </c>
      <c r="D70" t="s">
        <v>14</v>
      </c>
      <c r="E70" t="s">
        <v>35</v>
      </c>
      <c r="F70" t="s">
        <v>42</v>
      </c>
      <c r="G70" s="2">
        <v>6.54</v>
      </c>
    </row>
    <row r="71" spans="3:7" x14ac:dyDescent="0.3">
      <c r="C71" t="s">
        <v>28</v>
      </c>
      <c r="D71" t="s">
        <v>11</v>
      </c>
      <c r="E71" t="s">
        <v>45</v>
      </c>
      <c r="F71" t="s">
        <v>42</v>
      </c>
      <c r="G71" s="2">
        <v>7.2</v>
      </c>
    </row>
    <row r="72" spans="3:7" x14ac:dyDescent="0.3">
      <c r="C72" t="s">
        <v>28</v>
      </c>
      <c r="D72" t="s">
        <v>11</v>
      </c>
      <c r="E72" t="s">
        <v>15</v>
      </c>
      <c r="F72" t="s">
        <v>42</v>
      </c>
      <c r="G72" s="2">
        <v>31.94</v>
      </c>
    </row>
    <row r="73" spans="3:7" x14ac:dyDescent="0.3">
      <c r="C73" t="s">
        <v>26</v>
      </c>
      <c r="D73" t="s">
        <v>17</v>
      </c>
      <c r="E73" t="s">
        <v>13</v>
      </c>
      <c r="F73" t="s">
        <v>44</v>
      </c>
      <c r="G73" s="2">
        <v>127.5</v>
      </c>
    </row>
    <row r="74" spans="3:7" x14ac:dyDescent="0.3">
      <c r="C74" t="s">
        <v>28</v>
      </c>
      <c r="D74" t="s">
        <v>7</v>
      </c>
      <c r="E74" t="s">
        <v>46</v>
      </c>
      <c r="F74" t="s">
        <v>42</v>
      </c>
      <c r="G74" s="2">
        <v>34.92</v>
      </c>
    </row>
    <row r="75" spans="3:7" x14ac:dyDescent="0.3">
      <c r="C75" t="s">
        <v>26</v>
      </c>
      <c r="D75" t="s">
        <v>14</v>
      </c>
      <c r="E75" t="s">
        <v>13</v>
      </c>
      <c r="F75" t="s">
        <v>44</v>
      </c>
      <c r="G75" s="2">
        <v>39.479999999999997</v>
      </c>
    </row>
    <row r="76" spans="3:7" x14ac:dyDescent="0.3">
      <c r="C76" t="s">
        <v>26</v>
      </c>
      <c r="D76" t="s">
        <v>11</v>
      </c>
      <c r="E76" t="s">
        <v>8</v>
      </c>
      <c r="F76" t="s">
        <v>44</v>
      </c>
      <c r="G76">
        <v>89.9</v>
      </c>
    </row>
    <row r="77" spans="3:7" x14ac:dyDescent="0.3">
      <c r="C77" t="s">
        <v>26</v>
      </c>
      <c r="D77" t="s">
        <v>11</v>
      </c>
      <c r="E77" t="s">
        <v>15</v>
      </c>
      <c r="F77" t="s">
        <v>44</v>
      </c>
      <c r="G77" s="2">
        <v>171.73</v>
      </c>
    </row>
    <row r="78" spans="3:7" x14ac:dyDescent="0.3">
      <c r="C78" t="s">
        <v>27</v>
      </c>
      <c r="D78" t="s">
        <v>11</v>
      </c>
      <c r="E78" t="s">
        <v>15</v>
      </c>
      <c r="F78" t="s">
        <v>44</v>
      </c>
      <c r="G78" s="2">
        <v>168.14</v>
      </c>
    </row>
    <row r="79" spans="3:7" x14ac:dyDescent="0.3">
      <c r="C79" t="s">
        <v>28</v>
      </c>
      <c r="D79" t="s">
        <v>24</v>
      </c>
      <c r="E79" t="s">
        <v>46</v>
      </c>
      <c r="F79" t="s">
        <v>42</v>
      </c>
      <c r="G79" s="2">
        <v>22.74</v>
      </c>
    </row>
    <row r="80" spans="3:7" x14ac:dyDescent="0.3">
      <c r="C80" t="s">
        <v>28</v>
      </c>
      <c r="D80" t="s">
        <v>7</v>
      </c>
      <c r="E80" t="s">
        <v>43</v>
      </c>
      <c r="F80" t="s">
        <v>42</v>
      </c>
      <c r="G80" s="2">
        <v>7.01</v>
      </c>
    </row>
    <row r="81" spans="1:7" x14ac:dyDescent="0.3">
      <c r="C81" t="s">
        <v>27</v>
      </c>
      <c r="D81" t="s">
        <v>7</v>
      </c>
      <c r="E81" t="s">
        <v>29</v>
      </c>
      <c r="F81" t="s">
        <v>42</v>
      </c>
      <c r="G81" s="2">
        <v>19.71</v>
      </c>
    </row>
    <row r="82" spans="1:7" x14ac:dyDescent="0.3">
      <c r="C82" t="s">
        <v>26</v>
      </c>
      <c r="D82" t="s">
        <v>11</v>
      </c>
      <c r="E82" t="s">
        <v>13</v>
      </c>
      <c r="F82" t="s">
        <v>42</v>
      </c>
      <c r="G82" s="2">
        <v>11.68</v>
      </c>
    </row>
    <row r="83" spans="1:7" x14ac:dyDescent="0.3">
      <c r="C83" t="s">
        <v>26</v>
      </c>
      <c r="D83" t="s">
        <v>7</v>
      </c>
      <c r="E83" t="s">
        <v>15</v>
      </c>
      <c r="F83" t="s">
        <v>42</v>
      </c>
      <c r="G83" s="2">
        <v>161.22999999999999</v>
      </c>
    </row>
    <row r="84" spans="1:7" x14ac:dyDescent="0.3">
      <c r="C84" t="s">
        <v>27</v>
      </c>
      <c r="D84" t="s">
        <v>14</v>
      </c>
      <c r="E84" t="s">
        <v>15</v>
      </c>
      <c r="F84" t="s">
        <v>42</v>
      </c>
      <c r="G84" s="2">
        <v>24.8</v>
      </c>
    </row>
    <row r="85" spans="1:7" x14ac:dyDescent="0.3">
      <c r="C85" t="s">
        <v>28</v>
      </c>
      <c r="D85" t="s">
        <v>14</v>
      </c>
      <c r="E85" t="s">
        <v>12</v>
      </c>
      <c r="F85" t="s">
        <v>42</v>
      </c>
      <c r="G85" s="2">
        <v>6.46</v>
      </c>
    </row>
    <row r="86" spans="1:7" x14ac:dyDescent="0.3">
      <c r="C86" t="s">
        <v>28</v>
      </c>
      <c r="D86" t="s">
        <v>17</v>
      </c>
      <c r="E86" t="s">
        <v>80</v>
      </c>
      <c r="F86" t="s">
        <v>42</v>
      </c>
      <c r="G86" s="2">
        <v>6.75</v>
      </c>
    </row>
    <row r="87" spans="1:7" x14ac:dyDescent="0.3">
      <c r="C87" t="s">
        <v>27</v>
      </c>
      <c r="D87" t="s">
        <v>17</v>
      </c>
      <c r="E87" t="s">
        <v>15</v>
      </c>
      <c r="F87" t="s">
        <v>44</v>
      </c>
      <c r="G87" s="2">
        <v>136.63</v>
      </c>
    </row>
    <row r="88" spans="1:7" x14ac:dyDescent="0.3">
      <c r="C88" t="s">
        <v>28</v>
      </c>
      <c r="D88" t="s">
        <v>14</v>
      </c>
      <c r="E88" t="s">
        <v>15</v>
      </c>
      <c r="F88" t="s">
        <v>42</v>
      </c>
      <c r="G88" s="2">
        <v>56.72</v>
      </c>
    </row>
    <row r="89" spans="1:7" x14ac:dyDescent="0.3">
      <c r="C89" t="s">
        <v>28</v>
      </c>
      <c r="D89" t="s">
        <v>17</v>
      </c>
      <c r="E89" t="s">
        <v>15</v>
      </c>
      <c r="F89" t="s">
        <v>42</v>
      </c>
      <c r="G89" s="2">
        <v>76.06</v>
      </c>
    </row>
    <row r="90" spans="1:7" x14ac:dyDescent="0.3">
      <c r="C90" t="s">
        <v>27</v>
      </c>
      <c r="D90" t="s">
        <v>7</v>
      </c>
      <c r="E90" t="s">
        <v>32</v>
      </c>
      <c r="F90" t="s">
        <v>42</v>
      </c>
      <c r="G90" s="2">
        <v>12.17</v>
      </c>
    </row>
    <row r="91" spans="1:7" x14ac:dyDescent="0.3">
      <c r="C91" t="s">
        <v>28</v>
      </c>
      <c r="D91" t="s">
        <v>24</v>
      </c>
      <c r="E91" t="s">
        <v>30</v>
      </c>
      <c r="F91" t="s">
        <v>42</v>
      </c>
      <c r="G91" s="2">
        <v>6.65</v>
      </c>
    </row>
    <row r="92" spans="1:7" x14ac:dyDescent="0.3">
      <c r="A92" t="s">
        <v>23</v>
      </c>
      <c r="B92">
        <v>3</v>
      </c>
      <c r="C92" t="s">
        <v>27</v>
      </c>
      <c r="D92" t="s">
        <v>14</v>
      </c>
      <c r="E92" t="s">
        <v>47</v>
      </c>
      <c r="F92" t="s">
        <v>42</v>
      </c>
      <c r="G92" s="2">
        <v>20.3</v>
      </c>
    </row>
    <row r="93" spans="1:7" x14ac:dyDescent="0.3">
      <c r="A93" t="s">
        <v>22</v>
      </c>
      <c r="B93" s="3">
        <v>44818.537499999999</v>
      </c>
      <c r="C93" t="s">
        <v>27</v>
      </c>
      <c r="D93" t="s">
        <v>17</v>
      </c>
      <c r="E93" t="s">
        <v>47</v>
      </c>
      <c r="F93" t="s">
        <v>42</v>
      </c>
      <c r="G93" s="2">
        <v>6.98</v>
      </c>
    </row>
    <row r="94" spans="1:7" x14ac:dyDescent="0.3">
      <c r="A94" t="s">
        <v>86</v>
      </c>
      <c r="B94" s="3">
        <v>44820.287499999999</v>
      </c>
      <c r="C94" t="s">
        <v>48</v>
      </c>
      <c r="D94" t="s">
        <v>24</v>
      </c>
      <c r="E94" t="s">
        <v>49</v>
      </c>
      <c r="F94" t="s">
        <v>42</v>
      </c>
      <c r="G94" s="2">
        <v>7.22</v>
      </c>
    </row>
    <row r="95" spans="1:7" x14ac:dyDescent="0.3">
      <c r="C95" t="s">
        <v>48</v>
      </c>
      <c r="D95" t="s">
        <v>24</v>
      </c>
      <c r="E95" t="s">
        <v>15</v>
      </c>
      <c r="F95" t="s">
        <v>42</v>
      </c>
      <c r="G95" s="2">
        <v>15.7</v>
      </c>
    </row>
    <row r="96" spans="1:7" x14ac:dyDescent="0.3">
      <c r="C96" t="s">
        <v>48</v>
      </c>
      <c r="D96" t="s">
        <v>24</v>
      </c>
      <c r="E96" t="s">
        <v>50</v>
      </c>
      <c r="F96" t="s">
        <v>42</v>
      </c>
      <c r="G96" s="2">
        <v>6.79</v>
      </c>
    </row>
    <row r="97" spans="3:7" x14ac:dyDescent="0.3">
      <c r="C97" t="s">
        <v>48</v>
      </c>
      <c r="D97" t="s">
        <v>11</v>
      </c>
      <c r="E97" t="s">
        <v>51</v>
      </c>
      <c r="F97" t="s">
        <v>42</v>
      </c>
      <c r="G97" s="2">
        <v>6.33</v>
      </c>
    </row>
    <row r="98" spans="3:7" x14ac:dyDescent="0.3">
      <c r="C98" t="s">
        <v>48</v>
      </c>
      <c r="D98" t="s">
        <v>14</v>
      </c>
      <c r="E98" t="s">
        <v>52</v>
      </c>
      <c r="F98" t="s">
        <v>42</v>
      </c>
      <c r="G98" s="2">
        <v>6.24</v>
      </c>
    </row>
    <row r="99" spans="3:7" x14ac:dyDescent="0.3">
      <c r="C99" t="s">
        <v>48</v>
      </c>
      <c r="D99" t="s">
        <v>17</v>
      </c>
      <c r="E99" t="s">
        <v>29</v>
      </c>
      <c r="F99" t="s">
        <v>42</v>
      </c>
      <c r="G99" s="2">
        <v>11.76</v>
      </c>
    </row>
    <row r="100" spans="3:7" x14ac:dyDescent="0.3">
      <c r="C100" t="s">
        <v>27</v>
      </c>
      <c r="D100" t="s">
        <v>11</v>
      </c>
      <c r="E100" t="s">
        <v>12</v>
      </c>
      <c r="F100" t="s">
        <v>42</v>
      </c>
      <c r="G100" s="2">
        <v>6.6</v>
      </c>
    </row>
    <row r="101" spans="3:7" x14ac:dyDescent="0.3">
      <c r="C101" t="s">
        <v>27</v>
      </c>
      <c r="D101" t="s">
        <v>17</v>
      </c>
      <c r="E101" t="s">
        <v>33</v>
      </c>
      <c r="F101" t="s">
        <v>42</v>
      </c>
      <c r="G101" s="2">
        <v>24.84</v>
      </c>
    </row>
    <row r="102" spans="3:7" x14ac:dyDescent="0.3">
      <c r="C102" t="s">
        <v>27</v>
      </c>
      <c r="D102" t="s">
        <v>17</v>
      </c>
      <c r="E102" t="s">
        <v>29</v>
      </c>
      <c r="F102" t="s">
        <v>42</v>
      </c>
      <c r="G102" s="2">
        <v>8.82</v>
      </c>
    </row>
    <row r="103" spans="3:7" x14ac:dyDescent="0.3">
      <c r="C103" t="s">
        <v>48</v>
      </c>
      <c r="D103" t="s">
        <v>17</v>
      </c>
      <c r="E103" t="s">
        <v>15</v>
      </c>
      <c r="F103" t="s">
        <v>42</v>
      </c>
      <c r="G103" s="2">
        <v>23.09</v>
      </c>
    </row>
    <row r="104" spans="3:7" x14ac:dyDescent="0.3">
      <c r="C104" t="s">
        <v>27</v>
      </c>
      <c r="D104" t="s">
        <v>24</v>
      </c>
      <c r="E104" t="s">
        <v>33</v>
      </c>
      <c r="F104" t="s">
        <v>42</v>
      </c>
      <c r="G104" s="2">
        <v>6.53</v>
      </c>
    </row>
    <row r="105" spans="3:7" x14ac:dyDescent="0.3">
      <c r="C105" t="s">
        <v>27</v>
      </c>
      <c r="D105" t="s">
        <v>17</v>
      </c>
      <c r="E105" t="s">
        <v>53</v>
      </c>
      <c r="F105" t="s">
        <v>42</v>
      </c>
      <c r="G105" s="2">
        <v>6.29</v>
      </c>
    </row>
    <row r="106" spans="3:7" x14ac:dyDescent="0.3">
      <c r="C106" t="s">
        <v>27</v>
      </c>
      <c r="D106" t="s">
        <v>17</v>
      </c>
      <c r="E106" t="s">
        <v>54</v>
      </c>
      <c r="F106" t="s">
        <v>42</v>
      </c>
      <c r="G106" s="2">
        <v>12.59</v>
      </c>
    </row>
    <row r="107" spans="3:7" x14ac:dyDescent="0.3">
      <c r="C107" t="s">
        <v>27</v>
      </c>
      <c r="D107" t="s">
        <v>17</v>
      </c>
      <c r="E107" t="s">
        <v>55</v>
      </c>
      <c r="F107" t="s">
        <v>42</v>
      </c>
      <c r="G107" s="2">
        <v>7.77</v>
      </c>
    </row>
    <row r="108" spans="3:7" x14ac:dyDescent="0.3">
      <c r="C108" t="s">
        <v>27</v>
      </c>
      <c r="D108" t="s">
        <v>24</v>
      </c>
      <c r="E108" t="s">
        <v>15</v>
      </c>
      <c r="F108" t="s">
        <v>42</v>
      </c>
      <c r="G108" s="2">
        <v>32.54</v>
      </c>
    </row>
    <row r="109" spans="3:7" x14ac:dyDescent="0.3">
      <c r="C109" t="s">
        <v>27</v>
      </c>
      <c r="D109" t="s">
        <v>17</v>
      </c>
      <c r="E109" t="s">
        <v>46</v>
      </c>
      <c r="F109" t="s">
        <v>42</v>
      </c>
      <c r="G109" s="2">
        <v>9.09</v>
      </c>
    </row>
    <row r="110" spans="3:7" x14ac:dyDescent="0.3">
      <c r="C110" t="s">
        <v>27</v>
      </c>
      <c r="D110" t="s">
        <v>24</v>
      </c>
      <c r="E110" t="s">
        <v>35</v>
      </c>
      <c r="F110" t="s">
        <v>42</v>
      </c>
      <c r="G110" s="2">
        <v>6.87</v>
      </c>
    </row>
    <row r="111" spans="3:7" x14ac:dyDescent="0.3">
      <c r="C111" t="s">
        <v>28</v>
      </c>
      <c r="D111" t="s">
        <v>24</v>
      </c>
      <c r="E111" t="s">
        <v>47</v>
      </c>
      <c r="F111" t="s">
        <v>42</v>
      </c>
      <c r="G111" s="2">
        <v>7.22</v>
      </c>
    </row>
    <row r="112" spans="3:7" x14ac:dyDescent="0.3">
      <c r="C112" t="s">
        <v>27</v>
      </c>
      <c r="D112" t="s">
        <v>24</v>
      </c>
      <c r="E112" t="s">
        <v>46</v>
      </c>
      <c r="F112" t="s">
        <v>42</v>
      </c>
      <c r="G112" s="2">
        <v>13.86</v>
      </c>
    </row>
    <row r="113" spans="1:7" x14ac:dyDescent="0.3">
      <c r="C113" t="s">
        <v>27</v>
      </c>
      <c r="D113" t="s">
        <v>24</v>
      </c>
      <c r="E113" t="s">
        <v>29</v>
      </c>
      <c r="F113" t="s">
        <v>42</v>
      </c>
      <c r="G113" s="2">
        <v>7.54</v>
      </c>
    </row>
    <row r="114" spans="1:7" x14ac:dyDescent="0.3">
      <c r="C114" t="s">
        <v>48</v>
      </c>
      <c r="D114" t="s">
        <v>11</v>
      </c>
      <c r="E114" t="s">
        <v>30</v>
      </c>
      <c r="F114" t="s">
        <v>42</v>
      </c>
      <c r="G114" s="2">
        <v>6.31</v>
      </c>
    </row>
    <row r="115" spans="1:7" x14ac:dyDescent="0.3">
      <c r="C115" t="s">
        <v>27</v>
      </c>
      <c r="D115" t="s">
        <v>14</v>
      </c>
      <c r="E115" t="s">
        <v>29</v>
      </c>
      <c r="F115" t="s">
        <v>42</v>
      </c>
      <c r="G115" s="2">
        <v>8.1999999999999993</v>
      </c>
    </row>
    <row r="116" spans="1:7" x14ac:dyDescent="0.3">
      <c r="C116" t="s">
        <v>48</v>
      </c>
      <c r="D116" t="s">
        <v>17</v>
      </c>
      <c r="E116" t="s">
        <v>56</v>
      </c>
      <c r="F116" t="s">
        <v>42</v>
      </c>
      <c r="G116" s="2">
        <v>11.19</v>
      </c>
    </row>
    <row r="117" spans="1:7" x14ac:dyDescent="0.3">
      <c r="C117" t="s">
        <v>27</v>
      </c>
      <c r="D117" t="s">
        <v>14</v>
      </c>
      <c r="E117" t="s">
        <v>33</v>
      </c>
      <c r="F117" t="s">
        <v>42</v>
      </c>
      <c r="G117" s="2">
        <v>11.07</v>
      </c>
    </row>
    <row r="118" spans="1:7" x14ac:dyDescent="0.3">
      <c r="C118" t="s">
        <v>27</v>
      </c>
      <c r="D118" t="s">
        <v>14</v>
      </c>
      <c r="E118" t="s">
        <v>46</v>
      </c>
      <c r="F118" t="s">
        <v>42</v>
      </c>
      <c r="G118" s="2">
        <v>25.86</v>
      </c>
    </row>
    <row r="119" spans="1:7" x14ac:dyDescent="0.3">
      <c r="C119" t="s">
        <v>27</v>
      </c>
      <c r="D119" t="s">
        <v>11</v>
      </c>
      <c r="E119" t="s">
        <v>35</v>
      </c>
      <c r="F119" t="s">
        <v>42</v>
      </c>
      <c r="G119" s="2">
        <v>11.79</v>
      </c>
    </row>
    <row r="120" spans="1:7" x14ac:dyDescent="0.3">
      <c r="C120" t="s">
        <v>48</v>
      </c>
      <c r="D120" t="s">
        <v>7</v>
      </c>
      <c r="E120" t="s">
        <v>15</v>
      </c>
      <c r="F120" t="s">
        <v>44</v>
      </c>
      <c r="G120" s="2">
        <v>642.26</v>
      </c>
    </row>
    <row r="121" spans="1:7" x14ac:dyDescent="0.3">
      <c r="C121" t="s">
        <v>48</v>
      </c>
      <c r="D121" t="s">
        <v>14</v>
      </c>
      <c r="E121" t="s">
        <v>15</v>
      </c>
      <c r="F121" t="s">
        <v>42</v>
      </c>
      <c r="G121" s="2">
        <v>16.98</v>
      </c>
    </row>
    <row r="122" spans="1:7" x14ac:dyDescent="0.3">
      <c r="C122" t="s">
        <v>48</v>
      </c>
      <c r="D122" t="s">
        <v>24</v>
      </c>
      <c r="E122" t="s">
        <v>29</v>
      </c>
      <c r="F122" t="s">
        <v>42</v>
      </c>
      <c r="G122" s="2">
        <v>7.27</v>
      </c>
    </row>
    <row r="123" spans="1:7" x14ac:dyDescent="0.3">
      <c r="C123" t="s">
        <v>48</v>
      </c>
      <c r="D123" t="s">
        <v>14</v>
      </c>
      <c r="E123" t="s">
        <v>49</v>
      </c>
      <c r="F123" t="s">
        <v>42</v>
      </c>
      <c r="G123" s="2">
        <v>6.41</v>
      </c>
    </row>
    <row r="124" spans="1:7" x14ac:dyDescent="0.3">
      <c r="C124" t="s">
        <v>48</v>
      </c>
      <c r="D124" t="s">
        <v>14</v>
      </c>
      <c r="E124" t="s">
        <v>18</v>
      </c>
      <c r="F124" t="s">
        <v>44</v>
      </c>
      <c r="G124" s="2">
        <v>77.540000000000006</v>
      </c>
    </row>
    <row r="125" spans="1:7" x14ac:dyDescent="0.3">
      <c r="C125" t="s">
        <v>48</v>
      </c>
      <c r="D125" t="s">
        <v>11</v>
      </c>
      <c r="E125" t="s">
        <v>15</v>
      </c>
      <c r="F125" t="s">
        <v>44</v>
      </c>
      <c r="G125">
        <v>265.91000000000003</v>
      </c>
    </row>
    <row r="126" spans="1:7" x14ac:dyDescent="0.3">
      <c r="C126" t="s">
        <v>48</v>
      </c>
      <c r="D126" t="s">
        <v>24</v>
      </c>
      <c r="E126" t="s">
        <v>33</v>
      </c>
      <c r="F126" t="s">
        <v>44</v>
      </c>
      <c r="G126" s="2">
        <v>33.090000000000003</v>
      </c>
    </row>
    <row r="127" spans="1:7" x14ac:dyDescent="0.3">
      <c r="C127" t="s">
        <v>48</v>
      </c>
      <c r="D127" t="s">
        <v>17</v>
      </c>
      <c r="E127" t="s">
        <v>57</v>
      </c>
      <c r="F127" t="s">
        <v>44</v>
      </c>
      <c r="G127" s="2">
        <v>65.569999999999993</v>
      </c>
    </row>
    <row r="128" spans="1:7" x14ac:dyDescent="0.3">
      <c r="A128" t="s">
        <v>23</v>
      </c>
      <c r="B128">
        <v>4</v>
      </c>
      <c r="C128" t="s">
        <v>58</v>
      </c>
      <c r="D128" t="s">
        <v>24</v>
      </c>
      <c r="E128" t="s">
        <v>15</v>
      </c>
      <c r="F128" t="s">
        <v>63</v>
      </c>
      <c r="G128" s="2">
        <v>97.34</v>
      </c>
    </row>
    <row r="129" spans="1:7" x14ac:dyDescent="0.3">
      <c r="A129" t="s">
        <v>22</v>
      </c>
      <c r="B129" s="3">
        <v>44822.041666666664</v>
      </c>
      <c r="C129" t="s">
        <v>59</v>
      </c>
      <c r="D129" t="s">
        <v>17</v>
      </c>
      <c r="E129" t="s">
        <v>15</v>
      </c>
      <c r="F129" t="s">
        <v>63</v>
      </c>
      <c r="G129" s="2">
        <v>142.13999999999999</v>
      </c>
    </row>
    <row r="130" spans="1:7" x14ac:dyDescent="0.3">
      <c r="A130" t="s">
        <v>86</v>
      </c>
      <c r="B130" s="3">
        <v>44824.541666666664</v>
      </c>
      <c r="C130" t="s">
        <v>58</v>
      </c>
      <c r="D130" t="s">
        <v>14</v>
      </c>
      <c r="E130" t="s">
        <v>71</v>
      </c>
      <c r="F130" t="s">
        <v>42</v>
      </c>
      <c r="G130" s="2">
        <v>6.67</v>
      </c>
    </row>
    <row r="131" spans="1:7" x14ac:dyDescent="0.3">
      <c r="C131" t="s">
        <v>60</v>
      </c>
      <c r="D131" t="s">
        <v>24</v>
      </c>
      <c r="E131" t="s">
        <v>13</v>
      </c>
      <c r="F131" t="s">
        <v>61</v>
      </c>
      <c r="G131" s="2">
        <v>151.65</v>
      </c>
    </row>
    <row r="132" spans="1:7" x14ac:dyDescent="0.3">
      <c r="C132" t="s">
        <v>60</v>
      </c>
      <c r="D132" t="s">
        <v>7</v>
      </c>
      <c r="E132" t="s">
        <v>52</v>
      </c>
      <c r="F132" t="s">
        <v>42</v>
      </c>
      <c r="G132" s="2">
        <v>19.82</v>
      </c>
    </row>
    <row r="133" spans="1:7" x14ac:dyDescent="0.3">
      <c r="C133" t="s">
        <v>60</v>
      </c>
      <c r="D133" t="s">
        <v>7</v>
      </c>
      <c r="E133" t="s">
        <v>13</v>
      </c>
      <c r="F133" t="s">
        <v>63</v>
      </c>
      <c r="G133" s="2">
        <v>12.17</v>
      </c>
    </row>
    <row r="134" spans="1:7" x14ac:dyDescent="0.3">
      <c r="C134" t="s">
        <v>58</v>
      </c>
      <c r="D134" t="s">
        <v>14</v>
      </c>
      <c r="E134" t="s">
        <v>15</v>
      </c>
      <c r="F134" t="s">
        <v>42</v>
      </c>
      <c r="G134" s="2">
        <v>91.29</v>
      </c>
    </row>
    <row r="135" spans="1:7" x14ac:dyDescent="0.3">
      <c r="C135" t="s">
        <v>62</v>
      </c>
      <c r="D135" t="s">
        <v>14</v>
      </c>
      <c r="E135" t="s">
        <v>8</v>
      </c>
      <c r="F135" t="s">
        <v>42</v>
      </c>
      <c r="G135" s="2">
        <v>7.77</v>
      </c>
    </row>
    <row r="136" spans="1:7" x14ac:dyDescent="0.3">
      <c r="C136" t="s">
        <v>60</v>
      </c>
      <c r="D136" t="s">
        <v>14</v>
      </c>
      <c r="E136" t="s">
        <v>8</v>
      </c>
      <c r="F136" t="s">
        <v>63</v>
      </c>
      <c r="G136" s="2">
        <v>22.91</v>
      </c>
    </row>
    <row r="137" spans="1:7" x14ac:dyDescent="0.3">
      <c r="C137" t="s">
        <v>64</v>
      </c>
      <c r="E137" t="s">
        <v>8</v>
      </c>
      <c r="F137" t="s">
        <v>63</v>
      </c>
      <c r="G137" s="2">
        <v>32.58</v>
      </c>
    </row>
    <row r="138" spans="1:7" x14ac:dyDescent="0.3">
      <c r="C138" t="s">
        <v>65</v>
      </c>
      <c r="D138" t="s">
        <v>11</v>
      </c>
      <c r="E138" t="s">
        <v>66</v>
      </c>
      <c r="F138" t="s">
        <v>67</v>
      </c>
      <c r="G138" s="2">
        <v>2.83</v>
      </c>
    </row>
    <row r="139" spans="1:7" x14ac:dyDescent="0.3">
      <c r="C139" t="s">
        <v>58</v>
      </c>
      <c r="D139" t="s">
        <v>14</v>
      </c>
      <c r="E139" t="s">
        <v>71</v>
      </c>
      <c r="F139" t="s">
        <v>67</v>
      </c>
      <c r="G139" s="2">
        <v>2.89</v>
      </c>
    </row>
    <row r="140" spans="1:7" x14ac:dyDescent="0.3">
      <c r="C140" t="s">
        <v>68</v>
      </c>
      <c r="D140" t="s">
        <v>7</v>
      </c>
      <c r="E140" t="s">
        <v>12</v>
      </c>
      <c r="F140" t="s">
        <v>67</v>
      </c>
      <c r="G140">
        <v>3.64</v>
      </c>
    </row>
    <row r="141" spans="1:7" x14ac:dyDescent="0.3">
      <c r="C141" t="s">
        <v>68</v>
      </c>
      <c r="D141" t="s">
        <v>7</v>
      </c>
      <c r="E141" t="s">
        <v>55</v>
      </c>
      <c r="F141" t="s">
        <v>67</v>
      </c>
      <c r="G141" s="2">
        <v>3.09</v>
      </c>
    </row>
    <row r="142" spans="1:7" x14ac:dyDescent="0.3">
      <c r="C142" t="s">
        <v>68</v>
      </c>
      <c r="D142" t="s">
        <v>11</v>
      </c>
      <c r="E142" t="s">
        <v>33</v>
      </c>
      <c r="F142" t="s">
        <v>67</v>
      </c>
      <c r="G142" s="2">
        <v>3.02</v>
      </c>
    </row>
    <row r="143" spans="1:7" x14ac:dyDescent="0.3">
      <c r="C143" t="s">
        <v>65</v>
      </c>
      <c r="D143" t="s">
        <v>17</v>
      </c>
      <c r="E143" t="s">
        <v>47</v>
      </c>
      <c r="F143" t="s">
        <v>42</v>
      </c>
      <c r="G143" s="2">
        <v>9.9700000000000006</v>
      </c>
    </row>
    <row r="144" spans="1:7" x14ac:dyDescent="0.3">
      <c r="C144" t="s">
        <v>58</v>
      </c>
      <c r="D144" t="s">
        <v>17</v>
      </c>
      <c r="E144" t="s">
        <v>19</v>
      </c>
      <c r="F144" t="s">
        <v>42</v>
      </c>
      <c r="G144" s="2">
        <v>12.63</v>
      </c>
    </row>
    <row r="145" spans="3:7" x14ac:dyDescent="0.3">
      <c r="C145" t="s">
        <v>58</v>
      </c>
      <c r="D145" t="s">
        <v>17</v>
      </c>
      <c r="E145" t="s">
        <v>13</v>
      </c>
      <c r="F145" t="s">
        <v>42</v>
      </c>
      <c r="G145" s="2">
        <v>8.83</v>
      </c>
    </row>
    <row r="146" spans="3:7" x14ac:dyDescent="0.3">
      <c r="C146" t="s">
        <v>60</v>
      </c>
      <c r="D146" t="s">
        <v>11</v>
      </c>
      <c r="E146" t="s">
        <v>33</v>
      </c>
      <c r="F146" t="s">
        <v>63</v>
      </c>
      <c r="G146" s="2">
        <v>39.76</v>
      </c>
    </row>
    <row r="147" spans="3:7" x14ac:dyDescent="0.3">
      <c r="C147" t="s">
        <v>58</v>
      </c>
      <c r="D147" t="s">
        <v>7</v>
      </c>
      <c r="E147" t="s">
        <v>15</v>
      </c>
      <c r="F147" t="s">
        <v>63</v>
      </c>
      <c r="G147" s="2">
        <v>47.28</v>
      </c>
    </row>
    <row r="148" spans="3:7" x14ac:dyDescent="0.3">
      <c r="C148" t="s">
        <v>65</v>
      </c>
      <c r="D148" t="s">
        <v>17</v>
      </c>
      <c r="E148" t="s">
        <v>69</v>
      </c>
      <c r="F148" t="s">
        <v>63</v>
      </c>
      <c r="G148" s="2">
        <v>17.579999999999998</v>
      </c>
    </row>
    <row r="149" spans="3:7" x14ac:dyDescent="0.3">
      <c r="C149" t="s">
        <v>58</v>
      </c>
      <c r="D149" t="s">
        <v>17</v>
      </c>
      <c r="E149" t="s">
        <v>47</v>
      </c>
      <c r="F149" t="s">
        <v>42</v>
      </c>
      <c r="G149" s="2">
        <v>6.42</v>
      </c>
    </row>
    <row r="150" spans="3:7" x14ac:dyDescent="0.3">
      <c r="C150" t="s">
        <v>70</v>
      </c>
      <c r="D150" t="s">
        <v>7</v>
      </c>
      <c r="E150" t="s">
        <v>71</v>
      </c>
      <c r="F150" t="s">
        <v>42</v>
      </c>
      <c r="G150" s="2">
        <v>7.01</v>
      </c>
    </row>
    <row r="151" spans="3:7" x14ac:dyDescent="0.3">
      <c r="C151" t="s">
        <v>65</v>
      </c>
      <c r="D151" t="s">
        <v>7</v>
      </c>
      <c r="E151" t="s">
        <v>66</v>
      </c>
      <c r="F151" t="s">
        <v>67</v>
      </c>
      <c r="G151" s="2">
        <v>3.71</v>
      </c>
    </row>
    <row r="152" spans="3:7" x14ac:dyDescent="0.3">
      <c r="C152" t="s">
        <v>65</v>
      </c>
      <c r="D152" t="s">
        <v>11</v>
      </c>
      <c r="E152" t="s">
        <v>71</v>
      </c>
      <c r="F152" t="s">
        <v>67</v>
      </c>
      <c r="G152" s="2">
        <v>2.87</v>
      </c>
    </row>
    <row r="153" spans="3:7" x14ac:dyDescent="0.3">
      <c r="C153" t="s">
        <v>70</v>
      </c>
      <c r="D153" t="s">
        <v>24</v>
      </c>
      <c r="E153" t="s">
        <v>71</v>
      </c>
      <c r="F153" t="s">
        <v>67</v>
      </c>
      <c r="G153" s="2">
        <v>2.93</v>
      </c>
    </row>
    <row r="154" spans="3:7" x14ac:dyDescent="0.3">
      <c r="C154" t="s">
        <v>65</v>
      </c>
      <c r="D154" t="s">
        <v>17</v>
      </c>
      <c r="E154" t="s">
        <v>12</v>
      </c>
      <c r="F154" t="s">
        <v>67</v>
      </c>
      <c r="G154" s="2">
        <v>2.81</v>
      </c>
    </row>
    <row r="155" spans="3:7" x14ac:dyDescent="0.3">
      <c r="C155" t="s">
        <v>65</v>
      </c>
      <c r="D155" t="s">
        <v>14</v>
      </c>
      <c r="E155" t="s">
        <v>71</v>
      </c>
      <c r="F155" t="s">
        <v>67</v>
      </c>
      <c r="G155" s="2">
        <v>2.74</v>
      </c>
    </row>
    <row r="156" spans="3:7" x14ac:dyDescent="0.3">
      <c r="C156" t="s">
        <v>70</v>
      </c>
      <c r="D156" t="s">
        <v>17</v>
      </c>
      <c r="E156" t="s">
        <v>71</v>
      </c>
      <c r="F156" t="s">
        <v>67</v>
      </c>
      <c r="G156" s="2">
        <v>2.95</v>
      </c>
    </row>
    <row r="157" spans="3:7" x14ac:dyDescent="0.3">
      <c r="C157" t="s">
        <v>70</v>
      </c>
      <c r="D157" t="s">
        <v>14</v>
      </c>
      <c r="E157" t="s">
        <v>71</v>
      </c>
      <c r="F157" t="s">
        <v>67</v>
      </c>
      <c r="G157" s="2">
        <v>2.92</v>
      </c>
    </row>
    <row r="158" spans="3:7" x14ac:dyDescent="0.3">
      <c r="C158" t="s">
        <v>70</v>
      </c>
      <c r="D158" t="s">
        <v>14</v>
      </c>
      <c r="E158" t="s">
        <v>13</v>
      </c>
      <c r="F158" t="s">
        <v>67</v>
      </c>
      <c r="G158" s="2">
        <v>3.16</v>
      </c>
    </row>
    <row r="159" spans="3:7" x14ac:dyDescent="0.3">
      <c r="C159" t="s">
        <v>65</v>
      </c>
      <c r="D159" t="s">
        <v>17</v>
      </c>
      <c r="E159" t="s">
        <v>71</v>
      </c>
      <c r="F159" t="s">
        <v>67</v>
      </c>
      <c r="G159" s="2">
        <v>2.83</v>
      </c>
    </row>
    <row r="160" spans="3:7" x14ac:dyDescent="0.3">
      <c r="C160" t="s">
        <v>60</v>
      </c>
      <c r="D160" t="s">
        <v>11</v>
      </c>
      <c r="E160" t="s">
        <v>13</v>
      </c>
      <c r="F160" t="s">
        <v>42</v>
      </c>
      <c r="G160" s="2">
        <v>14.44</v>
      </c>
    </row>
    <row r="161" spans="3:7" x14ac:dyDescent="0.3">
      <c r="C161" t="s">
        <v>65</v>
      </c>
      <c r="D161" t="s">
        <v>7</v>
      </c>
      <c r="E161" t="s">
        <v>15</v>
      </c>
      <c r="F161" t="s">
        <v>42</v>
      </c>
      <c r="G161" s="2">
        <v>34.299999999999997</v>
      </c>
    </row>
    <row r="162" spans="3:7" x14ac:dyDescent="0.3">
      <c r="C162" t="s">
        <v>72</v>
      </c>
      <c r="D162" t="s">
        <v>7</v>
      </c>
      <c r="E162" t="s">
        <v>29</v>
      </c>
      <c r="F162" t="s">
        <v>42</v>
      </c>
      <c r="G162" s="2">
        <v>9.93</v>
      </c>
    </row>
    <row r="163" spans="3:7" x14ac:dyDescent="0.3">
      <c r="C163" t="s">
        <v>68</v>
      </c>
      <c r="D163" t="s">
        <v>7</v>
      </c>
      <c r="E163" t="s">
        <v>33</v>
      </c>
      <c r="F163" t="s">
        <v>42</v>
      </c>
      <c r="G163" s="2">
        <v>8.59</v>
      </c>
    </row>
    <row r="164" spans="3:7" x14ac:dyDescent="0.3">
      <c r="C164" t="s">
        <v>59</v>
      </c>
      <c r="D164" t="s">
        <v>7</v>
      </c>
      <c r="E164" t="s">
        <v>15</v>
      </c>
      <c r="F164" t="s">
        <v>63</v>
      </c>
      <c r="G164" s="2">
        <v>115.94</v>
      </c>
    </row>
    <row r="165" spans="3:7" x14ac:dyDescent="0.3">
      <c r="C165" t="s">
        <v>60</v>
      </c>
      <c r="D165" t="s">
        <v>24</v>
      </c>
      <c r="E165" t="s">
        <v>15</v>
      </c>
      <c r="F165" t="s">
        <v>63</v>
      </c>
      <c r="G165" s="2">
        <v>114.89</v>
      </c>
    </row>
    <row r="166" spans="3:7" x14ac:dyDescent="0.3">
      <c r="C166" t="s">
        <v>60</v>
      </c>
      <c r="D166" t="s">
        <v>24</v>
      </c>
      <c r="E166" t="s">
        <v>18</v>
      </c>
      <c r="F166" t="s">
        <v>63</v>
      </c>
      <c r="G166" s="2">
        <v>97.89</v>
      </c>
    </row>
    <row r="167" spans="3:7" x14ac:dyDescent="0.3">
      <c r="C167" t="s">
        <v>60</v>
      </c>
      <c r="D167" t="s">
        <v>11</v>
      </c>
      <c r="E167" t="s">
        <v>15</v>
      </c>
      <c r="F167" t="s">
        <v>63</v>
      </c>
      <c r="G167" s="2">
        <v>58.19</v>
      </c>
    </row>
    <row r="168" spans="3:7" x14ac:dyDescent="0.3">
      <c r="C168" t="s">
        <v>68</v>
      </c>
      <c r="D168" t="s">
        <v>7</v>
      </c>
      <c r="E168" t="s">
        <v>29</v>
      </c>
      <c r="F168" t="s">
        <v>42</v>
      </c>
      <c r="G168" s="2">
        <v>9.2100000000000009</v>
      </c>
    </row>
    <row r="169" spans="3:7" x14ac:dyDescent="0.3">
      <c r="C169" t="s">
        <v>58</v>
      </c>
      <c r="D169" t="s">
        <v>24</v>
      </c>
      <c r="E169" t="s">
        <v>19</v>
      </c>
      <c r="F169" t="s">
        <v>42</v>
      </c>
      <c r="G169" s="2">
        <v>18.100000000000001</v>
      </c>
    </row>
    <row r="170" spans="3:7" x14ac:dyDescent="0.3">
      <c r="C170" t="s">
        <v>60</v>
      </c>
      <c r="D170" t="s">
        <v>11</v>
      </c>
      <c r="E170" t="s">
        <v>30</v>
      </c>
      <c r="F170" t="s">
        <v>42</v>
      </c>
      <c r="G170" s="2">
        <v>10.029999999999999</v>
      </c>
    </row>
    <row r="171" spans="3:7" x14ac:dyDescent="0.3">
      <c r="C171" t="s">
        <v>72</v>
      </c>
      <c r="D171" t="s">
        <v>7</v>
      </c>
      <c r="E171" t="s">
        <v>30</v>
      </c>
      <c r="F171" t="s">
        <v>67</v>
      </c>
      <c r="G171" s="2">
        <v>4.87</v>
      </c>
    </row>
    <row r="172" spans="3:7" x14ac:dyDescent="0.3">
      <c r="C172" t="s">
        <v>70</v>
      </c>
      <c r="D172" t="s">
        <v>11</v>
      </c>
      <c r="E172" t="s">
        <v>30</v>
      </c>
      <c r="F172" t="s">
        <v>67</v>
      </c>
      <c r="G172" s="2">
        <v>3.19</v>
      </c>
    </row>
    <row r="173" spans="3:7" x14ac:dyDescent="0.3">
      <c r="C173" t="s">
        <v>58</v>
      </c>
      <c r="D173" t="s">
        <v>11</v>
      </c>
      <c r="E173" t="s">
        <v>30</v>
      </c>
      <c r="F173" t="s">
        <v>67</v>
      </c>
      <c r="G173" s="2">
        <v>3.02</v>
      </c>
    </row>
    <row r="174" spans="3:7" x14ac:dyDescent="0.3">
      <c r="C174" t="s">
        <v>58</v>
      </c>
      <c r="D174" t="s">
        <v>11</v>
      </c>
      <c r="E174" t="s">
        <v>55</v>
      </c>
      <c r="F174" t="s">
        <v>67</v>
      </c>
      <c r="G174" s="2">
        <v>3.19</v>
      </c>
    </row>
    <row r="175" spans="3:7" x14ac:dyDescent="0.3">
      <c r="C175" t="s">
        <v>70</v>
      </c>
      <c r="D175" t="s">
        <v>11</v>
      </c>
      <c r="E175" t="s">
        <v>29</v>
      </c>
      <c r="F175" t="s">
        <v>67</v>
      </c>
      <c r="G175" s="2">
        <v>3.57</v>
      </c>
    </row>
    <row r="176" spans="3:7" x14ac:dyDescent="0.3">
      <c r="C176" t="s">
        <v>70</v>
      </c>
      <c r="D176" t="s">
        <v>14</v>
      </c>
      <c r="E176" t="s">
        <v>41</v>
      </c>
      <c r="F176" t="s">
        <v>67</v>
      </c>
      <c r="G176" s="2">
        <v>3.13</v>
      </c>
    </row>
    <row r="177" spans="3:7" x14ac:dyDescent="0.3">
      <c r="C177" t="s">
        <v>65</v>
      </c>
      <c r="D177" t="s">
        <v>24</v>
      </c>
      <c r="E177" t="s">
        <v>71</v>
      </c>
      <c r="F177" t="s">
        <v>67</v>
      </c>
      <c r="G177" s="2">
        <v>2.96</v>
      </c>
    </row>
    <row r="178" spans="3:7" x14ac:dyDescent="0.3">
      <c r="C178" t="s">
        <v>58</v>
      </c>
      <c r="D178" t="s">
        <v>7</v>
      </c>
      <c r="E178" t="s">
        <v>71</v>
      </c>
      <c r="F178" t="s">
        <v>67</v>
      </c>
      <c r="G178" s="2">
        <v>3</v>
      </c>
    </row>
    <row r="179" spans="3:7" x14ac:dyDescent="0.3">
      <c r="C179" t="s">
        <v>58</v>
      </c>
      <c r="D179" t="s">
        <v>24</v>
      </c>
      <c r="E179" t="s">
        <v>71</v>
      </c>
      <c r="F179" t="s">
        <v>67</v>
      </c>
      <c r="G179" s="2">
        <v>3.05</v>
      </c>
    </row>
    <row r="180" spans="3:7" x14ac:dyDescent="0.3">
      <c r="C180" t="s">
        <v>58</v>
      </c>
      <c r="D180" t="s">
        <v>24</v>
      </c>
      <c r="E180" t="s">
        <v>31</v>
      </c>
      <c r="F180" t="s">
        <v>67</v>
      </c>
      <c r="G180" s="2">
        <v>3.9</v>
      </c>
    </row>
    <row r="181" spans="3:7" x14ac:dyDescent="0.3">
      <c r="C181" t="s">
        <v>72</v>
      </c>
      <c r="D181" t="s">
        <v>14</v>
      </c>
      <c r="E181" t="s">
        <v>71</v>
      </c>
      <c r="F181" t="s">
        <v>67</v>
      </c>
      <c r="G181" s="2">
        <v>2.93</v>
      </c>
    </row>
    <row r="182" spans="3:7" x14ac:dyDescent="0.3">
      <c r="C182" t="s">
        <v>72</v>
      </c>
      <c r="D182" t="s">
        <v>17</v>
      </c>
      <c r="E182" t="s">
        <v>71</v>
      </c>
      <c r="F182" t="s">
        <v>67</v>
      </c>
      <c r="G182" s="2">
        <v>2.93</v>
      </c>
    </row>
    <row r="183" spans="3:7" x14ac:dyDescent="0.3">
      <c r="C183" t="s">
        <v>72</v>
      </c>
      <c r="D183" t="s">
        <v>7</v>
      </c>
      <c r="E183" t="s">
        <v>71</v>
      </c>
      <c r="F183" t="s">
        <v>67</v>
      </c>
      <c r="G183" s="2">
        <v>3.02</v>
      </c>
    </row>
    <row r="184" spans="3:7" x14ac:dyDescent="0.3">
      <c r="C184" t="s">
        <v>72</v>
      </c>
      <c r="D184" t="s">
        <v>14</v>
      </c>
      <c r="E184" t="s">
        <v>73</v>
      </c>
      <c r="F184" t="s">
        <v>67</v>
      </c>
      <c r="G184" s="2">
        <v>3.6</v>
      </c>
    </row>
    <row r="185" spans="3:7" x14ac:dyDescent="0.3">
      <c r="C185" t="s">
        <v>59</v>
      </c>
      <c r="D185" t="s">
        <v>14</v>
      </c>
      <c r="E185" t="s">
        <v>29</v>
      </c>
      <c r="F185" t="s">
        <v>67</v>
      </c>
      <c r="G185" s="2">
        <v>3.14</v>
      </c>
    </row>
    <row r="186" spans="3:7" x14ac:dyDescent="0.3">
      <c r="C186" t="s">
        <v>59</v>
      </c>
      <c r="D186" t="s">
        <v>24</v>
      </c>
      <c r="E186" t="s">
        <v>29</v>
      </c>
      <c r="F186" t="s">
        <v>67</v>
      </c>
      <c r="G186" s="2">
        <v>3.08</v>
      </c>
    </row>
    <row r="187" spans="3:7" x14ac:dyDescent="0.3">
      <c r="C187" t="s">
        <v>72</v>
      </c>
      <c r="D187" t="s">
        <v>7</v>
      </c>
      <c r="E187" t="s">
        <v>15</v>
      </c>
      <c r="F187" t="s">
        <v>63</v>
      </c>
      <c r="G187" s="2">
        <v>194.6</v>
      </c>
    </row>
    <row r="188" spans="3:7" x14ac:dyDescent="0.3">
      <c r="C188" t="s">
        <v>59</v>
      </c>
      <c r="D188" t="s">
        <v>14</v>
      </c>
      <c r="E188" t="s">
        <v>15</v>
      </c>
      <c r="F188" t="s">
        <v>63</v>
      </c>
      <c r="G188" s="2">
        <v>154.09</v>
      </c>
    </row>
    <row r="189" spans="3:7" x14ac:dyDescent="0.3">
      <c r="C189" t="s">
        <v>68</v>
      </c>
      <c r="D189" t="s">
        <v>11</v>
      </c>
      <c r="E189" t="s">
        <v>15</v>
      </c>
      <c r="F189" t="s">
        <v>63</v>
      </c>
      <c r="G189" s="2">
        <v>29.67</v>
      </c>
    </row>
    <row r="190" spans="3:7" x14ac:dyDescent="0.3">
      <c r="C190" t="s">
        <v>60</v>
      </c>
      <c r="D190" t="s">
        <v>7</v>
      </c>
      <c r="E190" t="s">
        <v>29</v>
      </c>
      <c r="F190" t="s">
        <v>63</v>
      </c>
      <c r="G190" s="2">
        <v>19.46</v>
      </c>
    </row>
    <row r="191" spans="3:7" x14ac:dyDescent="0.3">
      <c r="C191" t="s">
        <v>68</v>
      </c>
      <c r="D191" t="s">
        <v>11</v>
      </c>
      <c r="E191" t="s">
        <v>46</v>
      </c>
      <c r="F191" t="s">
        <v>61</v>
      </c>
      <c r="G191" s="2">
        <v>73.25</v>
      </c>
    </row>
    <row r="192" spans="3:7" x14ac:dyDescent="0.3">
      <c r="C192" t="s">
        <v>60</v>
      </c>
      <c r="D192" t="s">
        <v>14</v>
      </c>
      <c r="E192" t="s">
        <v>13</v>
      </c>
      <c r="F192" t="s">
        <v>61</v>
      </c>
      <c r="G192" s="2">
        <v>249.15</v>
      </c>
    </row>
    <row r="193" spans="1:7" x14ac:dyDescent="0.3">
      <c r="C193" t="s">
        <v>70</v>
      </c>
      <c r="D193" t="s">
        <v>24</v>
      </c>
      <c r="E193" t="s">
        <v>15</v>
      </c>
      <c r="F193" t="s">
        <v>63</v>
      </c>
      <c r="G193" s="2">
        <v>95.26</v>
      </c>
    </row>
    <row r="194" spans="1:7" x14ac:dyDescent="0.3">
      <c r="C194" t="s">
        <v>59</v>
      </c>
      <c r="D194" t="s">
        <v>24</v>
      </c>
      <c r="E194" t="s">
        <v>15</v>
      </c>
      <c r="F194" t="s">
        <v>61</v>
      </c>
      <c r="G194" s="2">
        <v>204.76</v>
      </c>
    </row>
    <row r="195" spans="1:7" x14ac:dyDescent="0.3">
      <c r="C195" t="s">
        <v>58</v>
      </c>
      <c r="D195" t="s">
        <v>11</v>
      </c>
      <c r="E195" t="s">
        <v>35</v>
      </c>
      <c r="F195" t="s">
        <v>63</v>
      </c>
      <c r="G195" s="2">
        <v>18.87</v>
      </c>
    </row>
    <row r="196" spans="1:7" x14ac:dyDescent="0.3">
      <c r="C196" t="s">
        <v>65</v>
      </c>
      <c r="D196" t="s">
        <v>17</v>
      </c>
      <c r="E196" t="s">
        <v>15</v>
      </c>
      <c r="F196" t="s">
        <v>63</v>
      </c>
      <c r="G196" s="2">
        <v>93.18</v>
      </c>
    </row>
    <row r="197" spans="1:7" x14ac:dyDescent="0.3">
      <c r="C197" t="s">
        <v>70</v>
      </c>
      <c r="D197" t="s">
        <v>7</v>
      </c>
      <c r="E197" t="s">
        <v>15</v>
      </c>
      <c r="F197" t="s">
        <v>63</v>
      </c>
      <c r="G197" s="2">
        <v>61.3</v>
      </c>
    </row>
    <row r="198" spans="1:7" x14ac:dyDescent="0.3">
      <c r="C198" t="s">
        <v>70</v>
      </c>
      <c r="D198" t="s">
        <v>14</v>
      </c>
      <c r="E198" t="s">
        <v>15</v>
      </c>
      <c r="F198" t="s">
        <v>63</v>
      </c>
      <c r="G198" s="2">
        <v>84.26</v>
      </c>
    </row>
    <row r="199" spans="1:7" x14ac:dyDescent="0.3">
      <c r="C199" t="s">
        <v>70</v>
      </c>
      <c r="D199" t="s">
        <v>11</v>
      </c>
      <c r="E199" t="s">
        <v>15</v>
      </c>
      <c r="F199" t="s">
        <v>44</v>
      </c>
      <c r="G199" s="2">
        <v>208.19</v>
      </c>
    </row>
    <row r="200" spans="1:7" x14ac:dyDescent="0.3">
      <c r="C200" t="s">
        <v>65</v>
      </c>
      <c r="D200" t="s">
        <v>24</v>
      </c>
      <c r="E200" t="s">
        <v>15</v>
      </c>
      <c r="F200" t="s">
        <v>61</v>
      </c>
      <c r="G200" s="2">
        <v>397.59</v>
      </c>
    </row>
    <row r="201" spans="1:7" x14ac:dyDescent="0.3">
      <c r="C201" t="s">
        <v>68</v>
      </c>
      <c r="D201" t="s">
        <v>11</v>
      </c>
      <c r="E201" t="s">
        <v>30</v>
      </c>
      <c r="F201" t="s">
        <v>63</v>
      </c>
      <c r="G201" s="2">
        <v>15.9</v>
      </c>
    </row>
    <row r="202" spans="1:7" x14ac:dyDescent="0.3">
      <c r="C202" t="s">
        <v>62</v>
      </c>
      <c r="D202" t="s">
        <v>14</v>
      </c>
      <c r="E202" t="s">
        <v>13</v>
      </c>
      <c r="F202" t="s">
        <v>61</v>
      </c>
      <c r="G202" s="2">
        <v>108.71</v>
      </c>
    </row>
    <row r="203" spans="1:7" x14ac:dyDescent="0.3">
      <c r="C203" t="s">
        <v>68</v>
      </c>
      <c r="D203" t="s">
        <v>7</v>
      </c>
      <c r="E203" t="s">
        <v>15</v>
      </c>
      <c r="F203" t="s">
        <v>61</v>
      </c>
      <c r="G203" s="2">
        <v>111.63</v>
      </c>
    </row>
    <row r="204" spans="1:7" x14ac:dyDescent="0.3">
      <c r="C204" t="s">
        <v>65</v>
      </c>
      <c r="D204" t="s">
        <v>11</v>
      </c>
      <c r="E204" t="s">
        <v>15</v>
      </c>
      <c r="F204" t="s">
        <v>63</v>
      </c>
      <c r="G204" s="2">
        <v>103.13</v>
      </c>
    </row>
    <row r="205" spans="1:7" x14ac:dyDescent="0.3">
      <c r="C205" t="s">
        <v>60</v>
      </c>
      <c r="D205" t="s">
        <v>7</v>
      </c>
      <c r="E205" t="s">
        <v>74</v>
      </c>
      <c r="F205" t="s">
        <v>63</v>
      </c>
      <c r="G205" s="2">
        <v>22.94</v>
      </c>
    </row>
    <row r="206" spans="1:7" x14ac:dyDescent="0.3">
      <c r="C206" t="s">
        <v>70</v>
      </c>
      <c r="D206" t="s">
        <v>17</v>
      </c>
      <c r="E206" t="s">
        <v>15</v>
      </c>
      <c r="F206" t="s">
        <v>61</v>
      </c>
      <c r="G206" s="2">
        <v>318.27999999999997</v>
      </c>
    </row>
    <row r="207" spans="1:7" x14ac:dyDescent="0.3">
      <c r="C207" t="s">
        <v>58</v>
      </c>
      <c r="D207" t="s">
        <v>17</v>
      </c>
      <c r="E207" t="s">
        <v>15</v>
      </c>
      <c r="F207" t="s">
        <v>61</v>
      </c>
      <c r="G207" s="2">
        <v>453.24</v>
      </c>
    </row>
    <row r="208" spans="1:7" x14ac:dyDescent="0.3">
      <c r="A208" t="s">
        <v>23</v>
      </c>
      <c r="B208">
        <v>5</v>
      </c>
      <c r="C208" t="s">
        <v>62</v>
      </c>
      <c r="D208" t="s">
        <v>11</v>
      </c>
      <c r="E208" t="s">
        <v>15</v>
      </c>
      <c r="F208" t="s">
        <v>63</v>
      </c>
      <c r="G208" s="2">
        <v>86.32</v>
      </c>
    </row>
    <row r="209" spans="1:7" x14ac:dyDescent="0.3">
      <c r="A209" t="s">
        <v>22</v>
      </c>
      <c r="B209" s="3">
        <v>44824.583333333336</v>
      </c>
      <c r="C209" t="s">
        <v>59</v>
      </c>
      <c r="D209" t="s">
        <v>24</v>
      </c>
      <c r="E209" t="s">
        <v>8</v>
      </c>
      <c r="F209" t="s">
        <v>63</v>
      </c>
      <c r="G209" s="2">
        <v>34.01</v>
      </c>
    </row>
    <row r="210" spans="1:7" x14ac:dyDescent="0.3">
      <c r="A210" t="s">
        <v>86</v>
      </c>
      <c r="B210" s="3">
        <v>44826.600694444445</v>
      </c>
      <c r="C210" t="s">
        <v>65</v>
      </c>
      <c r="D210" t="s">
        <v>17</v>
      </c>
      <c r="E210" t="s">
        <v>8</v>
      </c>
      <c r="F210" t="s">
        <v>63</v>
      </c>
      <c r="G210" s="2">
        <v>36.92</v>
      </c>
    </row>
    <row r="211" spans="1:7" x14ac:dyDescent="0.3">
      <c r="C211" t="s">
        <v>62</v>
      </c>
      <c r="D211" t="s">
        <v>7</v>
      </c>
      <c r="E211" t="s">
        <v>15</v>
      </c>
      <c r="F211" t="s">
        <v>63</v>
      </c>
      <c r="G211" s="2">
        <v>78.8</v>
      </c>
    </row>
    <row r="212" spans="1:7" x14ac:dyDescent="0.3">
      <c r="C212" t="s">
        <v>62</v>
      </c>
      <c r="D212" t="s">
        <v>24</v>
      </c>
      <c r="E212" t="s">
        <v>8</v>
      </c>
      <c r="F212" t="s">
        <v>63</v>
      </c>
      <c r="G212" s="2">
        <v>35.92</v>
      </c>
    </row>
    <row r="213" spans="1:7" x14ac:dyDescent="0.3">
      <c r="C213" t="s">
        <v>72</v>
      </c>
      <c r="D213" t="s">
        <v>11</v>
      </c>
      <c r="E213" t="s">
        <v>15</v>
      </c>
      <c r="F213" t="s">
        <v>63</v>
      </c>
      <c r="G213" s="2">
        <v>245.75</v>
      </c>
    </row>
    <row r="214" spans="1:7" x14ac:dyDescent="0.3">
      <c r="C214" t="s">
        <v>62</v>
      </c>
      <c r="D214" t="s">
        <v>11</v>
      </c>
      <c r="E214" t="s">
        <v>80</v>
      </c>
      <c r="F214" t="s">
        <v>63</v>
      </c>
      <c r="G214" s="2">
        <v>27.05</v>
      </c>
    </row>
    <row r="215" spans="1:7" x14ac:dyDescent="0.3">
      <c r="C215" t="s">
        <v>62</v>
      </c>
      <c r="D215" t="s">
        <v>7</v>
      </c>
      <c r="E215" t="s">
        <v>8</v>
      </c>
      <c r="F215" t="s">
        <v>42</v>
      </c>
      <c r="G215" s="2">
        <v>7.75</v>
      </c>
    </row>
    <row r="216" spans="1:7" x14ac:dyDescent="0.3">
      <c r="C216" t="s">
        <v>62</v>
      </c>
      <c r="D216" t="s">
        <v>11</v>
      </c>
      <c r="E216" t="s">
        <v>79</v>
      </c>
      <c r="F216" t="s">
        <v>63</v>
      </c>
      <c r="G216" s="2">
        <v>19.600000000000001</v>
      </c>
    </row>
    <row r="217" spans="1:7" x14ac:dyDescent="0.3">
      <c r="C217" t="s">
        <v>62</v>
      </c>
      <c r="D217" t="s">
        <v>7</v>
      </c>
      <c r="E217" t="s">
        <v>29</v>
      </c>
      <c r="F217" t="s">
        <v>63</v>
      </c>
      <c r="G217" s="2">
        <v>18.18</v>
      </c>
    </row>
    <row r="218" spans="1:7" x14ac:dyDescent="0.3">
      <c r="C218" t="s">
        <v>62</v>
      </c>
      <c r="D218" t="s">
        <v>17</v>
      </c>
      <c r="E218" t="s">
        <v>15</v>
      </c>
      <c r="F218" t="s">
        <v>63</v>
      </c>
      <c r="G218" s="2">
        <v>123.36</v>
      </c>
    </row>
    <row r="219" spans="1:7" x14ac:dyDescent="0.3">
      <c r="C219" t="s">
        <v>60</v>
      </c>
      <c r="D219" t="s">
        <v>17</v>
      </c>
      <c r="E219" t="s">
        <v>13</v>
      </c>
      <c r="F219" t="s">
        <v>63</v>
      </c>
      <c r="G219" s="2">
        <v>31.58</v>
      </c>
    </row>
    <row r="220" spans="1:7" x14ac:dyDescent="0.3">
      <c r="C220" t="s">
        <v>62</v>
      </c>
      <c r="D220" t="s">
        <v>7</v>
      </c>
      <c r="E220" t="s">
        <v>80</v>
      </c>
      <c r="F220" t="s">
        <v>63</v>
      </c>
      <c r="G220" s="2">
        <v>33.590000000000003</v>
      </c>
    </row>
    <row r="221" spans="1:7" x14ac:dyDescent="0.3">
      <c r="C221" t="s">
        <v>62</v>
      </c>
      <c r="D221" t="s">
        <v>11</v>
      </c>
      <c r="E221" t="s">
        <v>13</v>
      </c>
      <c r="F221" t="s">
        <v>63</v>
      </c>
      <c r="G221" s="2">
        <v>25.1</v>
      </c>
    </row>
    <row r="222" spans="1:7" x14ac:dyDescent="0.3">
      <c r="C222" t="s">
        <v>60</v>
      </c>
      <c r="D222" t="s">
        <v>7</v>
      </c>
      <c r="E222" t="s">
        <v>33</v>
      </c>
      <c r="F222" t="s">
        <v>42</v>
      </c>
      <c r="G222" s="2">
        <v>19.41</v>
      </c>
    </row>
    <row r="223" spans="1:7" x14ac:dyDescent="0.3">
      <c r="C223" t="s">
        <v>60</v>
      </c>
      <c r="D223" t="s">
        <v>14</v>
      </c>
      <c r="E223" t="s">
        <v>13</v>
      </c>
      <c r="F223" t="s">
        <v>44</v>
      </c>
      <c r="G223" s="2">
        <v>85.06</v>
      </c>
    </row>
    <row r="224" spans="1:7" x14ac:dyDescent="0.3">
      <c r="C224" t="s">
        <v>72</v>
      </c>
      <c r="D224" t="s">
        <v>14</v>
      </c>
      <c r="E224" t="s">
        <v>15</v>
      </c>
      <c r="F224" t="s">
        <v>61</v>
      </c>
      <c r="G224" s="2">
        <v>323.89999999999998</v>
      </c>
    </row>
    <row r="225" spans="1:7" x14ac:dyDescent="0.3">
      <c r="C225" t="s">
        <v>62</v>
      </c>
      <c r="D225" t="s">
        <v>24</v>
      </c>
      <c r="E225" t="s">
        <v>15</v>
      </c>
      <c r="F225" t="s">
        <v>61</v>
      </c>
      <c r="G225" s="2">
        <v>240.33</v>
      </c>
    </row>
    <row r="226" spans="1:7" x14ac:dyDescent="0.3">
      <c r="C226" t="s">
        <v>65</v>
      </c>
      <c r="D226" t="s">
        <v>14</v>
      </c>
      <c r="E226" t="s">
        <v>15</v>
      </c>
      <c r="F226" t="s">
        <v>63</v>
      </c>
      <c r="G226" s="2">
        <v>184.05</v>
      </c>
    </row>
    <row r="227" spans="1:7" x14ac:dyDescent="0.3">
      <c r="C227" t="s">
        <v>60</v>
      </c>
      <c r="D227" t="s">
        <v>17</v>
      </c>
      <c r="E227" t="s">
        <v>15</v>
      </c>
      <c r="F227" t="s">
        <v>63</v>
      </c>
      <c r="G227">
        <v>45.17</v>
      </c>
    </row>
    <row r="228" spans="1:7" x14ac:dyDescent="0.3">
      <c r="C228" t="s">
        <v>60</v>
      </c>
      <c r="D228" t="s">
        <v>14</v>
      </c>
      <c r="E228" t="s">
        <v>15</v>
      </c>
      <c r="F228" t="s">
        <v>63</v>
      </c>
      <c r="G228" s="2">
        <v>113.26</v>
      </c>
    </row>
    <row r="229" spans="1:7" x14ac:dyDescent="0.3">
      <c r="C229" t="s">
        <v>60</v>
      </c>
      <c r="D229" t="s">
        <v>7</v>
      </c>
      <c r="E229" t="s">
        <v>15</v>
      </c>
      <c r="F229" t="s">
        <v>63</v>
      </c>
      <c r="G229" s="2">
        <v>135.72</v>
      </c>
    </row>
    <row r="230" spans="1:7" x14ac:dyDescent="0.3">
      <c r="C230" t="s">
        <v>58</v>
      </c>
      <c r="D230" t="s">
        <v>11</v>
      </c>
      <c r="E230" t="s">
        <v>15</v>
      </c>
      <c r="F230" t="s">
        <v>63</v>
      </c>
      <c r="G230" s="2">
        <v>108.23</v>
      </c>
    </row>
    <row r="231" spans="1:7" x14ac:dyDescent="0.3">
      <c r="C231" t="s">
        <v>72</v>
      </c>
      <c r="D231" t="s">
        <v>24</v>
      </c>
      <c r="E231" t="s">
        <v>15</v>
      </c>
      <c r="F231" t="s">
        <v>42</v>
      </c>
      <c r="G231" s="2">
        <v>168.05</v>
      </c>
    </row>
    <row r="232" spans="1:7" x14ac:dyDescent="0.3">
      <c r="C232" t="s">
        <v>72</v>
      </c>
      <c r="D232" t="s">
        <v>17</v>
      </c>
      <c r="E232" t="s">
        <v>15</v>
      </c>
      <c r="F232" t="s">
        <v>42</v>
      </c>
      <c r="G232" s="2">
        <v>52.43</v>
      </c>
    </row>
    <row r="233" spans="1:7" x14ac:dyDescent="0.3">
      <c r="C233" t="s">
        <v>68</v>
      </c>
      <c r="D233" t="s">
        <v>7</v>
      </c>
      <c r="E233" t="s">
        <v>52</v>
      </c>
      <c r="F233" t="s">
        <v>42</v>
      </c>
      <c r="G233" s="2">
        <v>15.85</v>
      </c>
    </row>
    <row r="234" spans="1:7" x14ac:dyDescent="0.3">
      <c r="C234" t="s">
        <v>58</v>
      </c>
      <c r="D234" t="s">
        <v>17</v>
      </c>
      <c r="E234" t="s">
        <v>31</v>
      </c>
      <c r="F234" t="s">
        <v>63</v>
      </c>
      <c r="G234" s="2">
        <v>14.63</v>
      </c>
    </row>
    <row r="235" spans="1:7" x14ac:dyDescent="0.3">
      <c r="C235" t="s">
        <v>59</v>
      </c>
      <c r="D235" t="s">
        <v>11</v>
      </c>
      <c r="E235" t="s">
        <v>15</v>
      </c>
      <c r="F235" t="s">
        <v>63</v>
      </c>
      <c r="G235" s="2">
        <v>105.34</v>
      </c>
    </row>
    <row r="236" spans="1:7" x14ac:dyDescent="0.3">
      <c r="C236" t="s">
        <v>62</v>
      </c>
      <c r="D236" t="s">
        <v>14</v>
      </c>
      <c r="E236" t="s">
        <v>13</v>
      </c>
      <c r="F236" t="s">
        <v>42</v>
      </c>
      <c r="G236" s="2">
        <v>17.170000000000002</v>
      </c>
    </row>
    <row r="237" spans="1:7" x14ac:dyDescent="0.3">
      <c r="C237" t="s">
        <v>62</v>
      </c>
      <c r="D237" t="s">
        <v>14</v>
      </c>
      <c r="E237" t="s">
        <v>15</v>
      </c>
      <c r="F237" t="s">
        <v>61</v>
      </c>
      <c r="G237" s="2">
        <v>154.63</v>
      </c>
    </row>
    <row r="238" spans="1:7" x14ac:dyDescent="0.3">
      <c r="C238" t="s">
        <v>62</v>
      </c>
      <c r="D238" t="s">
        <v>17</v>
      </c>
      <c r="E238" t="s">
        <v>33</v>
      </c>
      <c r="F238" t="s">
        <v>67</v>
      </c>
      <c r="G238" s="2">
        <v>2.93</v>
      </c>
    </row>
    <row r="239" spans="1:7" x14ac:dyDescent="0.3">
      <c r="A239" t="s">
        <v>23</v>
      </c>
      <c r="B239">
        <v>6</v>
      </c>
      <c r="C239" t="s">
        <v>68</v>
      </c>
      <c r="D239" t="s">
        <v>24</v>
      </c>
      <c r="E239" t="s">
        <v>15</v>
      </c>
      <c r="F239" t="s">
        <v>63</v>
      </c>
      <c r="G239" s="2">
        <v>38.56</v>
      </c>
    </row>
    <row r="240" spans="1:7" x14ac:dyDescent="0.3">
      <c r="A240" t="s">
        <v>22</v>
      </c>
      <c r="B240" s="3">
        <v>44826.625</v>
      </c>
      <c r="C240" t="s">
        <v>68</v>
      </c>
      <c r="D240" t="s">
        <v>24</v>
      </c>
      <c r="E240" t="s">
        <v>13</v>
      </c>
      <c r="F240" t="s">
        <v>63</v>
      </c>
      <c r="G240" s="2">
        <v>12.26</v>
      </c>
    </row>
    <row r="241" spans="1:7" x14ac:dyDescent="0.3">
      <c r="A241" t="s">
        <v>86</v>
      </c>
      <c r="B241" s="3">
        <v>44828.606249999997</v>
      </c>
      <c r="C241" t="s">
        <v>68</v>
      </c>
      <c r="D241" t="s">
        <v>17</v>
      </c>
      <c r="E241" t="s">
        <v>15</v>
      </c>
      <c r="F241" t="s">
        <v>63</v>
      </c>
      <c r="G241" s="2">
        <v>60.28</v>
      </c>
    </row>
    <row r="242" spans="1:7" x14ac:dyDescent="0.3">
      <c r="C242" t="s">
        <v>81</v>
      </c>
      <c r="D242" t="s">
        <v>24</v>
      </c>
      <c r="E242" t="s">
        <v>29</v>
      </c>
      <c r="F242" t="s">
        <v>42</v>
      </c>
      <c r="G242" s="2">
        <v>6.54</v>
      </c>
    </row>
    <row r="243" spans="1:7" x14ac:dyDescent="0.3">
      <c r="C243" t="s">
        <v>82</v>
      </c>
      <c r="D243" t="s">
        <v>14</v>
      </c>
      <c r="E243" t="s">
        <v>8</v>
      </c>
      <c r="F243" t="s">
        <v>42</v>
      </c>
      <c r="G243" s="2">
        <v>7.33</v>
      </c>
    </row>
    <row r="244" spans="1:7" x14ac:dyDescent="0.3">
      <c r="C244" t="s">
        <v>62</v>
      </c>
      <c r="D244" t="s">
        <v>7</v>
      </c>
      <c r="E244" t="s">
        <v>83</v>
      </c>
      <c r="F244" t="s">
        <v>42</v>
      </c>
      <c r="G244" s="2">
        <v>6.61</v>
      </c>
    </row>
    <row r="245" spans="1:7" x14ac:dyDescent="0.3">
      <c r="C245" t="s">
        <v>68</v>
      </c>
      <c r="D245" t="s">
        <v>17</v>
      </c>
      <c r="E245" t="s">
        <v>8</v>
      </c>
      <c r="F245" t="s">
        <v>63</v>
      </c>
      <c r="G245" s="2">
        <v>12.83</v>
      </c>
    </row>
    <row r="246" spans="1:7" x14ac:dyDescent="0.3">
      <c r="C246" t="s">
        <v>68</v>
      </c>
      <c r="D246" t="s">
        <v>14</v>
      </c>
      <c r="E246" t="s">
        <v>33</v>
      </c>
      <c r="F246" t="s">
        <v>63</v>
      </c>
      <c r="G246" s="2">
        <v>18</v>
      </c>
    </row>
    <row r="247" spans="1:7" x14ac:dyDescent="0.3">
      <c r="C247" t="s">
        <v>84</v>
      </c>
      <c r="D247" t="s">
        <v>7</v>
      </c>
      <c r="E247" t="s">
        <v>15</v>
      </c>
      <c r="F247" t="s">
        <v>44</v>
      </c>
      <c r="G247" s="2">
        <v>92.87</v>
      </c>
    </row>
    <row r="248" spans="1:7" x14ac:dyDescent="0.3">
      <c r="C248" t="s">
        <v>68</v>
      </c>
      <c r="D248" t="s">
        <v>14</v>
      </c>
      <c r="E248" t="s">
        <v>35</v>
      </c>
      <c r="F248" t="s">
        <v>63</v>
      </c>
      <c r="G248" s="2">
        <v>15.64</v>
      </c>
    </row>
    <row r="249" spans="1:7" x14ac:dyDescent="0.3">
      <c r="C249" t="s">
        <v>84</v>
      </c>
      <c r="D249" t="s">
        <v>14</v>
      </c>
      <c r="E249" t="s">
        <v>33</v>
      </c>
      <c r="F249" t="s">
        <v>42</v>
      </c>
      <c r="G249" s="2">
        <v>11.5</v>
      </c>
    </row>
    <row r="250" spans="1:7" x14ac:dyDescent="0.3">
      <c r="C250" t="s">
        <v>68</v>
      </c>
      <c r="D250" t="s">
        <v>24</v>
      </c>
      <c r="E250" t="s">
        <v>33</v>
      </c>
      <c r="F250" t="s">
        <v>42</v>
      </c>
      <c r="G250" s="2">
        <v>7.96</v>
      </c>
    </row>
    <row r="251" spans="1:7" x14ac:dyDescent="0.3">
      <c r="C251" t="s">
        <v>84</v>
      </c>
      <c r="D251" t="s">
        <v>14</v>
      </c>
      <c r="E251" t="s">
        <v>35</v>
      </c>
      <c r="F251" t="s">
        <v>63</v>
      </c>
      <c r="G251" s="2">
        <v>11.14</v>
      </c>
    </row>
    <row r="252" spans="1:7" x14ac:dyDescent="0.3">
      <c r="C252" t="s">
        <v>84</v>
      </c>
      <c r="D252" t="s">
        <v>24</v>
      </c>
      <c r="E252" t="s">
        <v>15</v>
      </c>
      <c r="F252" t="s">
        <v>44</v>
      </c>
      <c r="G252" s="2">
        <v>103.63</v>
      </c>
    </row>
    <row r="253" spans="1:7" x14ac:dyDescent="0.3">
      <c r="C253" t="s">
        <v>84</v>
      </c>
      <c r="D253" t="s">
        <v>24</v>
      </c>
      <c r="E253" t="s">
        <v>13</v>
      </c>
      <c r="F253" t="s">
        <v>61</v>
      </c>
      <c r="G253" s="2">
        <v>94.7</v>
      </c>
    </row>
    <row r="254" spans="1:7" x14ac:dyDescent="0.3">
      <c r="C254" t="s">
        <v>84</v>
      </c>
      <c r="D254" t="s">
        <v>7</v>
      </c>
      <c r="E254" t="s">
        <v>13</v>
      </c>
      <c r="F254" t="s">
        <v>44</v>
      </c>
      <c r="G254" s="2">
        <v>30.95</v>
      </c>
    </row>
    <row r="255" spans="1:7" x14ac:dyDescent="0.3">
      <c r="C255" t="s">
        <v>84</v>
      </c>
      <c r="D255" t="s">
        <v>11</v>
      </c>
      <c r="E255" t="s">
        <v>15</v>
      </c>
      <c r="F255" t="s">
        <v>44</v>
      </c>
      <c r="G255" s="2">
        <v>91.37</v>
      </c>
    </row>
    <row r="256" spans="1:7" x14ac:dyDescent="0.3">
      <c r="C256" t="s">
        <v>68</v>
      </c>
      <c r="D256" t="s">
        <v>14</v>
      </c>
      <c r="E256" t="s">
        <v>15</v>
      </c>
      <c r="F256" t="s">
        <v>63</v>
      </c>
      <c r="G256" s="2">
        <v>41.38</v>
      </c>
    </row>
    <row r="257" spans="3:7" x14ac:dyDescent="0.3">
      <c r="C257" t="s">
        <v>81</v>
      </c>
      <c r="D257" t="s">
        <v>7</v>
      </c>
      <c r="E257" t="s">
        <v>15</v>
      </c>
      <c r="F257" t="s">
        <v>44</v>
      </c>
      <c r="G257" s="2">
        <v>104.01</v>
      </c>
    </row>
    <row r="258" spans="3:7" x14ac:dyDescent="0.3">
      <c r="C258" t="s">
        <v>82</v>
      </c>
      <c r="D258" t="s">
        <v>17</v>
      </c>
      <c r="E258" t="s">
        <v>15</v>
      </c>
      <c r="F258" t="s">
        <v>44</v>
      </c>
      <c r="G258" s="2">
        <v>138.28</v>
      </c>
    </row>
    <row r="259" spans="3:7" x14ac:dyDescent="0.3">
      <c r="C259" t="s">
        <v>84</v>
      </c>
      <c r="D259" t="s">
        <v>17</v>
      </c>
      <c r="E259" t="s">
        <v>15</v>
      </c>
      <c r="F259" t="s">
        <v>61</v>
      </c>
      <c r="G259" s="2">
        <v>148.04</v>
      </c>
    </row>
    <row r="260" spans="3:7" x14ac:dyDescent="0.3">
      <c r="C260" t="s">
        <v>81</v>
      </c>
      <c r="D260" t="s">
        <v>24</v>
      </c>
      <c r="E260" t="s">
        <v>15</v>
      </c>
      <c r="F260" t="s">
        <v>44</v>
      </c>
      <c r="G260" s="2">
        <v>158.94999999999999</v>
      </c>
    </row>
    <row r="261" spans="3:7" x14ac:dyDescent="0.3">
      <c r="C261" t="s">
        <v>82</v>
      </c>
      <c r="D261" t="s">
        <v>14</v>
      </c>
      <c r="E261" t="s">
        <v>13</v>
      </c>
      <c r="F261" t="s">
        <v>44</v>
      </c>
      <c r="G261" s="2">
        <v>30.9</v>
      </c>
    </row>
    <row r="262" spans="3:7" x14ac:dyDescent="0.3">
      <c r="C262" t="s">
        <v>81</v>
      </c>
      <c r="D262" t="s">
        <v>17</v>
      </c>
      <c r="E262" t="s">
        <v>29</v>
      </c>
      <c r="F262" t="s">
        <v>44</v>
      </c>
      <c r="G262" s="2">
        <v>30.04</v>
      </c>
    </row>
    <row r="263" spans="3:7" x14ac:dyDescent="0.3">
      <c r="C263" t="s">
        <v>81</v>
      </c>
      <c r="D263" t="s">
        <v>17</v>
      </c>
      <c r="E263" t="s">
        <v>47</v>
      </c>
      <c r="F263" t="s">
        <v>42</v>
      </c>
      <c r="G263" s="2">
        <v>8.6</v>
      </c>
    </row>
    <row r="264" spans="3:7" x14ac:dyDescent="0.3">
      <c r="C264" t="s">
        <v>84</v>
      </c>
      <c r="D264" t="s">
        <v>11</v>
      </c>
      <c r="E264" t="s">
        <v>33</v>
      </c>
      <c r="F264" t="s">
        <v>44</v>
      </c>
      <c r="G264" s="2">
        <v>19.149999999999999</v>
      </c>
    </row>
    <row r="265" spans="3:7" x14ac:dyDescent="0.3">
      <c r="C265" t="s">
        <v>84</v>
      </c>
      <c r="D265" t="s">
        <v>14</v>
      </c>
      <c r="E265" t="s">
        <v>15</v>
      </c>
      <c r="F265" t="s">
        <v>44</v>
      </c>
      <c r="G265" s="2">
        <v>66.38</v>
      </c>
    </row>
    <row r="266" spans="3:7" x14ac:dyDescent="0.3">
      <c r="C266" t="s">
        <v>84</v>
      </c>
      <c r="D266" t="s">
        <v>14</v>
      </c>
      <c r="E266" t="s">
        <v>13</v>
      </c>
      <c r="F266" t="s">
        <v>61</v>
      </c>
      <c r="G266" s="2">
        <v>68.040000000000006</v>
      </c>
    </row>
    <row r="267" spans="3:7" x14ac:dyDescent="0.3">
      <c r="C267" t="s">
        <v>84</v>
      </c>
      <c r="D267" t="s">
        <v>17</v>
      </c>
      <c r="E267" t="s">
        <v>13</v>
      </c>
      <c r="F267" t="s">
        <v>61</v>
      </c>
      <c r="G267" s="2">
        <v>77.97</v>
      </c>
    </row>
    <row r="268" spans="3:7" x14ac:dyDescent="0.3">
      <c r="C268" t="s">
        <v>81</v>
      </c>
      <c r="D268" t="s">
        <v>24</v>
      </c>
      <c r="E268" t="s">
        <v>19</v>
      </c>
      <c r="F268" t="s">
        <v>42</v>
      </c>
      <c r="G268" s="2">
        <v>10.36</v>
      </c>
    </row>
    <row r="269" spans="3:7" x14ac:dyDescent="0.3">
      <c r="C269" t="s">
        <v>81</v>
      </c>
      <c r="D269" t="s">
        <v>24</v>
      </c>
      <c r="E269" t="s">
        <v>33</v>
      </c>
      <c r="F269" t="s">
        <v>42</v>
      </c>
      <c r="G269" s="2">
        <v>7.16</v>
      </c>
    </row>
    <row r="270" spans="3:7" x14ac:dyDescent="0.3">
      <c r="C270" t="s">
        <v>81</v>
      </c>
      <c r="D270" t="s">
        <v>24</v>
      </c>
      <c r="E270" t="s">
        <v>13</v>
      </c>
      <c r="F270" t="s">
        <v>42</v>
      </c>
      <c r="G270">
        <v>12.29</v>
      </c>
    </row>
    <row r="271" spans="3:7" x14ac:dyDescent="0.3">
      <c r="C271" t="s">
        <v>81</v>
      </c>
      <c r="D271" t="s">
        <v>11</v>
      </c>
      <c r="E271" t="s">
        <v>15</v>
      </c>
      <c r="F271" t="s">
        <v>44</v>
      </c>
      <c r="G271" s="2">
        <v>53.41</v>
      </c>
    </row>
    <row r="272" spans="3:7" x14ac:dyDescent="0.3">
      <c r="C272" t="s">
        <v>82</v>
      </c>
      <c r="D272" t="s">
        <v>7</v>
      </c>
      <c r="E272" t="s">
        <v>8</v>
      </c>
      <c r="F272" t="s">
        <v>42</v>
      </c>
      <c r="G272" s="2">
        <v>21.57</v>
      </c>
    </row>
    <row r="273" spans="3:7" x14ac:dyDescent="0.3">
      <c r="C273" t="s">
        <v>81</v>
      </c>
      <c r="D273" t="s">
        <v>11</v>
      </c>
      <c r="E273" t="s">
        <v>85</v>
      </c>
      <c r="F273" t="s">
        <v>42</v>
      </c>
      <c r="G273" s="2">
        <v>8.0399999999999991</v>
      </c>
    </row>
    <row r="274" spans="3:7" x14ac:dyDescent="0.3">
      <c r="C274" t="s">
        <v>82</v>
      </c>
      <c r="D274" t="s">
        <v>24</v>
      </c>
      <c r="E274" t="s">
        <v>29</v>
      </c>
      <c r="F274" t="s">
        <v>42</v>
      </c>
      <c r="G274" s="2">
        <v>7.28</v>
      </c>
    </row>
    <row r="275" spans="3:7" x14ac:dyDescent="0.3">
      <c r="C275" t="s">
        <v>81</v>
      </c>
      <c r="D275" t="s">
        <v>17</v>
      </c>
      <c r="E275" t="s">
        <v>33</v>
      </c>
      <c r="F275" t="s">
        <v>42</v>
      </c>
      <c r="G275" s="2">
        <v>7.27</v>
      </c>
    </row>
    <row r="276" spans="3:7" x14ac:dyDescent="0.3">
      <c r="C276" t="s">
        <v>81</v>
      </c>
      <c r="D276" t="s">
        <v>17</v>
      </c>
      <c r="E276" t="s">
        <v>15</v>
      </c>
      <c r="F276" t="s">
        <v>44</v>
      </c>
      <c r="G276" s="2">
        <v>95.62</v>
      </c>
    </row>
    <row r="277" spans="3:7" x14ac:dyDescent="0.3">
      <c r="C277" t="s">
        <v>82</v>
      </c>
      <c r="D277" t="s">
        <v>17</v>
      </c>
      <c r="E277" t="s">
        <v>8</v>
      </c>
      <c r="F277" t="s">
        <v>44</v>
      </c>
      <c r="G277" s="2">
        <v>38.14</v>
      </c>
    </row>
    <row r="278" spans="3:7" x14ac:dyDescent="0.3">
      <c r="C278" t="s">
        <v>82</v>
      </c>
      <c r="D278" t="s">
        <v>17</v>
      </c>
      <c r="E278" t="s">
        <v>29</v>
      </c>
      <c r="F278" t="s">
        <v>42</v>
      </c>
      <c r="G278" s="2">
        <v>8.81</v>
      </c>
    </row>
    <row r="279" spans="3:7" x14ac:dyDescent="0.3">
      <c r="C279" t="s">
        <v>82</v>
      </c>
      <c r="D279" t="s">
        <v>7</v>
      </c>
      <c r="E279" t="s">
        <v>13</v>
      </c>
      <c r="F279" t="s">
        <v>42</v>
      </c>
      <c r="G279" s="2">
        <v>8.69</v>
      </c>
    </row>
    <row r="280" spans="3:7" x14ac:dyDescent="0.3">
      <c r="C280" t="s">
        <v>84</v>
      </c>
      <c r="D280" t="s">
        <v>7</v>
      </c>
      <c r="E280" t="s">
        <v>30</v>
      </c>
      <c r="F280" t="s">
        <v>67</v>
      </c>
      <c r="G280" s="2">
        <v>6.75</v>
      </c>
    </row>
    <row r="281" spans="3:7" x14ac:dyDescent="0.3">
      <c r="C281" t="s">
        <v>84</v>
      </c>
      <c r="D281" t="s">
        <v>11</v>
      </c>
      <c r="E281" t="s">
        <v>30</v>
      </c>
      <c r="F281" t="s">
        <v>67</v>
      </c>
      <c r="G281" s="2">
        <v>2.89</v>
      </c>
    </row>
    <row r="282" spans="3:7" x14ac:dyDescent="0.3">
      <c r="C282" t="s">
        <v>68</v>
      </c>
      <c r="D282" t="s">
        <v>17</v>
      </c>
      <c r="E282" t="s">
        <v>29</v>
      </c>
      <c r="F282" t="s">
        <v>67</v>
      </c>
      <c r="G282" s="2">
        <v>3.06</v>
      </c>
    </row>
    <row r="283" spans="3:7" x14ac:dyDescent="0.3">
      <c r="C283" t="s">
        <v>84</v>
      </c>
      <c r="D283" t="s">
        <v>14</v>
      </c>
      <c r="E283" t="s">
        <v>18</v>
      </c>
      <c r="F283" t="s">
        <v>67</v>
      </c>
      <c r="G283" s="2">
        <v>3.05</v>
      </c>
    </row>
    <row r="284" spans="3:7" x14ac:dyDescent="0.3">
      <c r="C284" t="s">
        <v>68</v>
      </c>
      <c r="D284" t="s">
        <v>14</v>
      </c>
      <c r="E284" t="s">
        <v>87</v>
      </c>
      <c r="F284" t="s">
        <v>67</v>
      </c>
      <c r="G284" s="2">
        <v>2.94</v>
      </c>
    </row>
    <row r="285" spans="3:7" x14ac:dyDescent="0.3">
      <c r="C285" t="s">
        <v>84</v>
      </c>
      <c r="D285" t="s">
        <v>7</v>
      </c>
      <c r="E285" t="s">
        <v>47</v>
      </c>
      <c r="F285" t="s">
        <v>67</v>
      </c>
      <c r="G285" s="2">
        <v>5.35</v>
      </c>
    </row>
    <row r="286" spans="3:7" x14ac:dyDescent="0.3">
      <c r="C286" t="s">
        <v>81</v>
      </c>
      <c r="D286" t="s">
        <v>24</v>
      </c>
      <c r="E286" t="s">
        <v>71</v>
      </c>
      <c r="F286" t="s">
        <v>67</v>
      </c>
      <c r="G286" s="2">
        <v>2.82</v>
      </c>
    </row>
    <row r="287" spans="3:7" x14ac:dyDescent="0.3">
      <c r="C287" t="s">
        <v>81</v>
      </c>
      <c r="D287" t="s">
        <v>7</v>
      </c>
      <c r="E287" t="s">
        <v>33</v>
      </c>
      <c r="F287" t="s">
        <v>67</v>
      </c>
      <c r="G287" s="2">
        <v>3.15</v>
      </c>
    </row>
    <row r="288" spans="3:7" x14ac:dyDescent="0.3">
      <c r="C288" t="s">
        <v>68</v>
      </c>
      <c r="D288" t="s">
        <v>17</v>
      </c>
      <c r="E288" t="s">
        <v>30</v>
      </c>
      <c r="F288" t="s">
        <v>67</v>
      </c>
      <c r="G288" s="2">
        <v>3.02</v>
      </c>
    </row>
    <row r="289" spans="1:7" x14ac:dyDescent="0.3">
      <c r="C289" t="s">
        <v>68</v>
      </c>
      <c r="D289" t="s">
        <v>17</v>
      </c>
      <c r="E289" t="s">
        <v>13</v>
      </c>
      <c r="F289" t="s">
        <v>67</v>
      </c>
      <c r="G289" s="2">
        <v>3.44</v>
      </c>
    </row>
    <row r="290" spans="1:7" x14ac:dyDescent="0.3">
      <c r="C290" t="s">
        <v>68</v>
      </c>
      <c r="D290" t="s">
        <v>17</v>
      </c>
      <c r="E290" t="s">
        <v>47</v>
      </c>
      <c r="F290" t="s">
        <v>67</v>
      </c>
      <c r="G290" s="2">
        <v>3.93</v>
      </c>
    </row>
    <row r="291" spans="1:7" x14ac:dyDescent="0.3">
      <c r="C291" t="s">
        <v>81</v>
      </c>
      <c r="D291" t="s">
        <v>11</v>
      </c>
      <c r="E291" t="s">
        <v>71</v>
      </c>
      <c r="F291" t="s">
        <v>67</v>
      </c>
      <c r="G291" s="2">
        <v>2.84</v>
      </c>
    </row>
    <row r="292" spans="1:7" x14ac:dyDescent="0.3">
      <c r="C292" t="s">
        <v>84</v>
      </c>
      <c r="D292" t="s">
        <v>11</v>
      </c>
      <c r="E292" t="s">
        <v>47</v>
      </c>
      <c r="F292" t="s">
        <v>67</v>
      </c>
      <c r="G292" s="2">
        <v>4.4000000000000004</v>
      </c>
    </row>
    <row r="293" spans="1:7" x14ac:dyDescent="0.3">
      <c r="C293" t="s">
        <v>68</v>
      </c>
      <c r="D293" t="s">
        <v>24</v>
      </c>
      <c r="E293" t="s">
        <v>8</v>
      </c>
      <c r="F293" t="s">
        <v>67</v>
      </c>
      <c r="G293" s="2">
        <v>2.77</v>
      </c>
    </row>
    <row r="294" spans="1:7" x14ac:dyDescent="0.3">
      <c r="C294" t="s">
        <v>68</v>
      </c>
      <c r="D294" t="s">
        <v>17</v>
      </c>
      <c r="E294" t="s">
        <v>55</v>
      </c>
      <c r="F294" t="s">
        <v>67</v>
      </c>
      <c r="G294" s="2">
        <v>3.06</v>
      </c>
    </row>
    <row r="295" spans="1:7" x14ac:dyDescent="0.3">
      <c r="C295" t="s">
        <v>84</v>
      </c>
      <c r="D295" t="s">
        <v>14</v>
      </c>
      <c r="E295" t="s">
        <v>30</v>
      </c>
      <c r="F295" t="s">
        <v>67</v>
      </c>
      <c r="G295" s="2">
        <v>3.51</v>
      </c>
    </row>
    <row r="296" spans="1:7" x14ac:dyDescent="0.3">
      <c r="C296" t="s">
        <v>81</v>
      </c>
      <c r="D296" t="s">
        <v>14</v>
      </c>
      <c r="E296" t="s">
        <v>71</v>
      </c>
      <c r="F296" t="s">
        <v>67</v>
      </c>
      <c r="G296" s="2">
        <v>2.84</v>
      </c>
    </row>
    <row r="297" spans="1:7" x14ac:dyDescent="0.3">
      <c r="C297" t="s">
        <v>84</v>
      </c>
      <c r="D297" t="s">
        <v>7</v>
      </c>
      <c r="E297" t="s">
        <v>19</v>
      </c>
      <c r="F297" t="s">
        <v>67</v>
      </c>
      <c r="G297" s="2">
        <v>3.26</v>
      </c>
    </row>
    <row r="298" spans="1:7" x14ac:dyDescent="0.3">
      <c r="C298" t="s">
        <v>84</v>
      </c>
      <c r="D298" t="s">
        <v>11</v>
      </c>
      <c r="E298" t="s">
        <v>46</v>
      </c>
      <c r="F298" t="s">
        <v>67</v>
      </c>
      <c r="G298" s="2">
        <v>2.97</v>
      </c>
    </row>
    <row r="299" spans="1:7" x14ac:dyDescent="0.3">
      <c r="C299" t="s">
        <v>84</v>
      </c>
      <c r="D299" t="s">
        <v>11</v>
      </c>
      <c r="E299" t="s">
        <v>29</v>
      </c>
      <c r="F299" t="s">
        <v>67</v>
      </c>
      <c r="G299" s="2">
        <v>3.68</v>
      </c>
    </row>
    <row r="300" spans="1:7" x14ac:dyDescent="0.3">
      <c r="C300" t="s">
        <v>84</v>
      </c>
      <c r="D300" t="s">
        <v>11</v>
      </c>
      <c r="E300" t="s">
        <v>31</v>
      </c>
      <c r="F300" t="s">
        <v>67</v>
      </c>
      <c r="G300" s="2">
        <v>2.84</v>
      </c>
    </row>
    <row r="301" spans="1:7" x14ac:dyDescent="0.3">
      <c r="C301" t="s">
        <v>81</v>
      </c>
      <c r="D301" t="s">
        <v>7</v>
      </c>
      <c r="E301" t="s">
        <v>31</v>
      </c>
      <c r="F301" t="s">
        <v>42</v>
      </c>
      <c r="G301" s="2">
        <v>11.91</v>
      </c>
    </row>
    <row r="302" spans="1:7" x14ac:dyDescent="0.3">
      <c r="C302" t="s">
        <v>81</v>
      </c>
      <c r="D302" t="s">
        <v>11</v>
      </c>
      <c r="E302" t="s">
        <v>31</v>
      </c>
      <c r="F302" t="s">
        <v>67</v>
      </c>
      <c r="G302" s="2">
        <v>4.0199999999999996</v>
      </c>
    </row>
    <row r="303" spans="1:7" x14ac:dyDescent="0.3">
      <c r="C303" t="s">
        <v>81</v>
      </c>
      <c r="D303" t="s">
        <v>14</v>
      </c>
      <c r="E303" t="s">
        <v>31</v>
      </c>
      <c r="F303" t="s">
        <v>42</v>
      </c>
      <c r="G303" s="2">
        <v>6.99</v>
      </c>
    </row>
    <row r="304" spans="1:7" x14ac:dyDescent="0.3">
      <c r="A304" t="s">
        <v>23</v>
      </c>
      <c r="B304">
        <v>7</v>
      </c>
      <c r="C304" t="s">
        <v>82</v>
      </c>
      <c r="D304" t="s">
        <v>14</v>
      </c>
      <c r="E304" t="s">
        <v>15</v>
      </c>
      <c r="F304" t="s">
        <v>63</v>
      </c>
      <c r="G304" s="2">
        <v>105.2</v>
      </c>
    </row>
    <row r="305" spans="1:7" x14ac:dyDescent="0.3">
      <c r="A305" t="s">
        <v>22</v>
      </c>
      <c r="B305" s="3">
        <v>44828.625</v>
      </c>
      <c r="C305" t="s">
        <v>82</v>
      </c>
      <c r="D305" t="s">
        <v>24</v>
      </c>
      <c r="E305" t="s">
        <v>8</v>
      </c>
      <c r="F305" t="s">
        <v>42</v>
      </c>
      <c r="G305" s="2">
        <v>8.32</v>
      </c>
    </row>
    <row r="306" spans="1:7" x14ac:dyDescent="0.3">
      <c r="A306" t="s">
        <v>86</v>
      </c>
      <c r="B306" s="3">
        <v>44830.633333333331</v>
      </c>
      <c r="C306" t="s">
        <v>82</v>
      </c>
      <c r="D306" t="s">
        <v>7</v>
      </c>
      <c r="E306" t="s">
        <v>8</v>
      </c>
      <c r="F306" t="s">
        <v>42</v>
      </c>
      <c r="G306" s="2">
        <v>51.56</v>
      </c>
    </row>
    <row r="307" spans="1:7" x14ac:dyDescent="0.3">
      <c r="C307" t="s">
        <v>82</v>
      </c>
      <c r="D307" t="s">
        <v>14</v>
      </c>
      <c r="E307" t="s">
        <v>29</v>
      </c>
      <c r="F307" t="s">
        <v>63</v>
      </c>
      <c r="G307" s="2">
        <v>21.82</v>
      </c>
    </row>
    <row r="308" spans="1:7" x14ac:dyDescent="0.3">
      <c r="C308" t="s">
        <v>81</v>
      </c>
      <c r="D308" t="s">
        <v>14</v>
      </c>
      <c r="E308" t="s">
        <v>15</v>
      </c>
      <c r="F308" t="s">
        <v>63</v>
      </c>
      <c r="G308" s="2">
        <v>109.73</v>
      </c>
    </row>
    <row r="309" spans="1:7" x14ac:dyDescent="0.3">
      <c r="C309" t="s">
        <v>82</v>
      </c>
      <c r="D309" t="s">
        <v>11</v>
      </c>
      <c r="E309" t="s">
        <v>15</v>
      </c>
      <c r="F309" t="s">
        <v>63</v>
      </c>
      <c r="G309" s="2">
        <v>69.849999999999994</v>
      </c>
    </row>
    <row r="310" spans="1:7" x14ac:dyDescent="0.3">
      <c r="C310" t="s">
        <v>82</v>
      </c>
      <c r="D310" t="s">
        <v>7</v>
      </c>
      <c r="E310" t="s">
        <v>15</v>
      </c>
      <c r="F310" t="s">
        <v>61</v>
      </c>
      <c r="G310" s="2">
        <v>132.44</v>
      </c>
    </row>
    <row r="311" spans="1:7" x14ac:dyDescent="0.3">
      <c r="C311" t="s">
        <v>82</v>
      </c>
      <c r="D311" t="s">
        <v>24</v>
      </c>
      <c r="E311" t="s">
        <v>13</v>
      </c>
      <c r="F311" t="s">
        <v>61</v>
      </c>
      <c r="G311" s="2">
        <v>91.9</v>
      </c>
    </row>
    <row r="312" spans="1:7" x14ac:dyDescent="0.3">
      <c r="C312" t="s">
        <v>82</v>
      </c>
      <c r="D312" t="s">
        <v>24</v>
      </c>
      <c r="E312" t="s">
        <v>15</v>
      </c>
      <c r="F312" t="s">
        <v>61</v>
      </c>
      <c r="G312" s="2">
        <v>185.83</v>
      </c>
    </row>
    <row r="313" spans="1:7" x14ac:dyDescent="0.3">
      <c r="C313" t="s">
        <v>82</v>
      </c>
      <c r="D313" t="s">
        <v>11</v>
      </c>
      <c r="E313" t="s">
        <v>13</v>
      </c>
      <c r="F313" t="s">
        <v>61</v>
      </c>
      <c r="G313" s="2">
        <v>111.82</v>
      </c>
    </row>
  </sheetData>
  <sortState xmlns:xlrd2="http://schemas.microsoft.com/office/spreadsheetml/2017/richdata2" ref="C6:H18">
    <sortCondition ref="D6:D18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2887-1314-442C-AFD3-236C57401931}">
  <dimension ref="A1:I311"/>
  <sheetViews>
    <sheetView topLeftCell="A178" zoomScaleNormal="100" workbookViewId="0">
      <selection activeCell="G197" sqref="G197"/>
    </sheetView>
  </sheetViews>
  <sheetFormatPr defaultRowHeight="14.4" x14ac:dyDescent="0.3"/>
  <cols>
    <col min="1" max="1" width="9" customWidth="1"/>
    <col min="2" max="2" width="11" customWidth="1"/>
    <col min="3" max="3" width="24" customWidth="1"/>
    <col min="4" max="4" width="4" bestFit="1" customWidth="1"/>
    <col min="5" max="5" width="18.44140625" bestFit="1" customWidth="1"/>
    <col min="6" max="6" width="29" bestFit="1" customWidth="1"/>
    <col min="7" max="7" width="11.88671875" customWidth="1"/>
    <col min="8" max="8" width="17.6640625" bestFit="1" customWidth="1"/>
    <col min="9" max="9" width="23.5546875" bestFit="1" customWidth="1"/>
    <col min="11" max="11" width="14" customWidth="1"/>
    <col min="12" max="12" width="10" customWidth="1"/>
    <col min="14" max="14" width="30.88671875" customWidth="1"/>
    <col min="15" max="15" width="17.109375" bestFit="1" customWidth="1"/>
    <col min="16" max="16" width="16.88671875" bestFit="1" customWidth="1"/>
    <col min="17" max="17" width="23.5546875" bestFit="1" customWidth="1"/>
    <col min="18" max="18" width="14.5546875" bestFit="1" customWidth="1"/>
    <col min="19" max="19" width="18.109375" bestFit="1" customWidth="1"/>
    <col min="20" max="20" width="18.33203125" bestFit="1" customWidth="1"/>
    <col min="21" max="21" width="19.5546875" bestFit="1" customWidth="1"/>
    <col min="22" max="22" width="15" bestFit="1" customWidth="1"/>
    <col min="23" max="23" width="18.33203125" bestFit="1" customWidth="1"/>
    <col min="24" max="24" width="20" bestFit="1" customWidth="1"/>
    <col min="25" max="25" width="13.109375" bestFit="1" customWidth="1"/>
    <col min="26" max="26" width="16.109375" bestFit="1" customWidth="1"/>
    <col min="27" max="27" width="25.6640625" bestFit="1" customWidth="1"/>
    <col min="28" max="28" width="22.5546875" bestFit="1" customWidth="1"/>
    <col min="29" max="29" width="17.109375" bestFit="1" customWidth="1"/>
    <col min="30" max="31" width="13.6640625" bestFit="1" customWidth="1"/>
    <col min="32" max="32" width="11.5546875" bestFit="1" customWidth="1"/>
  </cols>
  <sheetData>
    <row r="1" spans="1:7" x14ac:dyDescent="0.3">
      <c r="A1" t="s">
        <v>0</v>
      </c>
      <c r="B1" t="s">
        <v>1</v>
      </c>
      <c r="C1" t="s">
        <v>38</v>
      </c>
      <c r="D1" t="s">
        <v>39</v>
      </c>
      <c r="E1" t="s">
        <v>40</v>
      </c>
      <c r="F1" t="s">
        <v>90</v>
      </c>
      <c r="G1" t="s">
        <v>89</v>
      </c>
    </row>
    <row r="2" spans="1:7" x14ac:dyDescent="0.3">
      <c r="A2" t="s">
        <v>20</v>
      </c>
      <c r="B2" t="s">
        <v>24</v>
      </c>
      <c r="C2" t="s">
        <v>15</v>
      </c>
      <c r="D2" t="s">
        <v>42</v>
      </c>
      <c r="E2" s="2">
        <v>76.67</v>
      </c>
      <c r="F2" s="2">
        <f>MAX(E2-IF(D2="S",BagMasses!$B$12,IF(D2="M",BagMasses!$C$12,IF(D2="L",BagMasses!$D$12,IF(D2="SM",BagMasses!$E$12,IF(D2="E",BagMasses!$F$12))))),0)</f>
        <v>70.137</v>
      </c>
    </row>
    <row r="3" spans="1:7" x14ac:dyDescent="0.3">
      <c r="A3" t="s">
        <v>20</v>
      </c>
      <c r="B3" t="s">
        <v>24</v>
      </c>
      <c r="C3" t="s">
        <v>33</v>
      </c>
      <c r="D3" t="s">
        <v>42</v>
      </c>
      <c r="E3" s="2">
        <v>9.01</v>
      </c>
      <c r="F3" s="2">
        <f>MAX(E3-IF(D3="S",BagMasses!$B$12,IF(D3="M",BagMasses!$C$12,IF(D3="L",BagMasses!$D$12,IF(D3="SM",BagMasses!$E$12,IF(D3="E",BagMasses!$F$12))))),0)</f>
        <v>2.4770000000000003</v>
      </c>
    </row>
    <row r="4" spans="1:7" x14ac:dyDescent="0.3">
      <c r="A4" t="s">
        <v>20</v>
      </c>
      <c r="B4" t="s">
        <v>17</v>
      </c>
      <c r="C4" t="s">
        <v>34</v>
      </c>
      <c r="D4" t="s">
        <v>42</v>
      </c>
      <c r="E4" s="2">
        <v>6.55</v>
      </c>
      <c r="F4" s="2">
        <f>MAX(E4-IF(D4="S",BagMasses!$B$12,IF(D4="M",BagMasses!$C$12,IF(D4="L",BagMasses!$D$12,IF(D4="SM",BagMasses!$E$12,IF(D4="E",BagMasses!$F$12))))),0)</f>
        <v>1.7000000000000348E-2</v>
      </c>
    </row>
    <row r="5" spans="1:7" x14ac:dyDescent="0.3">
      <c r="A5" t="s">
        <v>20</v>
      </c>
      <c r="B5" t="s">
        <v>17</v>
      </c>
      <c r="C5" t="s">
        <v>15</v>
      </c>
      <c r="D5" t="s">
        <v>42</v>
      </c>
      <c r="E5" s="2">
        <v>77.650000000000006</v>
      </c>
      <c r="F5" s="2">
        <f>MAX(E5-IF(D5="S",BagMasses!$B$12,IF(D5="M",BagMasses!$C$12,IF(D5="L",BagMasses!$D$12,IF(D5="SM",BagMasses!$E$12,IF(D5="E",BagMasses!$F$12))))),0)</f>
        <v>71.117000000000004</v>
      </c>
    </row>
    <row r="6" spans="1:7" x14ac:dyDescent="0.3">
      <c r="A6" t="s">
        <v>20</v>
      </c>
      <c r="B6" t="s">
        <v>17</v>
      </c>
      <c r="C6" t="s">
        <v>30</v>
      </c>
      <c r="D6" t="s">
        <v>42</v>
      </c>
      <c r="E6" s="2">
        <v>11.02</v>
      </c>
      <c r="F6" s="2">
        <f>MAX(E6-IF(D6="S",BagMasses!$B$12,IF(D6="M",BagMasses!$C$12,IF(D6="L",BagMasses!$D$12,IF(D6="SM",BagMasses!$E$12,IF(D6="E",BagMasses!$F$12))))),0)</f>
        <v>4.4870000000000001</v>
      </c>
    </row>
    <row r="7" spans="1:7" x14ac:dyDescent="0.3">
      <c r="A7" t="s">
        <v>20</v>
      </c>
      <c r="B7" t="s">
        <v>17</v>
      </c>
      <c r="C7" t="s">
        <v>33</v>
      </c>
      <c r="D7" t="s">
        <v>42</v>
      </c>
      <c r="E7" s="2">
        <v>17.39</v>
      </c>
      <c r="F7" s="2">
        <f>MAX(E7-IF(D7="S",BagMasses!$B$12,IF(D7="M",BagMasses!$C$12,IF(D7="L",BagMasses!$D$12,IF(D7="SM",BagMasses!$E$12,IF(D7="E",BagMasses!$F$12))))),0)</f>
        <v>10.857000000000001</v>
      </c>
    </row>
    <row r="8" spans="1:7" x14ac:dyDescent="0.3">
      <c r="A8" t="s">
        <v>20</v>
      </c>
      <c r="B8" t="s">
        <v>14</v>
      </c>
      <c r="C8" t="s">
        <v>15</v>
      </c>
      <c r="D8" t="s">
        <v>42</v>
      </c>
      <c r="E8" s="2">
        <v>40.270000000000003</v>
      </c>
      <c r="F8" s="2">
        <f>MAX(E8-IF(D8="S",BagMasses!$B$12,IF(D8="M",BagMasses!$C$12,IF(D8="L",BagMasses!$D$12,IF(D8="SM",BagMasses!$E$12,IF(D8="E",BagMasses!$F$12))))),0)</f>
        <v>33.737000000000002</v>
      </c>
      <c r="G8" s="2"/>
    </row>
    <row r="9" spans="1:7" x14ac:dyDescent="0.3">
      <c r="A9" t="s">
        <v>20</v>
      </c>
      <c r="B9" t="s">
        <v>14</v>
      </c>
      <c r="C9" t="s">
        <v>33</v>
      </c>
      <c r="D9" t="s">
        <v>42</v>
      </c>
      <c r="E9" s="2">
        <v>12.53</v>
      </c>
      <c r="F9" s="2">
        <f>MAX(E9-IF(D9="S",BagMasses!$B$12,IF(D9="M",BagMasses!$C$12,IF(D9="L",BagMasses!$D$12,IF(D9="SM",BagMasses!$E$12,IF(D9="E",BagMasses!$F$12))))),0)</f>
        <v>5.9969999999999999</v>
      </c>
    </row>
    <row r="10" spans="1:7" x14ac:dyDescent="0.3">
      <c r="A10" t="s">
        <v>20</v>
      </c>
      <c r="B10" t="s">
        <v>11</v>
      </c>
      <c r="C10" t="s">
        <v>12</v>
      </c>
      <c r="D10" t="s">
        <v>42</v>
      </c>
      <c r="E10" s="2">
        <v>7.06</v>
      </c>
      <c r="F10" s="2">
        <f>MAX(E10-IF(D10="S",BagMasses!$B$12,IF(D10="M",BagMasses!$C$12,IF(D10="L",BagMasses!$D$12,IF(D10="SM",BagMasses!$E$12,IF(D10="E",BagMasses!$F$12))))),0)</f>
        <v>0.52700000000000014</v>
      </c>
    </row>
    <row r="11" spans="1:7" x14ac:dyDescent="0.3">
      <c r="A11" t="s">
        <v>20</v>
      </c>
      <c r="B11" t="s">
        <v>11</v>
      </c>
      <c r="C11" t="s">
        <v>21</v>
      </c>
      <c r="D11" t="s">
        <v>42</v>
      </c>
      <c r="E11" s="2">
        <v>7.07</v>
      </c>
      <c r="F11" s="2">
        <f>MAX(E11-IF(D11="S",BagMasses!$B$12,IF(D11="M",BagMasses!$C$12,IF(D11="L",BagMasses!$D$12,IF(D11="SM",BagMasses!$E$12,IF(D11="E",BagMasses!$F$12))))),0)</f>
        <v>0.53700000000000081</v>
      </c>
    </row>
    <row r="12" spans="1:7" x14ac:dyDescent="0.3">
      <c r="A12" t="s">
        <v>20</v>
      </c>
      <c r="B12" t="s">
        <v>11</v>
      </c>
      <c r="C12" t="s">
        <v>15</v>
      </c>
      <c r="D12" t="s">
        <v>44</v>
      </c>
      <c r="E12" s="2">
        <v>161.83000000000001</v>
      </c>
      <c r="F12" s="2">
        <f>MAX(E12-IF(D12="S",BagMasses!$B$12,IF(D12="M",BagMasses!$C$12,IF(D12="L",BagMasses!$D$12,IF(D12="SM",BagMasses!$E$12,IF(D12="E",BagMasses!$F$12))))),0)</f>
        <v>135.41200000000001</v>
      </c>
    </row>
    <row r="13" spans="1:7" x14ac:dyDescent="0.3">
      <c r="A13" t="s">
        <v>20</v>
      </c>
      <c r="B13" t="s">
        <v>11</v>
      </c>
      <c r="C13" t="s">
        <v>30</v>
      </c>
      <c r="D13" t="s">
        <v>42</v>
      </c>
      <c r="E13" s="2">
        <v>7.18</v>
      </c>
      <c r="F13" s="2">
        <f>MAX(E13-IF(D13="S",BagMasses!$B$12,IF(D13="M",BagMasses!$C$12,IF(D13="L",BagMasses!$D$12,IF(D13="SM",BagMasses!$E$12,IF(D13="E",BagMasses!$F$12))))),0)</f>
        <v>0.64700000000000024</v>
      </c>
    </row>
    <row r="14" spans="1:7" x14ac:dyDescent="0.3">
      <c r="A14" t="s">
        <v>20</v>
      </c>
      <c r="B14" t="s">
        <v>11</v>
      </c>
      <c r="C14" t="s">
        <v>19</v>
      </c>
      <c r="D14" t="s">
        <v>42</v>
      </c>
      <c r="E14" s="2">
        <v>7.26</v>
      </c>
      <c r="F14" s="2">
        <f>MAX(E14-IF(D14="S",BagMasses!$B$12,IF(D14="M",BagMasses!$C$12,IF(D14="L",BagMasses!$D$12,IF(D14="SM",BagMasses!$E$12,IF(D14="E",BagMasses!$F$12))))),0)</f>
        <v>0.72700000000000031</v>
      </c>
    </row>
    <row r="15" spans="1:7" x14ac:dyDescent="0.3">
      <c r="A15" t="s">
        <v>20</v>
      </c>
      <c r="B15" t="s">
        <v>11</v>
      </c>
      <c r="C15" t="s">
        <v>35</v>
      </c>
      <c r="D15" t="s">
        <v>42</v>
      </c>
      <c r="E15" s="2">
        <v>8.23</v>
      </c>
      <c r="F15" s="2">
        <f>MAX(E15-IF(D15="S",BagMasses!$B$12,IF(D15="M",BagMasses!$C$12,IF(D15="L",BagMasses!$D$12,IF(D15="SM",BagMasses!$E$12,IF(D15="E",BagMasses!$F$12))))),0)</f>
        <v>1.697000000000001</v>
      </c>
    </row>
    <row r="16" spans="1:7" x14ac:dyDescent="0.3">
      <c r="A16" t="s">
        <v>20</v>
      </c>
      <c r="B16" t="s">
        <v>7</v>
      </c>
      <c r="C16" t="s">
        <v>37</v>
      </c>
      <c r="D16" t="s">
        <v>42</v>
      </c>
      <c r="E16" s="2">
        <v>6.67</v>
      </c>
      <c r="F16" s="2">
        <f>MAX(E16-IF(D16="S",BagMasses!$B$12,IF(D16="M",BagMasses!$C$12,IF(D16="L",BagMasses!$D$12,IF(D16="SM",BagMasses!$E$12,IF(D16="E",BagMasses!$F$12))))),0)</f>
        <v>0.13700000000000045</v>
      </c>
    </row>
    <row r="17" spans="1:6" x14ac:dyDescent="0.3">
      <c r="A17" t="s">
        <v>20</v>
      </c>
      <c r="B17" t="s">
        <v>7</v>
      </c>
      <c r="C17" t="s">
        <v>71</v>
      </c>
      <c r="D17" t="s">
        <v>42</v>
      </c>
      <c r="E17" s="2">
        <v>6.39</v>
      </c>
      <c r="F17" s="2">
        <f>MAX(E17-IF(D17="S",BagMasses!$B$12,IF(D17="M",BagMasses!$C$12,IF(D17="L",BagMasses!$D$12,IF(D17="SM",BagMasses!$E$12,IF(D17="E",BagMasses!$F$12))))),0)</f>
        <v>0</v>
      </c>
    </row>
    <row r="18" spans="1:6" x14ac:dyDescent="0.3">
      <c r="A18" t="s">
        <v>20</v>
      </c>
      <c r="B18" t="s">
        <v>7</v>
      </c>
      <c r="C18" t="s">
        <v>15</v>
      </c>
      <c r="D18" t="s">
        <v>42</v>
      </c>
      <c r="E18" s="2">
        <v>70.02</v>
      </c>
      <c r="F18" s="2">
        <f>MAX(E18-IF(D18="S",BagMasses!$B$12,IF(D18="M",BagMasses!$C$12,IF(D18="L",BagMasses!$D$12,IF(D18="SM",BagMasses!$E$12,IF(D18="E",BagMasses!$F$12))))),0)</f>
        <v>63.486999999999995</v>
      </c>
    </row>
    <row r="19" spans="1:6" x14ac:dyDescent="0.3">
      <c r="A19" t="s">
        <v>20</v>
      </c>
      <c r="B19" t="s">
        <v>7</v>
      </c>
      <c r="C19" t="s">
        <v>29</v>
      </c>
      <c r="D19" t="s">
        <v>42</v>
      </c>
      <c r="E19" s="2">
        <v>7.21</v>
      </c>
      <c r="F19" s="2">
        <f>MAX(E19-IF(D19="S",BagMasses!$B$12,IF(D19="M",BagMasses!$C$12,IF(D19="L",BagMasses!$D$12,IF(D19="SM",BagMasses!$E$12,IF(D19="E",BagMasses!$F$12))))),0)</f>
        <v>0.67700000000000049</v>
      </c>
    </row>
    <row r="20" spans="1:6" x14ac:dyDescent="0.3">
      <c r="A20" t="s">
        <v>20</v>
      </c>
      <c r="B20" t="s">
        <v>7</v>
      </c>
      <c r="C20" t="s">
        <v>19</v>
      </c>
      <c r="D20" t="s">
        <v>42</v>
      </c>
      <c r="E20" s="2">
        <v>6.41</v>
      </c>
      <c r="F20" s="2">
        <f>MAX(E20-IF(D20="S",BagMasses!$B$12,IF(D20="M",BagMasses!$C$12,IF(D20="L",BagMasses!$D$12,IF(D20="SM",BagMasses!$E$12,IF(D20="E",BagMasses!$F$12))))),0)</f>
        <v>0</v>
      </c>
    </row>
    <row r="21" spans="1:6" x14ac:dyDescent="0.3">
      <c r="A21" t="s">
        <v>20</v>
      </c>
      <c r="B21" t="s">
        <v>7</v>
      </c>
      <c r="C21" t="s">
        <v>36</v>
      </c>
      <c r="D21" t="s">
        <v>42</v>
      </c>
      <c r="E21" s="2">
        <v>6.96</v>
      </c>
      <c r="F21" s="2">
        <f>MAX(E21-IF(D21="S",BagMasses!$B$12,IF(D21="M",BagMasses!$C$12,IF(D21="L",BagMasses!$D$12,IF(D21="SM",BagMasses!$E$12,IF(D21="E",BagMasses!$F$12))))),0)</f>
        <v>0.42700000000000049</v>
      </c>
    </row>
    <row r="22" spans="1:6" x14ac:dyDescent="0.3">
      <c r="A22" t="s">
        <v>84</v>
      </c>
      <c r="B22" t="s">
        <v>24</v>
      </c>
      <c r="C22" t="s">
        <v>13</v>
      </c>
      <c r="D22" t="s">
        <v>61</v>
      </c>
      <c r="E22" s="2">
        <v>94.7</v>
      </c>
      <c r="F22" s="2">
        <f>MAX(E22-IF(D22="S",BagMasses!$B$12,IF(D22="M",BagMasses!$C$12,IF(D22="L",BagMasses!$D$12,IF(D22="SM",BagMasses!$E$12,IF(D22="E",BagMasses!$F$12))))),0)</f>
        <v>27.096666666666664</v>
      </c>
    </row>
    <row r="23" spans="1:6" x14ac:dyDescent="0.3">
      <c r="A23" t="s">
        <v>84</v>
      </c>
      <c r="B23" t="s">
        <v>24</v>
      </c>
      <c r="C23" t="s">
        <v>15</v>
      </c>
      <c r="D23" t="s">
        <v>44</v>
      </c>
      <c r="E23" s="2">
        <v>103.63</v>
      </c>
      <c r="F23" s="2">
        <f>MAX(E23-IF(D23="S",BagMasses!$B$12,IF(D23="M",BagMasses!$C$12,IF(D23="L",BagMasses!$D$12,IF(D23="SM",BagMasses!$E$12,IF(D23="E",BagMasses!$F$12))))),0)</f>
        <v>77.211999999999989</v>
      </c>
    </row>
    <row r="24" spans="1:6" x14ac:dyDescent="0.3">
      <c r="A24" t="s">
        <v>84</v>
      </c>
      <c r="B24" t="s">
        <v>17</v>
      </c>
      <c r="C24" t="s">
        <v>13</v>
      </c>
      <c r="D24" t="s">
        <v>61</v>
      </c>
      <c r="E24" s="2">
        <v>77.97</v>
      </c>
      <c r="F24" s="2">
        <f>MAX(E24-IF(D24="S",BagMasses!$B$12,IF(D24="M",BagMasses!$C$12,IF(D24="L",BagMasses!$D$12,IF(D24="SM",BagMasses!$E$12,IF(D24="E",BagMasses!$F$12))))),0)</f>
        <v>10.36666666666666</v>
      </c>
    </row>
    <row r="25" spans="1:6" x14ac:dyDescent="0.3">
      <c r="A25" t="s">
        <v>84</v>
      </c>
      <c r="B25" t="s">
        <v>17</v>
      </c>
      <c r="C25" t="s">
        <v>15</v>
      </c>
      <c r="D25" t="s">
        <v>61</v>
      </c>
      <c r="E25" s="2">
        <v>148.04</v>
      </c>
      <c r="F25" s="2">
        <f>MAX(E25-IF(D25="S",BagMasses!$B$12,IF(D25="M",BagMasses!$C$12,IF(D25="L",BagMasses!$D$12,IF(D25="SM",BagMasses!$E$12,IF(D25="E",BagMasses!$F$12))))),0)</f>
        <v>80.436666666666653</v>
      </c>
    </row>
    <row r="26" spans="1:6" x14ac:dyDescent="0.3">
      <c r="A26" t="s">
        <v>84</v>
      </c>
      <c r="B26" t="s">
        <v>14</v>
      </c>
      <c r="C26" t="s">
        <v>13</v>
      </c>
      <c r="D26" t="s">
        <v>61</v>
      </c>
      <c r="E26" s="2">
        <v>68.040000000000006</v>
      </c>
      <c r="F26" s="2">
        <f>MAX(E26-IF(D26="S",BagMasses!$B$12,IF(D26="M",BagMasses!$C$12,IF(D26="L",BagMasses!$D$12,IF(D26="SM",BagMasses!$E$12,IF(D26="E",BagMasses!$F$12))))),0)</f>
        <v>0.43666666666666742</v>
      </c>
    </row>
    <row r="27" spans="1:6" x14ac:dyDescent="0.3">
      <c r="A27" t="s">
        <v>84</v>
      </c>
      <c r="B27" t="s">
        <v>14</v>
      </c>
      <c r="C27" t="s">
        <v>15</v>
      </c>
      <c r="D27" t="s">
        <v>44</v>
      </c>
      <c r="E27" s="2">
        <v>66.38</v>
      </c>
      <c r="F27" s="2">
        <f>MAX(E27-IF(D27="S",BagMasses!$B$12,IF(D27="M",BagMasses!$C$12,IF(D27="L",BagMasses!$D$12,IF(D27="SM",BagMasses!$E$12,IF(D27="E",BagMasses!$F$12))))),0)</f>
        <v>39.961999999999996</v>
      </c>
    </row>
    <row r="28" spans="1:6" x14ac:dyDescent="0.3">
      <c r="A28" t="s">
        <v>84</v>
      </c>
      <c r="B28" t="s">
        <v>14</v>
      </c>
      <c r="C28" t="s">
        <v>30</v>
      </c>
      <c r="D28" t="s">
        <v>67</v>
      </c>
      <c r="E28" s="2">
        <v>3.51</v>
      </c>
      <c r="F28" s="2">
        <f>MAX(E28-IF(D28="S",BagMasses!$B$12,IF(D28="M",BagMasses!$C$12,IF(D28="L",BagMasses!$D$12,IF(D28="SM",BagMasses!$E$12,IF(D28="E",BagMasses!$F$12))))),0)</f>
        <v>0.5133333333333332</v>
      </c>
    </row>
    <row r="29" spans="1:6" x14ac:dyDescent="0.3">
      <c r="A29" t="s">
        <v>84</v>
      </c>
      <c r="B29" t="s">
        <v>14</v>
      </c>
      <c r="C29" t="s">
        <v>33</v>
      </c>
      <c r="D29" t="s">
        <v>42</v>
      </c>
      <c r="E29" s="2">
        <v>11.5</v>
      </c>
      <c r="F29" s="2">
        <f>MAX(E29-IF(D29="S",BagMasses!$B$12,IF(D29="M",BagMasses!$C$12,IF(D29="L",BagMasses!$D$12,IF(D29="SM",BagMasses!$E$12,IF(D29="E",BagMasses!$F$12))))),0)</f>
        <v>4.9670000000000005</v>
      </c>
    </row>
    <row r="30" spans="1:6" x14ac:dyDescent="0.3">
      <c r="A30" t="s">
        <v>84</v>
      </c>
      <c r="B30" t="s">
        <v>14</v>
      </c>
      <c r="C30" t="s">
        <v>35</v>
      </c>
      <c r="D30" t="s">
        <v>63</v>
      </c>
      <c r="E30" s="2">
        <v>11.14</v>
      </c>
      <c r="F30" s="2">
        <f>MAX(E30-IF(D30="S",BagMasses!$B$12,IF(D30="M",BagMasses!$C$12,IF(D30="L",BagMasses!$D$12,IF(D30="SM",BagMasses!$E$12,IF(D30="E",BagMasses!$F$12))))),0)</f>
        <v>0</v>
      </c>
    </row>
    <row r="31" spans="1:6" x14ac:dyDescent="0.3">
      <c r="A31" t="s">
        <v>84</v>
      </c>
      <c r="B31" t="s">
        <v>14</v>
      </c>
      <c r="C31" t="s">
        <v>18</v>
      </c>
      <c r="D31" t="s">
        <v>67</v>
      </c>
      <c r="E31" s="2">
        <v>3.05</v>
      </c>
      <c r="F31" s="2">
        <f>MAX(E31-IF(D31="S",BagMasses!$B$12,IF(D31="M",BagMasses!$C$12,IF(D31="L",BagMasses!$D$12,IF(D31="SM",BagMasses!$E$12,IF(D31="E",BagMasses!$F$12))))),0)</f>
        <v>5.3333333333333233E-2</v>
      </c>
    </row>
    <row r="32" spans="1:6" x14ac:dyDescent="0.3">
      <c r="A32" t="s">
        <v>84</v>
      </c>
      <c r="B32" t="s">
        <v>11</v>
      </c>
      <c r="C32" t="s">
        <v>46</v>
      </c>
      <c r="D32" t="s">
        <v>67</v>
      </c>
      <c r="E32" s="2">
        <v>2.97</v>
      </c>
      <c r="F32" s="2">
        <f>MAX(E32-IF(D32="S",BagMasses!$B$12,IF(D32="M",BagMasses!$C$12,IF(D32="L",BagMasses!$D$12,IF(D32="SM",BagMasses!$E$12,IF(D32="E",BagMasses!$F$12))))),0)</f>
        <v>0</v>
      </c>
    </row>
    <row r="33" spans="1:6" x14ac:dyDescent="0.3">
      <c r="A33" t="s">
        <v>84</v>
      </c>
      <c r="B33" t="s">
        <v>11</v>
      </c>
      <c r="C33" t="s">
        <v>15</v>
      </c>
      <c r="D33" t="s">
        <v>44</v>
      </c>
      <c r="E33" s="2">
        <v>91.37</v>
      </c>
      <c r="F33" s="2">
        <f>MAX(E33-IF(D33="S",BagMasses!$B$12,IF(D33="M",BagMasses!$C$12,IF(D33="L",BagMasses!$D$12,IF(D33="SM",BagMasses!$E$12,IF(D33="E",BagMasses!$F$12))))),0)</f>
        <v>64.951999999999998</v>
      </c>
    </row>
    <row r="34" spans="1:6" x14ac:dyDescent="0.3">
      <c r="A34" t="s">
        <v>84</v>
      </c>
      <c r="B34" t="s">
        <v>11</v>
      </c>
      <c r="C34" t="s">
        <v>47</v>
      </c>
      <c r="D34" t="s">
        <v>67</v>
      </c>
      <c r="E34" s="2">
        <v>4.4000000000000004</v>
      </c>
      <c r="F34" s="2">
        <f>MAX(E34-IF(D34="S",BagMasses!$B$12,IF(D34="M",BagMasses!$C$12,IF(D34="L",BagMasses!$D$12,IF(D34="SM",BagMasses!$E$12,IF(D34="E",BagMasses!$F$12))))),0)</f>
        <v>1.4033333333333338</v>
      </c>
    </row>
    <row r="35" spans="1:6" x14ac:dyDescent="0.3">
      <c r="A35" t="s">
        <v>84</v>
      </c>
      <c r="B35" t="s">
        <v>11</v>
      </c>
      <c r="C35" t="s">
        <v>30</v>
      </c>
      <c r="D35" t="s">
        <v>67</v>
      </c>
      <c r="E35" s="2">
        <v>2.89</v>
      </c>
      <c r="F35" s="2">
        <f>MAX(E35-IF(D35="S",BagMasses!$B$12,IF(D35="M",BagMasses!$C$12,IF(D35="L",BagMasses!$D$12,IF(D35="SM",BagMasses!$E$12,IF(D35="E",BagMasses!$F$12))))),0)</f>
        <v>0</v>
      </c>
    </row>
    <row r="36" spans="1:6" x14ac:dyDescent="0.3">
      <c r="A36" t="s">
        <v>84</v>
      </c>
      <c r="B36" t="s">
        <v>11</v>
      </c>
      <c r="C36" t="s">
        <v>33</v>
      </c>
      <c r="D36" t="s">
        <v>44</v>
      </c>
      <c r="E36" s="2">
        <v>19.149999999999999</v>
      </c>
      <c r="F36" s="2">
        <f>MAX(E36-IF(D36="S",BagMasses!$B$12,IF(D36="M",BagMasses!$C$12,IF(D36="L",BagMasses!$D$12,IF(D36="SM",BagMasses!$E$12,IF(D36="E",BagMasses!$F$12))))),0)</f>
        <v>0</v>
      </c>
    </row>
    <row r="37" spans="1:6" x14ac:dyDescent="0.3">
      <c r="A37" t="s">
        <v>84</v>
      </c>
      <c r="B37" t="s">
        <v>11</v>
      </c>
      <c r="C37" t="s">
        <v>29</v>
      </c>
      <c r="D37" t="s">
        <v>67</v>
      </c>
      <c r="E37" s="2">
        <v>3.68</v>
      </c>
      <c r="F37" s="2">
        <f>MAX(E37-IF(D37="S",BagMasses!$B$12,IF(D37="M",BagMasses!$C$12,IF(D37="L",BagMasses!$D$12,IF(D37="SM",BagMasses!$E$12,IF(D37="E",BagMasses!$F$12))))),0)</f>
        <v>0.68333333333333357</v>
      </c>
    </row>
    <row r="38" spans="1:6" x14ac:dyDescent="0.3">
      <c r="A38" t="s">
        <v>84</v>
      </c>
      <c r="B38" t="s">
        <v>11</v>
      </c>
      <c r="C38" t="s">
        <v>31</v>
      </c>
      <c r="D38" t="s">
        <v>67</v>
      </c>
      <c r="E38" s="2">
        <v>2.84</v>
      </c>
      <c r="F38" s="2">
        <f>MAX(E38-IF(D38="S",BagMasses!$B$12,IF(D38="M",BagMasses!$C$12,IF(D38="L",BagMasses!$D$12,IF(D38="SM",BagMasses!$E$12,IF(D38="E",BagMasses!$F$12))))),0)</f>
        <v>0</v>
      </c>
    </row>
    <row r="39" spans="1:6" x14ac:dyDescent="0.3">
      <c r="A39" t="s">
        <v>84</v>
      </c>
      <c r="B39" t="s">
        <v>7</v>
      </c>
      <c r="C39" t="s">
        <v>13</v>
      </c>
      <c r="D39" t="s">
        <v>44</v>
      </c>
      <c r="E39" s="2">
        <v>30.95</v>
      </c>
      <c r="F39" s="2">
        <f>MAX(E39-IF(D39="S",BagMasses!$B$12,IF(D39="M",BagMasses!$C$12,IF(D39="L",BagMasses!$D$12,IF(D39="SM",BagMasses!$E$12,IF(D39="E",BagMasses!$F$12))))),0)</f>
        <v>4.532</v>
      </c>
    </row>
    <row r="40" spans="1:6" x14ac:dyDescent="0.3">
      <c r="A40" t="s">
        <v>84</v>
      </c>
      <c r="B40" t="s">
        <v>7</v>
      </c>
      <c r="C40" t="s">
        <v>15</v>
      </c>
      <c r="D40" t="s">
        <v>44</v>
      </c>
      <c r="E40" s="2">
        <v>92.87</v>
      </c>
      <c r="F40" s="2">
        <f>MAX(E40-IF(D40="S",BagMasses!$B$12,IF(D40="M",BagMasses!$C$12,IF(D40="L",BagMasses!$D$12,IF(D40="SM",BagMasses!$E$12,IF(D40="E",BagMasses!$F$12))))),0)</f>
        <v>66.451999999999998</v>
      </c>
    </row>
    <row r="41" spans="1:6" x14ac:dyDescent="0.3">
      <c r="A41" t="s">
        <v>84</v>
      </c>
      <c r="B41" t="s">
        <v>7</v>
      </c>
      <c r="C41" t="s">
        <v>47</v>
      </c>
      <c r="D41" t="s">
        <v>67</v>
      </c>
      <c r="E41" s="2">
        <v>5.35</v>
      </c>
      <c r="F41" s="2">
        <f>MAX(E41-IF(D41="S",BagMasses!$B$12,IF(D41="M",BagMasses!$C$12,IF(D41="L",BagMasses!$D$12,IF(D41="SM",BagMasses!$E$12,IF(D41="E",BagMasses!$F$12))))),0)</f>
        <v>2.3533333333333331</v>
      </c>
    </row>
    <row r="42" spans="1:6" x14ac:dyDescent="0.3">
      <c r="A42" t="s">
        <v>84</v>
      </c>
      <c r="B42" t="s">
        <v>7</v>
      </c>
      <c r="C42" t="s">
        <v>30</v>
      </c>
      <c r="D42" t="s">
        <v>67</v>
      </c>
      <c r="E42" s="2">
        <v>6.75</v>
      </c>
      <c r="F42" s="2">
        <f>MAX(E42-IF(D42="S",BagMasses!$B$12,IF(D42="M",BagMasses!$C$12,IF(D42="L",BagMasses!$D$12,IF(D42="SM",BagMasses!$E$12,IF(D42="E",BagMasses!$F$12))))),0)</f>
        <v>3.7533333333333334</v>
      </c>
    </row>
    <row r="43" spans="1:6" x14ac:dyDescent="0.3">
      <c r="A43" t="s">
        <v>84</v>
      </c>
      <c r="B43" t="s">
        <v>7</v>
      </c>
      <c r="C43" t="s">
        <v>19</v>
      </c>
      <c r="D43" t="s">
        <v>67</v>
      </c>
      <c r="E43" s="2">
        <v>3.26</v>
      </c>
      <c r="F43" s="2">
        <f>MAX(E43-IF(D43="S",BagMasses!$B$12,IF(D43="M",BagMasses!$C$12,IF(D43="L",BagMasses!$D$12,IF(D43="SM",BagMasses!$E$12,IF(D43="E",BagMasses!$F$12))))),0)</f>
        <v>0.2633333333333332</v>
      </c>
    </row>
    <row r="44" spans="1:6" x14ac:dyDescent="0.3">
      <c r="A44" t="s">
        <v>81</v>
      </c>
      <c r="B44" t="s">
        <v>24</v>
      </c>
      <c r="C44" t="s">
        <v>71</v>
      </c>
      <c r="D44" t="s">
        <v>67</v>
      </c>
      <c r="E44" s="2">
        <v>2.82</v>
      </c>
      <c r="F44" s="2">
        <f>MAX(E44-IF(D44="S",BagMasses!$B$12,IF(D44="M",BagMasses!$C$12,IF(D44="L",BagMasses!$D$12,IF(D44="SM",BagMasses!$E$12,IF(D44="E",BagMasses!$F$12))))),0)</f>
        <v>0</v>
      </c>
    </row>
    <row r="45" spans="1:6" x14ac:dyDescent="0.3">
      <c r="A45" t="s">
        <v>81</v>
      </c>
      <c r="B45" t="s">
        <v>24</v>
      </c>
      <c r="C45" t="s">
        <v>13</v>
      </c>
      <c r="D45" t="s">
        <v>42</v>
      </c>
      <c r="E45" s="2">
        <v>12.29</v>
      </c>
      <c r="F45" s="2">
        <f>MAX(E45-IF(D45="S",BagMasses!$B$12,IF(D45="M",BagMasses!$C$12,IF(D45="L",BagMasses!$D$12,IF(D45="SM",BagMasses!$E$12,IF(D45="E",BagMasses!$F$12))))),0)</f>
        <v>5.7569999999999997</v>
      </c>
    </row>
    <row r="46" spans="1:6" x14ac:dyDescent="0.3">
      <c r="A46" t="s">
        <v>81</v>
      </c>
      <c r="B46" t="s">
        <v>24</v>
      </c>
      <c r="C46" t="s">
        <v>15</v>
      </c>
      <c r="D46" t="s">
        <v>44</v>
      </c>
      <c r="E46" s="2">
        <v>158.94999999999999</v>
      </c>
      <c r="F46" s="2">
        <f>MAX(E46-IF(D46="S",BagMasses!$B$12,IF(D46="M",BagMasses!$C$12,IF(D46="L",BagMasses!$D$12,IF(D46="SM",BagMasses!$E$12,IF(D46="E",BagMasses!$F$12))))),0)</f>
        <v>132.53199999999998</v>
      </c>
    </row>
    <row r="47" spans="1:6" x14ac:dyDescent="0.3">
      <c r="A47" t="s">
        <v>81</v>
      </c>
      <c r="B47" t="s">
        <v>24</v>
      </c>
      <c r="C47" t="s">
        <v>33</v>
      </c>
      <c r="D47" t="s">
        <v>42</v>
      </c>
      <c r="E47" s="2">
        <v>7.16</v>
      </c>
      <c r="F47" s="2">
        <f>MAX(E47-IF(D47="S",BagMasses!$B$12,IF(D47="M",BagMasses!$C$12,IF(D47="L",BagMasses!$D$12,IF(D47="SM",BagMasses!$E$12,IF(D47="E",BagMasses!$F$12))))),0)</f>
        <v>0.62700000000000067</v>
      </c>
    </row>
    <row r="48" spans="1:6" x14ac:dyDescent="0.3">
      <c r="A48" t="s">
        <v>81</v>
      </c>
      <c r="B48" t="s">
        <v>24</v>
      </c>
      <c r="C48" t="s">
        <v>29</v>
      </c>
      <c r="D48" t="s">
        <v>42</v>
      </c>
      <c r="E48" s="2">
        <v>6.54</v>
      </c>
      <c r="F48" s="2">
        <f>MAX(E48-IF(D48="S",BagMasses!$B$12,IF(D48="M",BagMasses!$C$12,IF(D48="L",BagMasses!$D$12,IF(D48="SM",BagMasses!$E$12,IF(D48="E",BagMasses!$F$12))))),0)</f>
        <v>7.0000000000005613E-3</v>
      </c>
    </row>
    <row r="49" spans="1:6" x14ac:dyDescent="0.3">
      <c r="A49" t="s">
        <v>81</v>
      </c>
      <c r="B49" t="s">
        <v>24</v>
      </c>
      <c r="C49" t="s">
        <v>19</v>
      </c>
      <c r="D49" t="s">
        <v>42</v>
      </c>
      <c r="E49" s="2">
        <v>10.36</v>
      </c>
      <c r="F49" s="2">
        <f>MAX(E49-IF(D49="S",BagMasses!$B$12,IF(D49="M",BagMasses!$C$12,IF(D49="L",BagMasses!$D$12,IF(D49="SM",BagMasses!$E$12,IF(D49="E",BagMasses!$F$12))))),0)</f>
        <v>3.827</v>
      </c>
    </row>
    <row r="50" spans="1:6" x14ac:dyDescent="0.3">
      <c r="A50" t="s">
        <v>81</v>
      </c>
      <c r="B50" t="s">
        <v>17</v>
      </c>
      <c r="C50" t="s">
        <v>15</v>
      </c>
      <c r="D50" t="s">
        <v>44</v>
      </c>
      <c r="E50" s="2">
        <v>95.62</v>
      </c>
      <c r="F50" s="2">
        <f>MAX(E50-IF(D50="S",BagMasses!$B$12,IF(D50="M",BagMasses!$C$12,IF(D50="L",BagMasses!$D$12,IF(D50="SM",BagMasses!$E$12,IF(D50="E",BagMasses!$F$12))))),0)</f>
        <v>69.201999999999998</v>
      </c>
    </row>
    <row r="51" spans="1:6" x14ac:dyDescent="0.3">
      <c r="A51" t="s">
        <v>81</v>
      </c>
      <c r="B51" t="s">
        <v>17</v>
      </c>
      <c r="C51" t="s">
        <v>47</v>
      </c>
      <c r="D51" t="s">
        <v>42</v>
      </c>
      <c r="E51" s="2">
        <v>8.6</v>
      </c>
      <c r="F51" s="2">
        <f>MAX(E51-IF(D51="S",BagMasses!$B$12,IF(D51="M",BagMasses!$C$12,IF(D51="L",BagMasses!$D$12,IF(D51="SM",BagMasses!$E$12,IF(D51="E",BagMasses!$F$12))))),0)</f>
        <v>2.0670000000000002</v>
      </c>
    </row>
    <row r="52" spans="1:6" x14ac:dyDescent="0.3">
      <c r="A52" t="s">
        <v>81</v>
      </c>
      <c r="B52" t="s">
        <v>17</v>
      </c>
      <c r="C52" t="s">
        <v>33</v>
      </c>
      <c r="D52" t="s">
        <v>42</v>
      </c>
      <c r="E52" s="2">
        <v>7.27</v>
      </c>
      <c r="F52" s="2">
        <f>MAX(E52-IF(D52="S",BagMasses!$B$12,IF(D52="M",BagMasses!$C$12,IF(D52="L",BagMasses!$D$12,IF(D52="SM",BagMasses!$E$12,IF(D52="E",BagMasses!$F$12))))),0)</f>
        <v>0.7370000000000001</v>
      </c>
    </row>
    <row r="53" spans="1:6" x14ac:dyDescent="0.3">
      <c r="A53" t="s">
        <v>81</v>
      </c>
      <c r="B53" t="s">
        <v>17</v>
      </c>
      <c r="C53" t="s">
        <v>29</v>
      </c>
      <c r="D53" t="s">
        <v>44</v>
      </c>
      <c r="E53" s="2">
        <v>30.04</v>
      </c>
      <c r="F53" s="2">
        <f>MAX(E53-IF(D53="S",BagMasses!$B$12,IF(D53="M",BagMasses!$C$12,IF(D53="L",BagMasses!$D$12,IF(D53="SM",BagMasses!$E$12,IF(D53="E",BagMasses!$F$12))))),0)</f>
        <v>3.6219999999999999</v>
      </c>
    </row>
    <row r="54" spans="1:6" x14ac:dyDescent="0.3">
      <c r="A54" t="s">
        <v>81</v>
      </c>
      <c r="B54" t="s">
        <v>14</v>
      </c>
      <c r="C54" t="s">
        <v>71</v>
      </c>
      <c r="D54" t="s">
        <v>67</v>
      </c>
      <c r="E54" s="2">
        <v>2.84</v>
      </c>
      <c r="F54" s="2">
        <f>MAX(E54-IF(D54="S",BagMasses!$B$12,IF(D54="M",BagMasses!$C$12,IF(D54="L",BagMasses!$D$12,IF(D54="SM",BagMasses!$E$12,IF(D54="E",BagMasses!$F$12))))),0)</f>
        <v>0</v>
      </c>
    </row>
    <row r="55" spans="1:6" x14ac:dyDescent="0.3">
      <c r="A55" t="s">
        <v>81</v>
      </c>
      <c r="B55" t="s">
        <v>14</v>
      </c>
      <c r="C55" t="s">
        <v>15</v>
      </c>
      <c r="D55" t="s">
        <v>63</v>
      </c>
      <c r="E55" s="2">
        <v>109.73</v>
      </c>
      <c r="F55" s="2">
        <f>MAX(E55-IF(D55="S",BagMasses!$B$12,IF(D55="M",BagMasses!$C$12,IF(D55="L",BagMasses!$D$12,IF(D55="SM",BagMasses!$E$12,IF(D55="E",BagMasses!$F$12))))),0)</f>
        <v>98.443333333333342</v>
      </c>
    </row>
    <row r="56" spans="1:6" x14ac:dyDescent="0.3">
      <c r="A56" t="s">
        <v>81</v>
      </c>
      <c r="B56" t="s">
        <v>14</v>
      </c>
      <c r="C56" t="s">
        <v>31</v>
      </c>
      <c r="D56" t="s">
        <v>42</v>
      </c>
      <c r="E56" s="2">
        <v>6.99</v>
      </c>
      <c r="F56" s="2">
        <f>MAX(E56-IF(D56="S",BagMasses!$B$12,IF(D56="M",BagMasses!$C$12,IF(D56="L",BagMasses!$D$12,IF(D56="SM",BagMasses!$E$12,IF(D56="E",BagMasses!$F$12))))),0)</f>
        <v>0.45700000000000074</v>
      </c>
    </row>
    <row r="57" spans="1:6" x14ac:dyDescent="0.3">
      <c r="A57" t="s">
        <v>81</v>
      </c>
      <c r="B57" t="s">
        <v>11</v>
      </c>
      <c r="C57" t="s">
        <v>71</v>
      </c>
      <c r="D57" t="s">
        <v>67</v>
      </c>
      <c r="E57" s="2">
        <v>2.84</v>
      </c>
      <c r="F57" s="2">
        <f>MAX(E57-IF(D57="S",BagMasses!$B$12,IF(D57="M",BagMasses!$C$12,IF(D57="L",BagMasses!$D$12,IF(D57="SM",BagMasses!$E$12,IF(D57="E",BagMasses!$F$12))))),0)</f>
        <v>0</v>
      </c>
    </row>
    <row r="58" spans="1:6" x14ac:dyDescent="0.3">
      <c r="A58" t="s">
        <v>81</v>
      </c>
      <c r="B58" t="s">
        <v>11</v>
      </c>
      <c r="C58" t="s">
        <v>15</v>
      </c>
      <c r="D58" t="s">
        <v>44</v>
      </c>
      <c r="E58" s="2">
        <v>53.41</v>
      </c>
      <c r="F58" s="2">
        <f>MAX(E58-IF(D58="S",BagMasses!$B$12,IF(D58="M",BagMasses!$C$12,IF(D58="L",BagMasses!$D$12,IF(D58="SM",BagMasses!$E$12,IF(D58="E",BagMasses!$F$12))))),0)</f>
        <v>26.991999999999997</v>
      </c>
    </row>
    <row r="59" spans="1:6" x14ac:dyDescent="0.3">
      <c r="A59" t="s">
        <v>81</v>
      </c>
      <c r="B59" t="s">
        <v>11</v>
      </c>
      <c r="C59" t="s">
        <v>31</v>
      </c>
      <c r="D59" t="s">
        <v>67</v>
      </c>
      <c r="E59" s="2">
        <v>4.0199999999999996</v>
      </c>
      <c r="F59" s="2">
        <f>MAX(E59-IF(D59="S",BagMasses!$B$12,IF(D59="M",BagMasses!$C$12,IF(D59="L",BagMasses!$D$12,IF(D59="SM",BagMasses!$E$12,IF(D59="E",BagMasses!$F$12))))),0)</f>
        <v>1.023333333333333</v>
      </c>
    </row>
    <row r="60" spans="1:6" x14ac:dyDescent="0.3">
      <c r="A60" t="s">
        <v>81</v>
      </c>
      <c r="B60" t="s">
        <v>11</v>
      </c>
      <c r="C60" t="s">
        <v>85</v>
      </c>
      <c r="D60" t="s">
        <v>42</v>
      </c>
      <c r="E60" s="2">
        <v>8.0399999999999991</v>
      </c>
      <c r="F60" s="2">
        <f>MAX(E60-IF(D60="S",BagMasses!$B$12,IF(D60="M",BagMasses!$C$12,IF(D60="L",BagMasses!$D$12,IF(D60="SM",BagMasses!$E$12,IF(D60="E",BagMasses!$F$12))))),0)</f>
        <v>1.5069999999999997</v>
      </c>
    </row>
    <row r="61" spans="1:6" x14ac:dyDescent="0.3">
      <c r="A61" t="s">
        <v>81</v>
      </c>
      <c r="B61" t="s">
        <v>7</v>
      </c>
      <c r="C61" t="s">
        <v>15</v>
      </c>
      <c r="D61" t="s">
        <v>44</v>
      </c>
      <c r="E61" s="2">
        <v>104.01</v>
      </c>
      <c r="F61" s="2">
        <f>MAX(E61-IF(D61="S",BagMasses!$B$12,IF(D61="M",BagMasses!$C$12,IF(D61="L",BagMasses!$D$12,IF(D61="SM",BagMasses!$E$12,IF(D61="E",BagMasses!$F$12))))),0)</f>
        <v>77.592000000000013</v>
      </c>
    </row>
    <row r="62" spans="1:6" x14ac:dyDescent="0.3">
      <c r="A62" t="s">
        <v>81</v>
      </c>
      <c r="B62" t="s">
        <v>7</v>
      </c>
      <c r="C62" t="s">
        <v>33</v>
      </c>
      <c r="D62" t="s">
        <v>67</v>
      </c>
      <c r="E62" s="2">
        <v>3.15</v>
      </c>
      <c r="F62" s="2">
        <f>MAX(E62-IF(D62="S",BagMasses!$B$12,IF(D62="M",BagMasses!$C$12,IF(D62="L",BagMasses!$D$12,IF(D62="SM",BagMasses!$E$12,IF(D62="E",BagMasses!$F$12))))),0)</f>
        <v>0.15333333333333332</v>
      </c>
    </row>
    <row r="63" spans="1:6" x14ac:dyDescent="0.3">
      <c r="A63" t="s">
        <v>81</v>
      </c>
      <c r="B63" t="s">
        <v>7</v>
      </c>
      <c r="C63" t="s">
        <v>31</v>
      </c>
      <c r="D63" t="s">
        <v>42</v>
      </c>
      <c r="E63" s="2">
        <v>11.91</v>
      </c>
      <c r="F63" s="2">
        <f>MAX(E63-IF(D63="S",BagMasses!$B$12,IF(D63="M",BagMasses!$C$12,IF(D63="L",BagMasses!$D$12,IF(D63="SM",BagMasses!$E$12,IF(D63="E",BagMasses!$F$12))))),0)</f>
        <v>5.3770000000000007</v>
      </c>
    </row>
    <row r="64" spans="1:6" x14ac:dyDescent="0.3">
      <c r="A64" t="s">
        <v>6</v>
      </c>
      <c r="B64" t="s">
        <v>24</v>
      </c>
      <c r="C64" t="s">
        <v>13</v>
      </c>
      <c r="D64" t="s">
        <v>44</v>
      </c>
      <c r="E64" s="2">
        <v>98.7</v>
      </c>
      <c r="F64" s="2">
        <f>MAX(E64-IF(D64="S",BagMasses!$B$12,IF(D64="M",BagMasses!$C$12,IF(D64="L",BagMasses!$D$12,IF(D64="SM",BagMasses!$E$12,IF(D64="E",BagMasses!$F$12))))),0)</f>
        <v>72.282000000000011</v>
      </c>
    </row>
    <row r="65" spans="1:9" x14ac:dyDescent="0.3">
      <c r="A65" t="s">
        <v>6</v>
      </c>
      <c r="B65" t="s">
        <v>24</v>
      </c>
      <c r="C65" t="s">
        <v>15</v>
      </c>
      <c r="D65" t="s">
        <v>44</v>
      </c>
      <c r="E65" s="2">
        <v>354.05</v>
      </c>
      <c r="F65" s="2">
        <f>MAX(E65-IF(D65="S",BagMasses!$B$12,IF(D65="M",BagMasses!$C$12,IF(D65="L",BagMasses!$D$12,IF(D65="SM",BagMasses!$E$12,IF(D65="E",BagMasses!$F$12))))),0)</f>
        <v>327.63200000000001</v>
      </c>
    </row>
    <row r="66" spans="1:9" x14ac:dyDescent="0.3">
      <c r="A66" t="s">
        <v>6</v>
      </c>
      <c r="B66" t="s">
        <v>17</v>
      </c>
      <c r="C66" t="s">
        <v>71</v>
      </c>
      <c r="D66" t="s">
        <v>42</v>
      </c>
      <c r="E66" s="2">
        <v>6.24</v>
      </c>
      <c r="F66" s="2">
        <f>MAX(E66-IF(D66="S",BagMasses!$B$12,IF(D66="M",BagMasses!$C$12,IF(D66="L",BagMasses!$D$12,IF(D66="SM",BagMasses!$E$12,IF(D66="E",BagMasses!$F$12))))),0)</f>
        <v>0</v>
      </c>
    </row>
    <row r="67" spans="1:9" x14ac:dyDescent="0.3">
      <c r="A67" t="s">
        <v>6</v>
      </c>
      <c r="B67" t="s">
        <v>17</v>
      </c>
      <c r="C67" t="s">
        <v>13</v>
      </c>
      <c r="D67" t="s">
        <v>44</v>
      </c>
      <c r="E67" s="2">
        <v>44.29</v>
      </c>
      <c r="F67" s="2">
        <f>MAX(E67-IF(D67="S",BagMasses!$B$12,IF(D67="M",BagMasses!$C$12,IF(D67="L",BagMasses!$D$12,IF(D67="SM",BagMasses!$E$12,IF(D67="E",BagMasses!$F$12))))),0)</f>
        <v>17.872</v>
      </c>
    </row>
    <row r="68" spans="1:9" x14ac:dyDescent="0.3">
      <c r="A68" t="s">
        <v>6</v>
      </c>
      <c r="B68" t="s">
        <v>17</v>
      </c>
      <c r="C68" t="s">
        <v>15</v>
      </c>
      <c r="D68" t="s">
        <v>44</v>
      </c>
      <c r="E68" s="2">
        <v>147.76</v>
      </c>
      <c r="F68" s="2">
        <f>MAX(E68-IF(D68="S",BagMasses!$B$12,IF(D68="M",BagMasses!$C$12,IF(D68="L",BagMasses!$D$12,IF(D68="SM",BagMasses!$E$12,IF(D68="E",BagMasses!$F$12))))),0)</f>
        <v>121.34199999999998</v>
      </c>
    </row>
    <row r="69" spans="1:9" x14ac:dyDescent="0.3">
      <c r="A69" t="s">
        <v>6</v>
      </c>
      <c r="B69" t="s">
        <v>17</v>
      </c>
      <c r="C69" t="s">
        <v>30</v>
      </c>
      <c r="D69" t="s">
        <v>42</v>
      </c>
      <c r="E69" s="2">
        <v>6.46</v>
      </c>
      <c r="F69" s="2">
        <f>MAX(E69-IF(D69="S",BagMasses!$B$12,IF(D69="M",BagMasses!$C$12,IF(D69="L",BagMasses!$D$12,IF(D69="SM",BagMasses!$E$12,IF(D69="E",BagMasses!$F$12))))),0)</f>
        <v>0</v>
      </c>
    </row>
    <row r="70" spans="1:9" x14ac:dyDescent="0.3">
      <c r="A70" t="s">
        <v>6</v>
      </c>
      <c r="B70" t="s">
        <v>17</v>
      </c>
      <c r="C70" t="s">
        <v>29</v>
      </c>
      <c r="D70" t="s">
        <v>42</v>
      </c>
      <c r="E70" s="2">
        <v>6.83</v>
      </c>
      <c r="F70" s="2">
        <f>MAX(E70-IF(D70="S",BagMasses!$B$12,IF(D70="M",BagMasses!$C$12,IF(D70="L",BagMasses!$D$12,IF(D70="SM",BagMasses!$E$12,IF(D70="E",BagMasses!$F$12))))),0)</f>
        <v>0.2970000000000006</v>
      </c>
    </row>
    <row r="71" spans="1:9" x14ac:dyDescent="0.3">
      <c r="A71" t="s">
        <v>6</v>
      </c>
      <c r="B71" t="s">
        <v>14</v>
      </c>
      <c r="C71" t="s">
        <v>15</v>
      </c>
      <c r="D71" t="s">
        <v>44</v>
      </c>
      <c r="E71" s="2">
        <v>212.45</v>
      </c>
      <c r="F71" s="2">
        <f>MAX(E71-IF(D71="S",BagMasses!$B$12,IF(D71="M",BagMasses!$C$12,IF(D71="L",BagMasses!$D$12,IF(D71="SM",BagMasses!$E$12,IF(D71="E",BagMasses!$F$12))))),0)</f>
        <v>186.03199999999998</v>
      </c>
    </row>
    <row r="72" spans="1:9" x14ac:dyDescent="0.3">
      <c r="A72" t="s">
        <v>6</v>
      </c>
      <c r="B72" t="s">
        <v>14</v>
      </c>
      <c r="C72" t="s">
        <v>19</v>
      </c>
      <c r="D72" t="s">
        <v>42</v>
      </c>
      <c r="E72" s="2">
        <v>6.62</v>
      </c>
      <c r="F72" s="2">
        <f>MAX(E72-IF(D72="S",BagMasses!$B$12,IF(D72="M",BagMasses!$C$12,IF(D72="L",BagMasses!$D$12,IF(D72="SM",BagMasses!$E$12,IF(D72="E",BagMasses!$F$12))))),0)</f>
        <v>8.7000000000000632E-2</v>
      </c>
    </row>
    <row r="73" spans="1:9" x14ac:dyDescent="0.3">
      <c r="A73" t="s">
        <v>6</v>
      </c>
      <c r="B73" t="s">
        <v>11</v>
      </c>
      <c r="C73" t="s">
        <v>12</v>
      </c>
      <c r="D73" t="s">
        <v>42</v>
      </c>
      <c r="E73" s="2">
        <v>6.54</v>
      </c>
      <c r="F73" s="2">
        <f>MAX(E73-IF(D73="S",BagMasses!$B$12,IF(D73="M",BagMasses!$C$12,IF(D73="L",BagMasses!$D$12,IF(D73="SM",BagMasses!$E$12,IF(D73="E",BagMasses!$F$12))))),0)</f>
        <v>7.0000000000005613E-3</v>
      </c>
    </row>
    <row r="74" spans="1:9" x14ac:dyDescent="0.3">
      <c r="A74" t="s">
        <v>6</v>
      </c>
      <c r="B74" t="s">
        <v>11</v>
      </c>
      <c r="C74" t="s">
        <v>15</v>
      </c>
      <c r="D74" t="s">
        <v>44</v>
      </c>
      <c r="E74" s="2">
        <v>171.54</v>
      </c>
      <c r="F74" s="2">
        <f>MAX(E74-IF(D74="S",BagMasses!$B$12,IF(D74="M",BagMasses!$C$12,IF(D74="L",BagMasses!$D$12,IF(D74="SM",BagMasses!$E$12,IF(D74="E",BagMasses!$F$12))))),0)</f>
        <v>145.12199999999999</v>
      </c>
    </row>
    <row r="75" spans="1:9" x14ac:dyDescent="0.3">
      <c r="A75" t="s">
        <v>6</v>
      </c>
      <c r="B75" t="s">
        <v>11</v>
      </c>
      <c r="C75" t="s">
        <v>19</v>
      </c>
      <c r="D75" t="s">
        <v>42</v>
      </c>
      <c r="E75" s="2">
        <v>6.68</v>
      </c>
      <c r="F75" s="2">
        <f>MAX(E75-IF(D75="S",BagMasses!$B$12,IF(D75="M",BagMasses!$C$12,IF(D75="L",BagMasses!$D$12,IF(D75="SM",BagMasses!$E$12,IF(D75="E",BagMasses!$F$12))))),0)</f>
        <v>0.14700000000000024</v>
      </c>
      <c r="H75" s="2"/>
    </row>
    <row r="76" spans="1:9" x14ac:dyDescent="0.3">
      <c r="A76" t="s">
        <v>6</v>
      </c>
      <c r="B76" t="s">
        <v>11</v>
      </c>
      <c r="C76" t="s">
        <v>18</v>
      </c>
      <c r="D76" t="s">
        <v>61</v>
      </c>
      <c r="E76" s="2">
        <v>191.32</v>
      </c>
      <c r="F76" s="2">
        <f>MAX(E76-IF(D76="S",BagMasses!$B$12,IF(D76="M",BagMasses!$C$12,IF(D76="L",BagMasses!$D$12,IF(D76="SM",BagMasses!$E$12,IF(D76="E",BagMasses!$F$12))))),0)</f>
        <v>123.71666666666665</v>
      </c>
      <c r="H76" s="2"/>
      <c r="I76" s="2"/>
    </row>
    <row r="77" spans="1:9" x14ac:dyDescent="0.3">
      <c r="A77" t="s">
        <v>6</v>
      </c>
      <c r="B77" t="s">
        <v>7</v>
      </c>
      <c r="C77" t="s">
        <v>13</v>
      </c>
      <c r="D77" t="s">
        <v>44</v>
      </c>
      <c r="E77" s="2">
        <v>42.47</v>
      </c>
      <c r="F77" s="2">
        <f>MAX(E77-IF(D77="S",BagMasses!$B$12,IF(D77="M",BagMasses!$C$12,IF(D77="L",BagMasses!$D$12,IF(D77="SM",BagMasses!$E$12,IF(D77="E",BagMasses!$F$12))))),0)</f>
        <v>16.052</v>
      </c>
    </row>
    <row r="78" spans="1:9" x14ac:dyDescent="0.3">
      <c r="A78" t="s">
        <v>6</v>
      </c>
      <c r="B78" t="s">
        <v>7</v>
      </c>
      <c r="C78" t="s">
        <v>15</v>
      </c>
      <c r="D78" t="s">
        <v>44</v>
      </c>
      <c r="E78" s="2">
        <v>200.11</v>
      </c>
      <c r="F78" s="2">
        <f>MAX(E78-IF(D78="S",BagMasses!$B$12,IF(D78="M",BagMasses!$C$12,IF(D78="L",BagMasses!$D$12,IF(D78="SM",BagMasses!$E$12,IF(D78="E",BagMasses!$F$12))))),0)</f>
        <v>173.69200000000001</v>
      </c>
    </row>
    <row r="79" spans="1:9" x14ac:dyDescent="0.3">
      <c r="A79" t="s">
        <v>6</v>
      </c>
      <c r="B79" t="s">
        <v>7</v>
      </c>
      <c r="C79" t="s">
        <v>8</v>
      </c>
      <c r="D79" t="s">
        <v>42</v>
      </c>
      <c r="E79" s="2">
        <v>10.55</v>
      </c>
      <c r="F79" s="2">
        <f>MAX(E79-IF(D79="S",BagMasses!$B$12,IF(D79="M",BagMasses!$C$12,IF(D79="L",BagMasses!$D$12,IF(D79="SM",BagMasses!$E$12,IF(D79="E",BagMasses!$F$12))))),0)</f>
        <v>4.0170000000000012</v>
      </c>
    </row>
    <row r="80" spans="1:9" x14ac:dyDescent="0.3">
      <c r="A80" t="s">
        <v>6</v>
      </c>
      <c r="B80" t="s">
        <v>7</v>
      </c>
      <c r="C80" t="s">
        <v>18</v>
      </c>
      <c r="D80" t="s">
        <v>42</v>
      </c>
      <c r="E80" s="2">
        <v>8.2100000000000009</v>
      </c>
      <c r="F80" s="2">
        <f>MAX(E80-IF(D80="S",BagMasses!$B$12,IF(D80="M",BagMasses!$C$12,IF(D80="L",BagMasses!$D$12,IF(D80="SM",BagMasses!$E$12,IF(D80="E",BagMasses!$F$12))))),0)</f>
        <v>1.6770000000000014</v>
      </c>
      <c r="I80" s="2"/>
    </row>
    <row r="81" spans="1:6" x14ac:dyDescent="0.3">
      <c r="A81" t="s">
        <v>70</v>
      </c>
      <c r="B81" t="s">
        <v>24</v>
      </c>
      <c r="C81" t="s">
        <v>71</v>
      </c>
      <c r="D81" t="s">
        <v>67</v>
      </c>
      <c r="E81" s="2">
        <v>2.93</v>
      </c>
      <c r="F81" s="2">
        <f>MAX(E81-IF(D81="S",BagMasses!$B$12,IF(D81="M",BagMasses!$C$12,IF(D81="L",BagMasses!$D$12,IF(D81="SM",BagMasses!$E$12,IF(D81="E",BagMasses!$F$12))))),0)</f>
        <v>0</v>
      </c>
    </row>
    <row r="82" spans="1:6" x14ac:dyDescent="0.3">
      <c r="A82" t="s">
        <v>70</v>
      </c>
      <c r="B82" t="s">
        <v>24</v>
      </c>
      <c r="C82" t="s">
        <v>15</v>
      </c>
      <c r="D82" t="s">
        <v>63</v>
      </c>
      <c r="E82" s="2">
        <v>95.26</v>
      </c>
      <c r="F82" s="2">
        <f>MAX(E82-IF(D82="S",BagMasses!$B$12,IF(D82="M",BagMasses!$C$12,IF(D82="L",BagMasses!$D$12,IF(D82="SM",BagMasses!$E$12,IF(D82="E",BagMasses!$F$12))))),0)</f>
        <v>83.973333333333343</v>
      </c>
    </row>
    <row r="83" spans="1:6" x14ac:dyDescent="0.3">
      <c r="A83" t="s">
        <v>70</v>
      </c>
      <c r="B83" t="s">
        <v>17</v>
      </c>
      <c r="C83" t="s">
        <v>71</v>
      </c>
      <c r="D83" t="s">
        <v>67</v>
      </c>
      <c r="E83" s="2">
        <v>2.95</v>
      </c>
      <c r="F83" s="2">
        <f>MAX(E83-IF(D83="S",BagMasses!$B$12,IF(D83="M",BagMasses!$C$12,IF(D83="L",BagMasses!$D$12,IF(D83="SM",BagMasses!$E$12,IF(D83="E",BagMasses!$F$12))))),0)</f>
        <v>0</v>
      </c>
    </row>
    <row r="84" spans="1:6" x14ac:dyDescent="0.3">
      <c r="A84" t="s">
        <v>70</v>
      </c>
      <c r="B84" t="s">
        <v>17</v>
      </c>
      <c r="C84" t="s">
        <v>15</v>
      </c>
      <c r="D84" t="s">
        <v>61</v>
      </c>
      <c r="E84" s="2">
        <v>318.27999999999997</v>
      </c>
      <c r="F84" s="2">
        <f>MAX(E84-IF(D84="S",BagMasses!$B$12,IF(D84="M",BagMasses!$C$12,IF(D84="L",BagMasses!$D$12,IF(D84="SM",BagMasses!$E$12,IF(D84="E",BagMasses!$F$12))))),0)</f>
        <v>250.67666666666662</v>
      </c>
    </row>
    <row r="85" spans="1:6" x14ac:dyDescent="0.3">
      <c r="A85" t="s">
        <v>70</v>
      </c>
      <c r="B85" t="s">
        <v>14</v>
      </c>
      <c r="C85" t="s">
        <v>71</v>
      </c>
      <c r="D85" t="s">
        <v>67</v>
      </c>
      <c r="E85" s="2">
        <v>2.92</v>
      </c>
      <c r="F85" s="2">
        <f>MAX(E85-IF(D85="S",BagMasses!$B$12,IF(D85="M",BagMasses!$C$12,IF(D85="L",BagMasses!$D$12,IF(D85="SM",BagMasses!$E$12,IF(D85="E",BagMasses!$F$12))))),0)</f>
        <v>0</v>
      </c>
    </row>
    <row r="86" spans="1:6" x14ac:dyDescent="0.3">
      <c r="A86" t="s">
        <v>70</v>
      </c>
      <c r="B86" t="s">
        <v>14</v>
      </c>
      <c r="C86" t="s">
        <v>13</v>
      </c>
      <c r="D86" t="s">
        <v>67</v>
      </c>
      <c r="E86" s="2">
        <v>3.16</v>
      </c>
      <c r="F86" s="2">
        <f>MAX(E86-IF(D86="S",BagMasses!$B$12,IF(D86="M",BagMasses!$C$12,IF(D86="L",BagMasses!$D$12,IF(D86="SM",BagMasses!$E$12,IF(D86="E",BagMasses!$F$12))))),0)</f>
        <v>0.16333333333333355</v>
      </c>
    </row>
    <row r="87" spans="1:6" x14ac:dyDescent="0.3">
      <c r="A87" t="s">
        <v>70</v>
      </c>
      <c r="B87" t="s">
        <v>14</v>
      </c>
      <c r="C87" t="s">
        <v>15</v>
      </c>
      <c r="D87" t="s">
        <v>63</v>
      </c>
      <c r="E87" s="2">
        <v>84.26</v>
      </c>
      <c r="F87" s="2">
        <f>MAX(E87-IF(D87="S",BagMasses!$B$12,IF(D87="M",BagMasses!$C$12,IF(D87="L",BagMasses!$D$12,IF(D87="SM",BagMasses!$E$12,IF(D87="E",BagMasses!$F$12))))),0)</f>
        <v>72.973333333333343</v>
      </c>
    </row>
    <row r="88" spans="1:6" x14ac:dyDescent="0.3">
      <c r="A88" t="s">
        <v>70</v>
      </c>
      <c r="B88" t="s">
        <v>14</v>
      </c>
      <c r="C88" t="s">
        <v>41</v>
      </c>
      <c r="D88" t="s">
        <v>67</v>
      </c>
      <c r="E88" s="2">
        <v>3.13</v>
      </c>
      <c r="F88" s="2">
        <f>MAX(E88-IF(D88="S",BagMasses!$B$12,IF(D88="M",BagMasses!$C$12,IF(D88="L",BagMasses!$D$12,IF(D88="SM",BagMasses!$E$12,IF(D88="E",BagMasses!$F$12))))),0)</f>
        <v>0.1333333333333333</v>
      </c>
    </row>
    <row r="89" spans="1:6" x14ac:dyDescent="0.3">
      <c r="A89" t="s">
        <v>70</v>
      </c>
      <c r="B89" t="s">
        <v>11</v>
      </c>
      <c r="C89" t="s">
        <v>15</v>
      </c>
      <c r="D89" t="s">
        <v>44</v>
      </c>
      <c r="E89" s="2">
        <v>208.19</v>
      </c>
      <c r="F89" s="2">
        <f>MAX(E89-IF(D89="S",BagMasses!$B$12,IF(D89="M",BagMasses!$C$12,IF(D89="L",BagMasses!$D$12,IF(D89="SM",BagMasses!$E$12,IF(D89="E",BagMasses!$F$12))))),0)</f>
        <v>181.77199999999999</v>
      </c>
    </row>
    <row r="90" spans="1:6" x14ac:dyDescent="0.3">
      <c r="A90" t="s">
        <v>70</v>
      </c>
      <c r="B90" t="s">
        <v>11</v>
      </c>
      <c r="C90" t="s">
        <v>30</v>
      </c>
      <c r="D90" t="s">
        <v>67</v>
      </c>
      <c r="E90" s="2">
        <v>3.19</v>
      </c>
      <c r="F90" s="2">
        <f>MAX(E90-IF(D90="S",BagMasses!$B$12,IF(D90="M",BagMasses!$C$12,IF(D90="L",BagMasses!$D$12,IF(D90="SM",BagMasses!$E$12,IF(D90="E",BagMasses!$F$12))))),0)</f>
        <v>0.19333333333333336</v>
      </c>
    </row>
    <row r="91" spans="1:6" x14ac:dyDescent="0.3">
      <c r="A91" t="s">
        <v>70</v>
      </c>
      <c r="B91" t="s">
        <v>11</v>
      </c>
      <c r="C91" t="s">
        <v>29</v>
      </c>
      <c r="D91" t="s">
        <v>67</v>
      </c>
      <c r="E91" s="2">
        <v>3.57</v>
      </c>
      <c r="F91" s="2">
        <f>MAX(E91-IF(D91="S",BagMasses!$B$12,IF(D91="M",BagMasses!$C$12,IF(D91="L",BagMasses!$D$12,IF(D91="SM",BagMasses!$E$12,IF(D91="E",BagMasses!$F$12))))),0)</f>
        <v>0.57333333333333325</v>
      </c>
    </row>
    <row r="92" spans="1:6" x14ac:dyDescent="0.3">
      <c r="A92" t="s">
        <v>70</v>
      </c>
      <c r="B92" t="s">
        <v>7</v>
      </c>
      <c r="C92" t="s">
        <v>71</v>
      </c>
      <c r="D92" t="s">
        <v>42</v>
      </c>
      <c r="E92" s="2">
        <v>7.01</v>
      </c>
      <c r="F92" s="2">
        <f>MAX(E92-IF(D92="S",BagMasses!$B$12,IF(D92="M",BagMasses!$C$12,IF(D92="L",BagMasses!$D$12,IF(D92="SM",BagMasses!$E$12,IF(D92="E",BagMasses!$F$12))))),0)</f>
        <v>0.47700000000000031</v>
      </c>
    </row>
    <row r="93" spans="1:6" x14ac:dyDescent="0.3">
      <c r="A93" t="s">
        <v>70</v>
      </c>
      <c r="B93" t="s">
        <v>7</v>
      </c>
      <c r="C93" t="s">
        <v>15</v>
      </c>
      <c r="D93" t="s">
        <v>63</v>
      </c>
      <c r="E93" s="2">
        <v>61.3</v>
      </c>
      <c r="F93" s="2">
        <f>MAX(E93-IF(D93="S",BagMasses!$B$12,IF(D93="M",BagMasses!$C$12,IF(D93="L",BagMasses!$D$12,IF(D93="SM",BagMasses!$E$12,IF(D93="E",BagMasses!$F$12))))),0)</f>
        <v>50.013333333333328</v>
      </c>
    </row>
    <row r="94" spans="1:6" x14ac:dyDescent="0.3">
      <c r="A94" t="s">
        <v>65</v>
      </c>
      <c r="B94" t="s">
        <v>24</v>
      </c>
      <c r="C94" t="s">
        <v>71</v>
      </c>
      <c r="D94" t="s">
        <v>67</v>
      </c>
      <c r="E94" s="2">
        <v>2.96</v>
      </c>
      <c r="F94" s="2">
        <f>MAX(E94-IF(D94="S",BagMasses!$B$12,IF(D94="M",BagMasses!$C$12,IF(D94="L",BagMasses!$D$12,IF(D94="SM",BagMasses!$E$12,IF(D94="E",BagMasses!$F$12))))),0)</f>
        <v>0</v>
      </c>
    </row>
    <row r="95" spans="1:6" x14ac:dyDescent="0.3">
      <c r="A95" t="s">
        <v>65</v>
      </c>
      <c r="B95" t="s">
        <v>24</v>
      </c>
      <c r="C95" t="s">
        <v>15</v>
      </c>
      <c r="D95" t="s">
        <v>61</v>
      </c>
      <c r="E95" s="2">
        <v>397.59</v>
      </c>
      <c r="F95" s="2">
        <f>MAX(E95-IF(D95="S",BagMasses!$B$12,IF(D95="M",BagMasses!$C$12,IF(D95="L",BagMasses!$D$12,IF(D95="SM",BagMasses!$E$12,IF(D95="E",BagMasses!$F$12))))),0)</f>
        <v>329.98666666666662</v>
      </c>
    </row>
    <row r="96" spans="1:6" x14ac:dyDescent="0.3">
      <c r="A96" t="s">
        <v>65</v>
      </c>
      <c r="B96" t="s">
        <v>17</v>
      </c>
      <c r="C96" t="s">
        <v>12</v>
      </c>
      <c r="D96" t="s">
        <v>67</v>
      </c>
      <c r="E96" s="2">
        <v>2.81</v>
      </c>
      <c r="F96" s="2">
        <f>MAX(E96-IF(D96="S",BagMasses!$B$12,IF(D96="M",BagMasses!$C$12,IF(D96="L",BagMasses!$D$12,IF(D96="SM",BagMasses!$E$12,IF(D96="E",BagMasses!$F$12))))),0)</f>
        <v>0</v>
      </c>
    </row>
    <row r="97" spans="1:6" x14ac:dyDescent="0.3">
      <c r="A97" t="s">
        <v>65</v>
      </c>
      <c r="B97" t="s">
        <v>17</v>
      </c>
      <c r="C97" t="s">
        <v>69</v>
      </c>
      <c r="D97" t="s">
        <v>63</v>
      </c>
      <c r="E97" s="2">
        <v>17.579999999999998</v>
      </c>
      <c r="F97" s="2">
        <f>MAX(E97-IF(D97="S",BagMasses!$B$12,IF(D97="M",BagMasses!$C$12,IF(D97="L",BagMasses!$D$12,IF(D97="SM",BagMasses!$E$12,IF(D97="E",BagMasses!$F$12))))),0)</f>
        <v>6.2933333333333312</v>
      </c>
    </row>
    <row r="98" spans="1:6" x14ac:dyDescent="0.3">
      <c r="A98" t="s">
        <v>65</v>
      </c>
      <c r="B98" t="s">
        <v>17</v>
      </c>
      <c r="C98" t="s">
        <v>71</v>
      </c>
      <c r="D98" t="s">
        <v>67</v>
      </c>
      <c r="E98" s="2">
        <v>2.83</v>
      </c>
      <c r="F98" s="2">
        <f>MAX(E98-IF(D98="S",BagMasses!$B$12,IF(D98="M",BagMasses!$C$12,IF(D98="L",BagMasses!$D$12,IF(D98="SM",BagMasses!$E$12,IF(D98="E",BagMasses!$F$12))))),0)</f>
        <v>0</v>
      </c>
    </row>
    <row r="99" spans="1:6" x14ac:dyDescent="0.3">
      <c r="A99" t="s">
        <v>65</v>
      </c>
      <c r="B99" t="s">
        <v>17</v>
      </c>
      <c r="C99" t="s">
        <v>15</v>
      </c>
      <c r="D99" t="s">
        <v>63</v>
      </c>
      <c r="E99" s="2">
        <v>93.18</v>
      </c>
      <c r="F99" s="2">
        <f>MAX(E99-IF(D99="S",BagMasses!$B$12,IF(D99="M",BagMasses!$C$12,IF(D99="L",BagMasses!$D$12,IF(D99="SM",BagMasses!$E$12,IF(D99="E",BagMasses!$F$12))))),0)</f>
        <v>81.893333333333345</v>
      </c>
    </row>
    <row r="100" spans="1:6" x14ac:dyDescent="0.3">
      <c r="A100" t="s">
        <v>65</v>
      </c>
      <c r="B100" t="s">
        <v>17</v>
      </c>
      <c r="C100" t="s">
        <v>47</v>
      </c>
      <c r="D100" t="s">
        <v>42</v>
      </c>
      <c r="E100" s="2">
        <v>9.9700000000000006</v>
      </c>
      <c r="F100" s="2">
        <f>MAX(E100-IF(D100="S",BagMasses!$B$12,IF(D100="M",BagMasses!$C$12,IF(D100="L",BagMasses!$D$12,IF(D100="SM",BagMasses!$E$12,IF(D100="E",BagMasses!$F$12))))),0)</f>
        <v>3.4370000000000012</v>
      </c>
    </row>
    <row r="101" spans="1:6" x14ac:dyDescent="0.3">
      <c r="A101" t="s">
        <v>65</v>
      </c>
      <c r="B101" t="s">
        <v>17</v>
      </c>
      <c r="C101" t="s">
        <v>8</v>
      </c>
      <c r="D101" t="s">
        <v>63</v>
      </c>
      <c r="E101" s="2">
        <v>36.92</v>
      </c>
      <c r="F101" s="2">
        <f>MAX(E101-IF(D101="S",BagMasses!$B$12,IF(D101="M",BagMasses!$C$12,IF(D101="L",BagMasses!$D$12,IF(D101="SM",BagMasses!$E$12,IF(D101="E",BagMasses!$F$12))))),0)</f>
        <v>25.633333333333333</v>
      </c>
    </row>
    <row r="102" spans="1:6" x14ac:dyDescent="0.3">
      <c r="A102" t="s">
        <v>65</v>
      </c>
      <c r="B102" t="s">
        <v>14</v>
      </c>
      <c r="C102" t="s">
        <v>71</v>
      </c>
      <c r="D102" t="s">
        <v>67</v>
      </c>
      <c r="E102" s="2">
        <v>2.74</v>
      </c>
      <c r="F102" s="2">
        <f>MAX(E102-IF(D102="S",BagMasses!$B$12,IF(D102="M",BagMasses!$C$12,IF(D102="L",BagMasses!$D$12,IF(D102="SM",BagMasses!$E$12,IF(D102="E",BagMasses!$F$12))))),0)</f>
        <v>0</v>
      </c>
    </row>
    <row r="103" spans="1:6" x14ac:dyDescent="0.3">
      <c r="A103" t="s">
        <v>65</v>
      </c>
      <c r="B103" t="s">
        <v>14</v>
      </c>
      <c r="C103" t="s">
        <v>15</v>
      </c>
      <c r="D103" t="s">
        <v>63</v>
      </c>
      <c r="E103" s="2">
        <v>184.05</v>
      </c>
      <c r="F103" s="2">
        <f>MAX(E103-IF(D103="S",BagMasses!$B$12,IF(D103="M",BagMasses!$C$12,IF(D103="L",BagMasses!$D$12,IF(D103="SM",BagMasses!$E$12,IF(D103="E",BagMasses!$F$12))))),0)</f>
        <v>172.76333333333335</v>
      </c>
    </row>
    <row r="104" spans="1:6" x14ac:dyDescent="0.3">
      <c r="A104" t="s">
        <v>65</v>
      </c>
      <c r="B104" t="s">
        <v>11</v>
      </c>
      <c r="C104" t="s">
        <v>71</v>
      </c>
      <c r="D104" t="s">
        <v>67</v>
      </c>
      <c r="E104" s="2">
        <v>2.87</v>
      </c>
      <c r="F104" s="2">
        <f>MAX(E104-IF(D104="S",BagMasses!$B$12,IF(D104="M",BagMasses!$C$12,IF(D104="L",BagMasses!$D$12,IF(D104="SM",BagMasses!$E$12,IF(D104="E",BagMasses!$F$12))))),0)</f>
        <v>0</v>
      </c>
    </row>
    <row r="105" spans="1:6" x14ac:dyDescent="0.3">
      <c r="A105" t="s">
        <v>65</v>
      </c>
      <c r="B105" t="s">
        <v>11</v>
      </c>
      <c r="C105" t="s">
        <v>15</v>
      </c>
      <c r="D105" t="s">
        <v>63</v>
      </c>
      <c r="E105" s="2">
        <v>103.13</v>
      </c>
      <c r="F105" s="2">
        <f>MAX(E105-IF(D105="S",BagMasses!$B$12,IF(D105="M",BagMasses!$C$12,IF(D105="L",BagMasses!$D$12,IF(D105="SM",BagMasses!$E$12,IF(D105="E",BagMasses!$F$12))))),0)</f>
        <v>91.843333333333334</v>
      </c>
    </row>
    <row r="106" spans="1:6" x14ac:dyDescent="0.3">
      <c r="A106" t="s">
        <v>65</v>
      </c>
      <c r="B106" t="s">
        <v>11</v>
      </c>
      <c r="C106" t="s">
        <v>66</v>
      </c>
      <c r="D106" t="s">
        <v>67</v>
      </c>
      <c r="E106" s="2">
        <v>2.83</v>
      </c>
      <c r="F106" s="2">
        <f>MAX(E106-IF(D106="S",BagMasses!$B$12,IF(D106="M",BagMasses!$C$12,IF(D106="L",BagMasses!$D$12,IF(D106="SM",BagMasses!$E$12,IF(D106="E",BagMasses!$F$12))))),0)</f>
        <v>0</v>
      </c>
    </row>
    <row r="107" spans="1:6" x14ac:dyDescent="0.3">
      <c r="A107" t="s">
        <v>65</v>
      </c>
      <c r="B107" t="s">
        <v>7</v>
      </c>
      <c r="C107" t="s">
        <v>15</v>
      </c>
      <c r="D107" t="s">
        <v>42</v>
      </c>
      <c r="E107" s="2">
        <v>34.299999999999997</v>
      </c>
      <c r="F107" s="2">
        <f>MAX(E107-IF(D107="S",BagMasses!$B$12,IF(D107="M",BagMasses!$C$12,IF(D107="L",BagMasses!$D$12,IF(D107="SM",BagMasses!$E$12,IF(D107="E",BagMasses!$F$12))))),0)</f>
        <v>27.766999999999996</v>
      </c>
    </row>
    <row r="108" spans="1:6" x14ac:dyDescent="0.3">
      <c r="A108" t="s">
        <v>65</v>
      </c>
      <c r="B108" t="s">
        <v>7</v>
      </c>
      <c r="C108" t="s">
        <v>66</v>
      </c>
      <c r="D108" t="s">
        <v>67</v>
      </c>
      <c r="E108" s="2">
        <v>3.71</v>
      </c>
      <c r="F108" s="2">
        <f>MAX(E108-IF(D108="S",BagMasses!$B$12,IF(D108="M",BagMasses!$C$12,IF(D108="L",BagMasses!$D$12,IF(D108="SM",BagMasses!$E$12,IF(D108="E",BagMasses!$F$12))))),0)</f>
        <v>0.71333333333333337</v>
      </c>
    </row>
    <row r="109" spans="1:6" x14ac:dyDescent="0.3">
      <c r="A109" t="s">
        <v>25</v>
      </c>
      <c r="B109" t="s">
        <v>24</v>
      </c>
      <c r="C109" t="s">
        <v>12</v>
      </c>
      <c r="D109" t="s">
        <v>42</v>
      </c>
      <c r="E109" s="2">
        <v>6.56</v>
      </c>
      <c r="F109" s="2">
        <f>MAX(E109-IF(D109="S",BagMasses!$B$12,IF(D109="M",BagMasses!$C$12,IF(D109="L",BagMasses!$D$12,IF(D109="SM",BagMasses!$E$12,IF(D109="E",BagMasses!$F$12))))),0)</f>
        <v>2.7000000000000135E-2</v>
      </c>
    </row>
    <row r="110" spans="1:6" x14ac:dyDescent="0.3">
      <c r="A110" t="s">
        <v>25</v>
      </c>
      <c r="B110" t="s">
        <v>24</v>
      </c>
      <c r="C110" t="s">
        <v>34</v>
      </c>
      <c r="D110" t="s">
        <v>42</v>
      </c>
      <c r="E110" s="2">
        <v>12.27</v>
      </c>
      <c r="F110" s="2">
        <f>MAX(E110-IF(D110="S",BagMasses!$B$12,IF(D110="M",BagMasses!$C$12,IF(D110="L",BagMasses!$D$12,IF(D110="SM",BagMasses!$E$12,IF(D110="E",BagMasses!$F$12))))),0)</f>
        <v>5.7370000000000001</v>
      </c>
    </row>
    <row r="111" spans="1:6" x14ac:dyDescent="0.3">
      <c r="A111" t="s">
        <v>25</v>
      </c>
      <c r="B111" t="s">
        <v>24</v>
      </c>
      <c r="C111" t="s">
        <v>15</v>
      </c>
      <c r="D111" t="s">
        <v>42</v>
      </c>
      <c r="E111" s="2">
        <v>25.56</v>
      </c>
      <c r="F111" s="2">
        <f>MAX(E111-IF(D111="S",BagMasses!$B$12,IF(D111="M",BagMasses!$C$12,IF(D111="L",BagMasses!$D$12,IF(D111="SM",BagMasses!$E$12,IF(D111="E",BagMasses!$F$12))))),0)</f>
        <v>19.027000000000001</v>
      </c>
    </row>
    <row r="112" spans="1:6" x14ac:dyDescent="0.3">
      <c r="A112" t="s">
        <v>25</v>
      </c>
      <c r="B112" t="s">
        <v>24</v>
      </c>
      <c r="C112" t="s">
        <v>33</v>
      </c>
      <c r="D112" t="s">
        <v>42</v>
      </c>
      <c r="E112" s="2">
        <v>6.65</v>
      </c>
      <c r="F112" s="2">
        <f>MAX(E112-IF(D112="S",BagMasses!$B$12,IF(D112="M",BagMasses!$C$12,IF(D112="L",BagMasses!$D$12,IF(D112="SM",BagMasses!$E$12,IF(D112="E",BagMasses!$F$12))))),0)</f>
        <v>0.11700000000000088</v>
      </c>
    </row>
    <row r="113" spans="1:6" x14ac:dyDescent="0.3">
      <c r="A113" t="s">
        <v>25</v>
      </c>
      <c r="B113" t="s">
        <v>17</v>
      </c>
      <c r="C113" t="s">
        <v>15</v>
      </c>
      <c r="D113" t="s">
        <v>42</v>
      </c>
      <c r="E113" s="2">
        <v>88.65</v>
      </c>
      <c r="F113" s="2">
        <f>MAX(E113-IF(D113="S",BagMasses!$B$12,IF(D113="M",BagMasses!$C$12,IF(D113="L",BagMasses!$D$12,IF(D113="SM",BagMasses!$E$12,IF(D113="E",BagMasses!$F$12))))),0)</f>
        <v>82.117000000000004</v>
      </c>
    </row>
    <row r="114" spans="1:6" x14ac:dyDescent="0.3">
      <c r="A114" t="s">
        <v>25</v>
      </c>
      <c r="B114" t="s">
        <v>17</v>
      </c>
      <c r="C114" t="s">
        <v>30</v>
      </c>
      <c r="D114" t="s">
        <v>42</v>
      </c>
      <c r="E114" s="2">
        <v>6.45</v>
      </c>
      <c r="F114" s="2">
        <f>MAX(E114-IF(D114="S",BagMasses!$B$12,IF(D114="M",BagMasses!$C$12,IF(D114="L",BagMasses!$D$12,IF(D114="SM",BagMasses!$E$12,IF(D114="E",BagMasses!$F$12))))),0)</f>
        <v>0</v>
      </c>
    </row>
    <row r="115" spans="1:6" x14ac:dyDescent="0.3">
      <c r="A115" t="s">
        <v>25</v>
      </c>
      <c r="B115" t="s">
        <v>17</v>
      </c>
      <c r="C115" t="s">
        <v>31</v>
      </c>
      <c r="D115" t="s">
        <v>42</v>
      </c>
      <c r="E115" s="2">
        <v>8.16</v>
      </c>
      <c r="F115" s="2">
        <f>MAX(E115-IF(D115="S",BagMasses!$B$12,IF(D115="M",BagMasses!$C$12,IF(D115="L",BagMasses!$D$12,IF(D115="SM",BagMasses!$E$12,IF(D115="E",BagMasses!$F$12))))),0)</f>
        <v>1.6270000000000007</v>
      </c>
    </row>
    <row r="116" spans="1:6" x14ac:dyDescent="0.3">
      <c r="A116" t="s">
        <v>25</v>
      </c>
      <c r="B116" t="s">
        <v>14</v>
      </c>
      <c r="C116" t="s">
        <v>21</v>
      </c>
      <c r="D116" t="s">
        <v>42</v>
      </c>
      <c r="E116" s="2">
        <v>7.54</v>
      </c>
      <c r="F116" s="2">
        <f>MAX(E116-IF(D116="S",BagMasses!$B$12,IF(D116="M",BagMasses!$C$12,IF(D116="L",BagMasses!$D$12,IF(D116="SM",BagMasses!$E$12,IF(D116="E",BagMasses!$F$12))))),0)</f>
        <v>1.0070000000000006</v>
      </c>
    </row>
    <row r="117" spans="1:6" x14ac:dyDescent="0.3">
      <c r="A117" t="s">
        <v>25</v>
      </c>
      <c r="B117" t="s">
        <v>14</v>
      </c>
      <c r="C117" t="s">
        <v>32</v>
      </c>
      <c r="D117" t="s">
        <v>42</v>
      </c>
      <c r="E117" s="2">
        <v>6.54</v>
      </c>
      <c r="F117" s="2">
        <f>MAX(E117-IF(D117="S",BagMasses!$B$12,IF(D117="M",BagMasses!$C$12,IF(D117="L",BagMasses!$D$12,IF(D117="SM",BagMasses!$E$12,IF(D117="E",BagMasses!$F$12))))),0)</f>
        <v>7.0000000000005613E-3</v>
      </c>
    </row>
    <row r="118" spans="1:6" x14ac:dyDescent="0.3">
      <c r="A118" t="s">
        <v>25</v>
      </c>
      <c r="B118" t="s">
        <v>14</v>
      </c>
      <c r="C118" t="s">
        <v>15</v>
      </c>
      <c r="D118" t="s">
        <v>42</v>
      </c>
      <c r="E118" s="2">
        <v>56.91</v>
      </c>
      <c r="F118" s="2">
        <f>MAX(E118-IF(D118="S",BagMasses!$B$12,IF(D118="M",BagMasses!$C$12,IF(D118="L",BagMasses!$D$12,IF(D118="SM",BagMasses!$E$12,IF(D118="E",BagMasses!$F$12))))),0)</f>
        <v>50.376999999999995</v>
      </c>
    </row>
    <row r="119" spans="1:6" x14ac:dyDescent="0.3">
      <c r="A119" t="s">
        <v>25</v>
      </c>
      <c r="B119" t="s">
        <v>14</v>
      </c>
      <c r="C119" t="s">
        <v>30</v>
      </c>
      <c r="D119" t="s">
        <v>42</v>
      </c>
      <c r="E119" s="2">
        <v>9.15</v>
      </c>
      <c r="F119" s="2">
        <f>MAX(E119-IF(D119="S",BagMasses!$B$12,IF(D119="M",BagMasses!$C$12,IF(D119="L",BagMasses!$D$12,IF(D119="SM",BagMasses!$E$12,IF(D119="E",BagMasses!$F$12))))),0)</f>
        <v>2.6170000000000009</v>
      </c>
    </row>
    <row r="120" spans="1:6" x14ac:dyDescent="0.3">
      <c r="A120" t="s">
        <v>25</v>
      </c>
      <c r="B120" t="s">
        <v>14</v>
      </c>
      <c r="C120" t="s">
        <v>33</v>
      </c>
      <c r="D120" t="s">
        <v>42</v>
      </c>
      <c r="E120" s="2">
        <v>7.02</v>
      </c>
      <c r="F120" s="2">
        <f>MAX(E120-IF(D120="S",BagMasses!$B$12,IF(D120="M",BagMasses!$C$12,IF(D120="L",BagMasses!$D$12,IF(D120="SM",BagMasses!$E$12,IF(D120="E",BagMasses!$F$12))))),0)</f>
        <v>0.4870000000000001</v>
      </c>
    </row>
    <row r="121" spans="1:6" x14ac:dyDescent="0.3">
      <c r="A121" t="s">
        <v>25</v>
      </c>
      <c r="B121" t="s">
        <v>11</v>
      </c>
      <c r="C121" t="s">
        <v>15</v>
      </c>
      <c r="D121" t="s">
        <v>42</v>
      </c>
      <c r="E121" s="2">
        <v>31.1</v>
      </c>
      <c r="F121" s="2">
        <f>MAX(E121-IF(D121="S",BagMasses!$B$12,IF(D121="M",BagMasses!$C$12,IF(D121="L",BagMasses!$D$12,IF(D121="SM",BagMasses!$E$12,IF(D121="E",BagMasses!$F$12))))),0)</f>
        <v>24.567</v>
      </c>
    </row>
    <row r="122" spans="1:6" x14ac:dyDescent="0.3">
      <c r="A122" t="s">
        <v>25</v>
      </c>
      <c r="B122" t="s">
        <v>11</v>
      </c>
      <c r="C122" t="s">
        <v>33</v>
      </c>
      <c r="D122" t="s">
        <v>44</v>
      </c>
      <c r="E122" s="2">
        <v>64.72</v>
      </c>
      <c r="F122" s="2">
        <f>MAX(E122-IF(D122="S",BagMasses!$B$12,IF(D122="M",BagMasses!$C$12,IF(D122="L",BagMasses!$D$12,IF(D122="SM",BagMasses!$E$12,IF(D122="E",BagMasses!$F$12))))),0)</f>
        <v>38.302</v>
      </c>
    </row>
    <row r="123" spans="1:6" x14ac:dyDescent="0.3">
      <c r="A123" t="s">
        <v>25</v>
      </c>
      <c r="B123" t="s">
        <v>7</v>
      </c>
      <c r="C123" t="s">
        <v>15</v>
      </c>
      <c r="D123" t="s">
        <v>42</v>
      </c>
      <c r="E123" s="2">
        <v>35.340000000000003</v>
      </c>
      <c r="F123" s="2">
        <f>MAX(E123-IF(D123="S",BagMasses!$B$12,IF(D123="M",BagMasses!$C$12,IF(D123="L",BagMasses!$D$12,IF(D123="SM",BagMasses!$E$12,IF(D123="E",BagMasses!$F$12))))),0)</f>
        <v>28.807000000000002</v>
      </c>
    </row>
    <row r="124" spans="1:6" x14ac:dyDescent="0.3">
      <c r="A124" t="s">
        <v>58</v>
      </c>
      <c r="B124" t="s">
        <v>24</v>
      </c>
      <c r="C124" t="s">
        <v>71</v>
      </c>
      <c r="D124" t="s">
        <v>67</v>
      </c>
      <c r="E124" s="2">
        <v>3.05</v>
      </c>
      <c r="F124" s="2">
        <f>MAX(E124-IF(D124="S",BagMasses!$B$12,IF(D124="M",BagMasses!$C$12,IF(D124="L",BagMasses!$D$12,IF(D124="SM",BagMasses!$E$12,IF(D124="E",BagMasses!$F$12))))),0)</f>
        <v>5.3333333333333233E-2</v>
      </c>
    </row>
    <row r="125" spans="1:6" x14ac:dyDescent="0.3">
      <c r="A125" t="s">
        <v>58</v>
      </c>
      <c r="B125" t="s">
        <v>24</v>
      </c>
      <c r="C125" t="s">
        <v>15</v>
      </c>
      <c r="D125" t="s">
        <v>63</v>
      </c>
      <c r="E125" s="2">
        <v>97.34</v>
      </c>
      <c r="F125" s="2">
        <f>MAX(E125-IF(D125="S",BagMasses!$B$12,IF(D125="M",BagMasses!$C$12,IF(D125="L",BagMasses!$D$12,IF(D125="SM",BagMasses!$E$12,IF(D125="E",BagMasses!$F$12))))),0)</f>
        <v>86.053333333333342</v>
      </c>
    </row>
    <row r="126" spans="1:6" x14ac:dyDescent="0.3">
      <c r="A126" t="s">
        <v>58</v>
      </c>
      <c r="B126" t="s">
        <v>24</v>
      </c>
      <c r="C126" t="s">
        <v>31</v>
      </c>
      <c r="D126" t="s">
        <v>67</v>
      </c>
      <c r="E126" s="2">
        <v>3.9</v>
      </c>
      <c r="F126" s="2">
        <f>MAX(E126-IF(D126="S",BagMasses!$B$12,IF(D126="M",BagMasses!$C$12,IF(D126="L",BagMasses!$D$12,IF(D126="SM",BagMasses!$E$12,IF(D126="E",BagMasses!$F$12))))),0)</f>
        <v>0.90333333333333332</v>
      </c>
    </row>
    <row r="127" spans="1:6" x14ac:dyDescent="0.3">
      <c r="A127" t="s">
        <v>58</v>
      </c>
      <c r="B127" t="s">
        <v>24</v>
      </c>
      <c r="C127" t="s">
        <v>19</v>
      </c>
      <c r="D127" t="s">
        <v>42</v>
      </c>
      <c r="E127" s="2">
        <v>18.100000000000001</v>
      </c>
      <c r="F127" s="2">
        <f>MAX(E127-IF(D127="S",BagMasses!$B$12,IF(D127="M",BagMasses!$C$12,IF(D127="L",BagMasses!$D$12,IF(D127="SM",BagMasses!$E$12,IF(D127="E",BagMasses!$F$12))))),0)</f>
        <v>11.567000000000002</v>
      </c>
    </row>
    <row r="128" spans="1:6" x14ac:dyDescent="0.3">
      <c r="A128" t="s">
        <v>58</v>
      </c>
      <c r="B128" t="s">
        <v>17</v>
      </c>
      <c r="C128" t="s">
        <v>13</v>
      </c>
      <c r="D128" t="s">
        <v>42</v>
      </c>
      <c r="E128" s="2">
        <v>8.83</v>
      </c>
      <c r="F128" s="2">
        <f>MAX(E128-IF(D128="S",BagMasses!$B$12,IF(D128="M",BagMasses!$C$12,IF(D128="L",BagMasses!$D$12,IF(D128="SM",BagMasses!$E$12,IF(D128="E",BagMasses!$F$12))))),0)</f>
        <v>2.2970000000000006</v>
      </c>
    </row>
    <row r="129" spans="1:6" x14ac:dyDescent="0.3">
      <c r="A129" t="s">
        <v>58</v>
      </c>
      <c r="B129" t="s">
        <v>17</v>
      </c>
      <c r="C129" t="s">
        <v>15</v>
      </c>
      <c r="D129" t="s">
        <v>61</v>
      </c>
      <c r="E129" s="2">
        <v>453.24</v>
      </c>
      <c r="F129" s="2">
        <f>MAX(E129-IF(D129="S",BagMasses!$B$12,IF(D129="M",BagMasses!$C$12,IF(D129="L",BagMasses!$D$12,IF(D129="SM",BagMasses!$E$12,IF(D129="E",BagMasses!$F$12))))),0)</f>
        <v>385.63666666666666</v>
      </c>
    </row>
    <row r="130" spans="1:6" x14ac:dyDescent="0.3">
      <c r="A130" t="s">
        <v>58</v>
      </c>
      <c r="B130" t="s">
        <v>17</v>
      </c>
      <c r="C130" t="s">
        <v>47</v>
      </c>
      <c r="D130" t="s">
        <v>42</v>
      </c>
      <c r="E130" s="2">
        <v>6.42</v>
      </c>
      <c r="F130" s="2">
        <f>MAX(E130-IF(D130="S",BagMasses!$B$12,IF(D130="M",BagMasses!$C$12,IF(D130="L",BagMasses!$D$12,IF(D130="SM",BagMasses!$E$12,IF(D130="E",BagMasses!$F$12))))),0)</f>
        <v>0</v>
      </c>
    </row>
    <row r="131" spans="1:6" x14ac:dyDescent="0.3">
      <c r="A131" t="s">
        <v>58</v>
      </c>
      <c r="B131" t="s">
        <v>17</v>
      </c>
      <c r="C131" t="s">
        <v>31</v>
      </c>
      <c r="D131" t="s">
        <v>63</v>
      </c>
      <c r="E131" s="2">
        <v>14.63</v>
      </c>
      <c r="F131" s="2">
        <f>MAX(E131-IF(D131="S",BagMasses!$B$12,IF(D131="M",BagMasses!$C$12,IF(D131="L",BagMasses!$D$12,IF(D131="SM",BagMasses!$E$12,IF(D131="E",BagMasses!$F$12))))),0)</f>
        <v>3.3433333333333337</v>
      </c>
    </row>
    <row r="132" spans="1:6" x14ac:dyDescent="0.3">
      <c r="A132" t="s">
        <v>58</v>
      </c>
      <c r="B132" t="s">
        <v>17</v>
      </c>
      <c r="C132" t="s">
        <v>19</v>
      </c>
      <c r="D132" t="s">
        <v>42</v>
      </c>
      <c r="E132" s="2">
        <v>12.63</v>
      </c>
      <c r="F132" s="2">
        <f>MAX(E132-IF(D132="S",BagMasses!$B$12,IF(D132="M",BagMasses!$C$12,IF(D132="L",BagMasses!$D$12,IF(D132="SM",BagMasses!$E$12,IF(D132="E",BagMasses!$F$12))))),0)</f>
        <v>6.0970000000000013</v>
      </c>
    </row>
    <row r="133" spans="1:6" x14ac:dyDescent="0.3">
      <c r="A133" t="s">
        <v>58</v>
      </c>
      <c r="B133" t="s">
        <v>14</v>
      </c>
      <c r="C133" t="s">
        <v>71</v>
      </c>
      <c r="D133" t="s">
        <v>42</v>
      </c>
      <c r="E133" s="2">
        <v>6.67</v>
      </c>
      <c r="F133" s="2">
        <f>MAX(E133-IF(D133="S",BagMasses!$B$12,IF(D133="M",BagMasses!$C$12,IF(D133="L",BagMasses!$D$12,IF(D133="SM",BagMasses!$E$12,IF(D133="E",BagMasses!$F$12))))),0)</f>
        <v>0.13700000000000045</v>
      </c>
    </row>
    <row r="134" spans="1:6" x14ac:dyDescent="0.3">
      <c r="A134" t="s">
        <v>58</v>
      </c>
      <c r="B134" t="s">
        <v>14</v>
      </c>
      <c r="C134" t="s">
        <v>71</v>
      </c>
      <c r="D134" t="s">
        <v>67</v>
      </c>
      <c r="E134" s="2">
        <v>2.89</v>
      </c>
      <c r="F134" s="2">
        <f>MAX(E134-IF(D134="S",BagMasses!$B$12,IF(D134="M",BagMasses!$C$12,IF(D134="L",BagMasses!$D$12,IF(D134="SM",BagMasses!$E$12,IF(D134="E",BagMasses!$F$12))))),0)</f>
        <v>0</v>
      </c>
    </row>
    <row r="135" spans="1:6" x14ac:dyDescent="0.3">
      <c r="A135" t="s">
        <v>58</v>
      </c>
      <c r="B135" t="s">
        <v>14</v>
      </c>
      <c r="C135" t="s">
        <v>15</v>
      </c>
      <c r="D135" t="s">
        <v>42</v>
      </c>
      <c r="E135" s="2">
        <v>91.29</v>
      </c>
      <c r="F135" s="2">
        <f>MAX(E135-IF(D135="S",BagMasses!$B$12,IF(D135="M",BagMasses!$C$12,IF(D135="L",BagMasses!$D$12,IF(D135="SM",BagMasses!$E$12,IF(D135="E",BagMasses!$F$12))))),0)</f>
        <v>84.757000000000005</v>
      </c>
    </row>
    <row r="136" spans="1:6" x14ac:dyDescent="0.3">
      <c r="A136" t="s">
        <v>58</v>
      </c>
      <c r="B136" t="s">
        <v>11</v>
      </c>
      <c r="C136" t="s">
        <v>55</v>
      </c>
      <c r="D136" t="s">
        <v>67</v>
      </c>
      <c r="E136" s="2">
        <v>3.19</v>
      </c>
      <c r="F136" s="2">
        <f>MAX(E136-IF(D136="S",BagMasses!$B$12,IF(D136="M",BagMasses!$C$12,IF(D136="L",BagMasses!$D$12,IF(D136="SM",BagMasses!$E$12,IF(D136="E",BagMasses!$F$12))))),0)</f>
        <v>0.19333333333333336</v>
      </c>
    </row>
    <row r="137" spans="1:6" x14ac:dyDescent="0.3">
      <c r="A137" t="s">
        <v>58</v>
      </c>
      <c r="B137" t="s">
        <v>11</v>
      </c>
      <c r="C137" t="s">
        <v>15</v>
      </c>
      <c r="D137" t="s">
        <v>63</v>
      </c>
      <c r="E137" s="2">
        <v>108.23</v>
      </c>
      <c r="F137" s="2">
        <f>MAX(E137-IF(D137="S",BagMasses!$B$12,IF(D137="M",BagMasses!$C$12,IF(D137="L",BagMasses!$D$12,IF(D137="SM",BagMasses!$E$12,IF(D137="E",BagMasses!$F$12))))),0)</f>
        <v>96.943333333333342</v>
      </c>
    </row>
    <row r="138" spans="1:6" x14ac:dyDescent="0.3">
      <c r="A138" t="s">
        <v>58</v>
      </c>
      <c r="B138" t="s">
        <v>11</v>
      </c>
      <c r="C138" t="s">
        <v>30</v>
      </c>
      <c r="D138" t="s">
        <v>67</v>
      </c>
      <c r="E138" s="2">
        <v>3.02</v>
      </c>
      <c r="F138" s="2">
        <f>MAX(E138-IF(D138="S",BagMasses!$B$12,IF(D138="M",BagMasses!$C$12,IF(D138="L",BagMasses!$D$12,IF(D138="SM",BagMasses!$E$12,IF(D138="E",BagMasses!$F$12))))),0)</f>
        <v>2.3333333333333428E-2</v>
      </c>
    </row>
    <row r="139" spans="1:6" x14ac:dyDescent="0.3">
      <c r="A139" t="s">
        <v>58</v>
      </c>
      <c r="B139" t="s">
        <v>11</v>
      </c>
      <c r="C139" t="s">
        <v>35</v>
      </c>
      <c r="D139" t="s">
        <v>63</v>
      </c>
      <c r="E139" s="2">
        <v>18.87</v>
      </c>
      <c r="F139" s="2">
        <f>MAX(E139-IF(D139="S",BagMasses!$B$12,IF(D139="M",BagMasses!$C$12,IF(D139="L",BagMasses!$D$12,IF(D139="SM",BagMasses!$E$12,IF(D139="E",BagMasses!$F$12))))),0)</f>
        <v>7.5833333333333339</v>
      </c>
    </row>
    <row r="140" spans="1:6" x14ac:dyDescent="0.3">
      <c r="A140" t="s">
        <v>58</v>
      </c>
      <c r="B140" t="s">
        <v>7</v>
      </c>
      <c r="C140" t="s">
        <v>71</v>
      </c>
      <c r="D140" t="s">
        <v>67</v>
      </c>
      <c r="E140" s="2">
        <v>3</v>
      </c>
      <c r="F140" s="2">
        <f>MAX(E140-IF(D140="S",BagMasses!$B$12,IF(D140="M",BagMasses!$C$12,IF(D140="L",BagMasses!$D$12,IF(D140="SM",BagMasses!$E$12,IF(D140="E",BagMasses!$F$12))))),0)</f>
        <v>3.3333333333334103E-3</v>
      </c>
    </row>
    <row r="141" spans="1:6" x14ac:dyDescent="0.3">
      <c r="A141" t="s">
        <v>58</v>
      </c>
      <c r="B141" t="s">
        <v>7</v>
      </c>
      <c r="C141" t="s">
        <v>15</v>
      </c>
      <c r="D141" t="s">
        <v>63</v>
      </c>
      <c r="E141" s="2">
        <v>47.28</v>
      </c>
      <c r="F141" s="2">
        <f>MAX(E141-IF(D141="S",BagMasses!$B$12,IF(D141="M",BagMasses!$C$12,IF(D141="L",BagMasses!$D$12,IF(D141="SM",BagMasses!$E$12,IF(D141="E",BagMasses!$F$12))))),0)</f>
        <v>35.993333333333332</v>
      </c>
    </row>
    <row r="142" spans="1:6" x14ac:dyDescent="0.3">
      <c r="A142" t="s">
        <v>72</v>
      </c>
      <c r="B142" t="s">
        <v>24</v>
      </c>
      <c r="C142" t="s">
        <v>15</v>
      </c>
      <c r="D142" t="s">
        <v>42</v>
      </c>
      <c r="E142" s="2">
        <v>168.05</v>
      </c>
      <c r="F142" s="2">
        <f>MAX(E142-IF(D142="S",BagMasses!$B$12,IF(D142="M",BagMasses!$C$12,IF(D142="L",BagMasses!$D$12,IF(D142="SM",BagMasses!$E$12,IF(D142="E",BagMasses!$F$12))))),0)</f>
        <v>161.51700000000002</v>
      </c>
    </row>
    <row r="143" spans="1:6" x14ac:dyDescent="0.3">
      <c r="A143" t="s">
        <v>72</v>
      </c>
      <c r="B143" t="s">
        <v>17</v>
      </c>
      <c r="C143" t="s">
        <v>71</v>
      </c>
      <c r="D143" t="s">
        <v>67</v>
      </c>
      <c r="E143" s="2">
        <v>2.93</v>
      </c>
      <c r="F143" s="2">
        <f>MAX(E143-IF(D143="S",BagMasses!$B$12,IF(D143="M",BagMasses!$C$12,IF(D143="L",BagMasses!$D$12,IF(D143="SM",BagMasses!$E$12,IF(D143="E",BagMasses!$F$12))))),0)</f>
        <v>0</v>
      </c>
    </row>
    <row r="144" spans="1:6" x14ac:dyDescent="0.3">
      <c r="A144" t="s">
        <v>72</v>
      </c>
      <c r="B144" t="s">
        <v>17</v>
      </c>
      <c r="C144" t="s">
        <v>15</v>
      </c>
      <c r="D144" t="s">
        <v>42</v>
      </c>
      <c r="E144" s="2">
        <v>52.43</v>
      </c>
      <c r="F144" s="2">
        <f>MAX(E144-IF(D144="S",BagMasses!$B$12,IF(D144="M",BagMasses!$C$12,IF(D144="L",BagMasses!$D$12,IF(D144="SM",BagMasses!$E$12,IF(D144="E",BagMasses!$F$12))))),0)</f>
        <v>45.896999999999998</v>
      </c>
    </row>
    <row r="145" spans="1:6" x14ac:dyDescent="0.3">
      <c r="A145" t="s">
        <v>72</v>
      </c>
      <c r="B145" t="s">
        <v>14</v>
      </c>
      <c r="C145" t="s">
        <v>71</v>
      </c>
      <c r="D145" t="s">
        <v>67</v>
      </c>
      <c r="E145" s="2">
        <v>2.93</v>
      </c>
      <c r="F145" s="2">
        <f>MAX(E145-IF(D145="S",BagMasses!$B$12,IF(D145="M",BagMasses!$C$12,IF(D145="L",BagMasses!$D$12,IF(D145="SM",BagMasses!$E$12,IF(D145="E",BagMasses!$F$12))))),0)</f>
        <v>0</v>
      </c>
    </row>
    <row r="146" spans="1:6" x14ac:dyDescent="0.3">
      <c r="A146" t="s">
        <v>72</v>
      </c>
      <c r="B146" t="s">
        <v>14</v>
      </c>
      <c r="C146" t="s">
        <v>15</v>
      </c>
      <c r="D146" t="s">
        <v>61</v>
      </c>
      <c r="E146" s="2">
        <v>323.89999999999998</v>
      </c>
      <c r="F146" s="2">
        <f>MAX(E146-IF(D146="S",BagMasses!$B$12,IF(D146="M",BagMasses!$C$12,IF(D146="L",BagMasses!$D$12,IF(D146="SM",BagMasses!$E$12,IF(D146="E",BagMasses!$F$12))))),0)</f>
        <v>256.29666666666662</v>
      </c>
    </row>
    <row r="147" spans="1:6" x14ac:dyDescent="0.3">
      <c r="A147" t="s">
        <v>72</v>
      </c>
      <c r="B147" t="s">
        <v>14</v>
      </c>
      <c r="C147" t="s">
        <v>73</v>
      </c>
      <c r="D147" t="s">
        <v>67</v>
      </c>
      <c r="E147" s="2">
        <v>3.6</v>
      </c>
      <c r="F147" s="2">
        <f>MAX(E147-IF(D147="S",BagMasses!$B$12,IF(D147="M",BagMasses!$C$12,IF(D147="L",BagMasses!$D$12,IF(D147="SM",BagMasses!$E$12,IF(D147="E",BagMasses!$F$12))))),0)</f>
        <v>0.6033333333333335</v>
      </c>
    </row>
    <row r="148" spans="1:6" x14ac:dyDescent="0.3">
      <c r="A148" t="s">
        <v>72</v>
      </c>
      <c r="B148" t="s">
        <v>11</v>
      </c>
      <c r="C148" t="s">
        <v>15</v>
      </c>
      <c r="D148" t="s">
        <v>63</v>
      </c>
      <c r="E148" s="2">
        <v>245.75</v>
      </c>
      <c r="F148" s="2">
        <f>MAX(E148-IF(D148="S",BagMasses!$B$12,IF(D148="M",BagMasses!$C$12,IF(D148="L",BagMasses!$D$12,IF(D148="SM",BagMasses!$E$12,IF(D148="E",BagMasses!$F$12))))),0)</f>
        <v>234.46333333333334</v>
      </c>
    </row>
    <row r="149" spans="1:6" x14ac:dyDescent="0.3">
      <c r="A149" t="s">
        <v>72</v>
      </c>
      <c r="B149" t="s">
        <v>7</v>
      </c>
      <c r="C149" t="s">
        <v>71</v>
      </c>
      <c r="D149" t="s">
        <v>67</v>
      </c>
      <c r="E149" s="2">
        <v>3.02</v>
      </c>
      <c r="F149" s="2">
        <f>MAX(E149-IF(D149="S",BagMasses!$B$12,IF(D149="M",BagMasses!$C$12,IF(D149="L",BagMasses!$D$12,IF(D149="SM",BagMasses!$E$12,IF(D149="E",BagMasses!$F$12))))),0)</f>
        <v>2.3333333333333428E-2</v>
      </c>
    </row>
    <row r="150" spans="1:6" x14ac:dyDescent="0.3">
      <c r="A150" t="s">
        <v>72</v>
      </c>
      <c r="B150" t="s">
        <v>7</v>
      </c>
      <c r="C150" t="s">
        <v>15</v>
      </c>
      <c r="D150" t="s">
        <v>63</v>
      </c>
      <c r="E150" s="2">
        <v>194.6</v>
      </c>
      <c r="F150" s="2">
        <f>MAX(E150-IF(D150="S",BagMasses!$B$12,IF(D150="M",BagMasses!$C$12,IF(D150="L",BagMasses!$D$12,IF(D150="SM",BagMasses!$E$12,IF(D150="E",BagMasses!$F$12))))),0)</f>
        <v>183.31333333333333</v>
      </c>
    </row>
    <row r="151" spans="1:6" x14ac:dyDescent="0.3">
      <c r="A151" t="s">
        <v>72</v>
      </c>
      <c r="B151" t="s">
        <v>7</v>
      </c>
      <c r="C151" t="s">
        <v>30</v>
      </c>
      <c r="D151" t="s">
        <v>67</v>
      </c>
      <c r="E151" s="2">
        <v>4.87</v>
      </c>
      <c r="F151" s="2">
        <f>MAX(E151-IF(D151="S",BagMasses!$B$12,IF(D151="M",BagMasses!$C$12,IF(D151="L",BagMasses!$D$12,IF(D151="SM",BagMasses!$E$12,IF(D151="E",BagMasses!$F$12))))),0)</f>
        <v>1.8733333333333335</v>
      </c>
    </row>
    <row r="152" spans="1:6" x14ac:dyDescent="0.3">
      <c r="A152" t="s">
        <v>72</v>
      </c>
      <c r="B152" t="s">
        <v>7</v>
      </c>
      <c r="C152" t="s">
        <v>29</v>
      </c>
      <c r="D152" t="s">
        <v>42</v>
      </c>
      <c r="E152" s="2">
        <v>9.93</v>
      </c>
      <c r="F152" s="2">
        <f>MAX(E152-IF(D152="S",BagMasses!$B$12,IF(D152="M",BagMasses!$C$12,IF(D152="L",BagMasses!$D$12,IF(D152="SM",BagMasses!$E$12,IF(D152="E",BagMasses!$F$12))))),0)</f>
        <v>3.3970000000000002</v>
      </c>
    </row>
    <row r="153" spans="1:6" x14ac:dyDescent="0.3">
      <c r="A153" t="s">
        <v>68</v>
      </c>
      <c r="B153" t="s">
        <v>24</v>
      </c>
      <c r="C153" t="s">
        <v>13</v>
      </c>
      <c r="D153" t="s">
        <v>63</v>
      </c>
      <c r="E153" s="2">
        <v>12.26</v>
      </c>
      <c r="F153" s="2">
        <f>MAX(E153-IF(D153="S",BagMasses!$B$12,IF(D153="M",BagMasses!$C$12,IF(D153="L",BagMasses!$D$12,IF(D153="SM",BagMasses!$E$12,IF(D153="E",BagMasses!$F$12))))),0)</f>
        <v>0.97333333333333272</v>
      </c>
    </row>
    <row r="154" spans="1:6" x14ac:dyDescent="0.3">
      <c r="A154" t="s">
        <v>68</v>
      </c>
      <c r="B154" t="s">
        <v>24</v>
      </c>
      <c r="C154" t="s">
        <v>15</v>
      </c>
      <c r="D154" t="s">
        <v>63</v>
      </c>
      <c r="E154" s="2">
        <v>38.56</v>
      </c>
      <c r="F154" s="2">
        <f>MAX(E154-IF(D154="S",BagMasses!$B$12,IF(D154="M",BagMasses!$C$12,IF(D154="L",BagMasses!$D$12,IF(D154="SM",BagMasses!$E$12,IF(D154="E",BagMasses!$F$12))))),0)</f>
        <v>27.273333333333333</v>
      </c>
    </row>
    <row r="155" spans="1:6" x14ac:dyDescent="0.3">
      <c r="A155" t="s">
        <v>68</v>
      </c>
      <c r="B155" t="s">
        <v>24</v>
      </c>
      <c r="C155" t="s">
        <v>8</v>
      </c>
      <c r="D155" t="s">
        <v>67</v>
      </c>
      <c r="E155" s="2">
        <v>2.77</v>
      </c>
      <c r="F155" s="2">
        <f>MAX(E155-IF(D155="S",BagMasses!$B$12,IF(D155="M",BagMasses!$C$12,IF(D155="L",BagMasses!$D$12,IF(D155="SM",BagMasses!$E$12,IF(D155="E",BagMasses!$F$12))))),0)</f>
        <v>0</v>
      </c>
    </row>
    <row r="156" spans="1:6" x14ac:dyDescent="0.3">
      <c r="A156" t="s">
        <v>68</v>
      </c>
      <c r="B156" t="s">
        <v>24</v>
      </c>
      <c r="C156" t="s">
        <v>33</v>
      </c>
      <c r="D156" t="s">
        <v>42</v>
      </c>
      <c r="E156" s="2">
        <v>7.96</v>
      </c>
      <c r="F156" s="2">
        <f>MAX(E156-IF(D156="S",BagMasses!$B$12,IF(D156="M",BagMasses!$C$12,IF(D156="L",BagMasses!$D$12,IF(D156="SM",BagMasses!$E$12,IF(D156="E",BagMasses!$F$12))))),0)</f>
        <v>1.4270000000000005</v>
      </c>
    </row>
    <row r="157" spans="1:6" x14ac:dyDescent="0.3">
      <c r="A157" t="s">
        <v>68</v>
      </c>
      <c r="B157" t="s">
        <v>17</v>
      </c>
      <c r="C157" t="s">
        <v>13</v>
      </c>
      <c r="D157" t="s">
        <v>67</v>
      </c>
      <c r="E157" s="2">
        <v>3.44</v>
      </c>
      <c r="F157" s="2">
        <f>MAX(E157-IF(D157="S",BagMasses!$B$12,IF(D157="M",BagMasses!$C$12,IF(D157="L",BagMasses!$D$12,IF(D157="SM",BagMasses!$E$12,IF(D157="E",BagMasses!$F$12))))),0)</f>
        <v>0.44333333333333336</v>
      </c>
    </row>
    <row r="158" spans="1:6" x14ac:dyDescent="0.3">
      <c r="A158" t="s">
        <v>68</v>
      </c>
      <c r="B158" t="s">
        <v>17</v>
      </c>
      <c r="C158" t="s">
        <v>55</v>
      </c>
      <c r="D158" t="s">
        <v>67</v>
      </c>
      <c r="E158" s="2">
        <v>3.06</v>
      </c>
      <c r="F158" s="2">
        <f>MAX(E158-IF(D158="S",BagMasses!$B$12,IF(D158="M",BagMasses!$C$12,IF(D158="L",BagMasses!$D$12,IF(D158="SM",BagMasses!$E$12,IF(D158="E",BagMasses!$F$12))))),0)</f>
        <v>6.3333333333333464E-2</v>
      </c>
    </row>
    <row r="159" spans="1:6" x14ac:dyDescent="0.3">
      <c r="A159" t="s">
        <v>68</v>
      </c>
      <c r="B159" t="s">
        <v>17</v>
      </c>
      <c r="C159" t="s">
        <v>15</v>
      </c>
      <c r="D159" t="s">
        <v>63</v>
      </c>
      <c r="E159" s="2">
        <v>60.28</v>
      </c>
      <c r="F159" s="2">
        <f>MAX(E159-IF(D159="S",BagMasses!$B$12,IF(D159="M",BagMasses!$C$12,IF(D159="L",BagMasses!$D$12,IF(D159="SM",BagMasses!$E$12,IF(D159="E",BagMasses!$F$12))))),0)</f>
        <v>48.993333333333332</v>
      </c>
    </row>
    <row r="160" spans="1:6" x14ac:dyDescent="0.3">
      <c r="A160" t="s">
        <v>68</v>
      </c>
      <c r="B160" t="s">
        <v>17</v>
      </c>
      <c r="C160" t="s">
        <v>47</v>
      </c>
      <c r="D160" t="s">
        <v>67</v>
      </c>
      <c r="E160" s="2">
        <v>3.93</v>
      </c>
      <c r="F160" s="2">
        <f>MAX(E160-IF(D160="S",BagMasses!$B$12,IF(D160="M",BagMasses!$C$12,IF(D160="L",BagMasses!$D$12,IF(D160="SM",BagMasses!$E$12,IF(D160="E",BagMasses!$F$12))))),0)</f>
        <v>0.93333333333333357</v>
      </c>
    </row>
    <row r="161" spans="1:6" x14ac:dyDescent="0.3">
      <c r="A161" t="s">
        <v>68</v>
      </c>
      <c r="B161" t="s">
        <v>17</v>
      </c>
      <c r="C161" t="s">
        <v>30</v>
      </c>
      <c r="D161" t="s">
        <v>67</v>
      </c>
      <c r="E161" s="2">
        <v>3.02</v>
      </c>
      <c r="F161" s="2">
        <f>MAX(E161-IF(D161="S",BagMasses!$B$12,IF(D161="M",BagMasses!$C$12,IF(D161="L",BagMasses!$D$12,IF(D161="SM",BagMasses!$E$12,IF(D161="E",BagMasses!$F$12))))),0)</f>
        <v>2.3333333333333428E-2</v>
      </c>
    </row>
    <row r="162" spans="1:6" x14ac:dyDescent="0.3">
      <c r="A162" t="s">
        <v>68</v>
      </c>
      <c r="B162" t="s">
        <v>17</v>
      </c>
      <c r="C162" t="s">
        <v>8</v>
      </c>
      <c r="D162" t="s">
        <v>63</v>
      </c>
      <c r="E162" s="2">
        <v>12.83</v>
      </c>
      <c r="F162" s="2">
        <f>MAX(E162-IF(D162="S",BagMasses!$B$12,IF(D162="M",BagMasses!$C$12,IF(D162="L",BagMasses!$D$12,IF(D162="SM",BagMasses!$E$12,IF(D162="E",BagMasses!$F$12))))),0)</f>
        <v>1.543333333333333</v>
      </c>
    </row>
    <row r="163" spans="1:6" x14ac:dyDescent="0.3">
      <c r="A163" t="s">
        <v>68</v>
      </c>
      <c r="B163" t="s">
        <v>17</v>
      </c>
      <c r="C163" t="s">
        <v>29</v>
      </c>
      <c r="D163" t="s">
        <v>67</v>
      </c>
      <c r="E163" s="2">
        <v>3.06</v>
      </c>
      <c r="F163" s="2">
        <f>MAX(E163-IF(D163="S",BagMasses!$B$12,IF(D163="M",BagMasses!$C$12,IF(D163="L",BagMasses!$D$12,IF(D163="SM",BagMasses!$E$12,IF(D163="E",BagMasses!$F$12))))),0)</f>
        <v>6.3333333333333464E-2</v>
      </c>
    </row>
    <row r="164" spans="1:6" x14ac:dyDescent="0.3">
      <c r="A164" t="s">
        <v>68</v>
      </c>
      <c r="B164" t="s">
        <v>14</v>
      </c>
      <c r="C164" t="s">
        <v>87</v>
      </c>
      <c r="D164" t="s">
        <v>67</v>
      </c>
      <c r="E164" s="2">
        <v>2.94</v>
      </c>
      <c r="F164" s="2">
        <f>MAX(E164-IF(D164="S",BagMasses!$B$12,IF(D164="M",BagMasses!$C$12,IF(D164="L",BagMasses!$D$12,IF(D164="SM",BagMasses!$E$12,IF(D164="E",BagMasses!$F$12))))),0)</f>
        <v>0</v>
      </c>
    </row>
    <row r="165" spans="1:6" x14ac:dyDescent="0.3">
      <c r="A165" t="s">
        <v>68</v>
      </c>
      <c r="B165" t="s">
        <v>14</v>
      </c>
      <c r="C165" t="s">
        <v>15</v>
      </c>
      <c r="D165" t="s">
        <v>63</v>
      </c>
      <c r="E165" s="2">
        <v>41.38</v>
      </c>
      <c r="F165" s="2">
        <f>MAX(E165-IF(D165="S",BagMasses!$B$12,IF(D165="M",BagMasses!$C$12,IF(D165="L",BagMasses!$D$12,IF(D165="SM",BagMasses!$E$12,IF(D165="E",BagMasses!$F$12))))),0)</f>
        <v>30.093333333333334</v>
      </c>
    </row>
    <row r="166" spans="1:6" x14ac:dyDescent="0.3">
      <c r="A166" t="s">
        <v>68</v>
      </c>
      <c r="B166" t="s">
        <v>14</v>
      </c>
      <c r="C166" t="s">
        <v>33</v>
      </c>
      <c r="D166" t="s">
        <v>63</v>
      </c>
      <c r="E166" s="2">
        <v>18</v>
      </c>
      <c r="F166" s="2">
        <f>MAX(E166-IF(D166="S",BagMasses!$B$12,IF(D166="M",BagMasses!$C$12,IF(D166="L",BagMasses!$D$12,IF(D166="SM",BagMasses!$E$12,IF(D166="E",BagMasses!$F$12))))),0)</f>
        <v>6.7133333333333329</v>
      </c>
    </row>
    <row r="167" spans="1:6" x14ac:dyDescent="0.3">
      <c r="A167" t="s">
        <v>68</v>
      </c>
      <c r="B167" t="s">
        <v>14</v>
      </c>
      <c r="C167" t="s">
        <v>35</v>
      </c>
      <c r="D167" t="s">
        <v>63</v>
      </c>
      <c r="E167" s="2">
        <v>15.64</v>
      </c>
      <c r="F167" s="2">
        <f>MAX(E167-IF(D167="S",BagMasses!$B$12,IF(D167="M",BagMasses!$C$12,IF(D167="L",BagMasses!$D$12,IF(D167="SM",BagMasses!$E$12,IF(D167="E",BagMasses!$F$12))))),0)</f>
        <v>4.3533333333333335</v>
      </c>
    </row>
    <row r="168" spans="1:6" x14ac:dyDescent="0.3">
      <c r="A168" t="s">
        <v>68</v>
      </c>
      <c r="B168" t="s">
        <v>11</v>
      </c>
      <c r="C168" t="s">
        <v>46</v>
      </c>
      <c r="D168" t="s">
        <v>61</v>
      </c>
      <c r="E168" s="2">
        <v>73.25</v>
      </c>
      <c r="F168" s="2">
        <f>MAX(E168-IF(D168="S",BagMasses!$B$12,IF(D168="M",BagMasses!$C$12,IF(D168="L",BagMasses!$D$12,IF(D168="SM",BagMasses!$E$12,IF(D168="E",BagMasses!$F$12))))),0)</f>
        <v>5.6466666666666612</v>
      </c>
    </row>
    <row r="169" spans="1:6" x14ac:dyDescent="0.3">
      <c r="A169" t="s">
        <v>68</v>
      </c>
      <c r="B169" t="s">
        <v>11</v>
      </c>
      <c r="C169" t="s">
        <v>15</v>
      </c>
      <c r="D169" t="s">
        <v>63</v>
      </c>
      <c r="E169" s="2">
        <v>29.67</v>
      </c>
      <c r="F169" s="2">
        <f>MAX(E169-IF(D169="S",BagMasses!$B$12,IF(D169="M",BagMasses!$C$12,IF(D169="L",BagMasses!$D$12,IF(D169="SM",BagMasses!$E$12,IF(D169="E",BagMasses!$F$12))))),0)</f>
        <v>18.383333333333333</v>
      </c>
    </row>
    <row r="170" spans="1:6" x14ac:dyDescent="0.3">
      <c r="A170" t="s">
        <v>68</v>
      </c>
      <c r="B170" t="s">
        <v>11</v>
      </c>
      <c r="C170" t="s">
        <v>30</v>
      </c>
      <c r="D170" t="s">
        <v>63</v>
      </c>
      <c r="E170" s="2">
        <v>15.9</v>
      </c>
      <c r="F170" s="2">
        <f>MAX(E170-IF(D170="S",BagMasses!$B$12,IF(D170="M",BagMasses!$C$12,IF(D170="L",BagMasses!$D$12,IF(D170="SM",BagMasses!$E$12,IF(D170="E",BagMasses!$F$12))))),0)</f>
        <v>4.6133333333333333</v>
      </c>
    </row>
    <row r="171" spans="1:6" x14ac:dyDescent="0.3">
      <c r="A171" t="s">
        <v>68</v>
      </c>
      <c r="B171" t="s">
        <v>11</v>
      </c>
      <c r="C171" t="s">
        <v>33</v>
      </c>
      <c r="D171" t="s">
        <v>67</v>
      </c>
      <c r="E171" s="2">
        <v>3.02</v>
      </c>
      <c r="F171" s="2">
        <f>MAX(E171-IF(D171="S",BagMasses!$B$12,IF(D171="M",BagMasses!$C$12,IF(D171="L",BagMasses!$D$12,IF(D171="SM",BagMasses!$E$12,IF(D171="E",BagMasses!$F$12))))),0)</f>
        <v>2.3333333333333428E-2</v>
      </c>
    </row>
    <row r="172" spans="1:6" x14ac:dyDescent="0.3">
      <c r="A172" t="s">
        <v>68</v>
      </c>
      <c r="B172" t="s">
        <v>7</v>
      </c>
      <c r="C172" t="s">
        <v>12</v>
      </c>
      <c r="D172" t="s">
        <v>67</v>
      </c>
      <c r="E172" s="2">
        <v>3.64</v>
      </c>
      <c r="F172" s="2">
        <f>MAX(E172-IF(D172="S",BagMasses!$B$12,IF(D172="M",BagMasses!$C$12,IF(D172="L",BagMasses!$D$12,IF(D172="SM",BagMasses!$E$12,IF(D172="E",BagMasses!$F$12))))),0)</f>
        <v>0.64333333333333353</v>
      </c>
    </row>
    <row r="173" spans="1:6" x14ac:dyDescent="0.3">
      <c r="A173" t="s">
        <v>68</v>
      </c>
      <c r="B173" t="s">
        <v>7</v>
      </c>
      <c r="C173" t="s">
        <v>55</v>
      </c>
      <c r="D173" t="s">
        <v>67</v>
      </c>
      <c r="E173" s="2">
        <v>3.09</v>
      </c>
      <c r="F173" s="2">
        <f>MAX(E173-IF(D173="S",BagMasses!$B$12,IF(D173="M",BagMasses!$C$12,IF(D173="L",BagMasses!$D$12,IF(D173="SM",BagMasses!$E$12,IF(D173="E",BagMasses!$F$12))))),0)</f>
        <v>9.3333333333333268E-2</v>
      </c>
    </row>
    <row r="174" spans="1:6" x14ac:dyDescent="0.3">
      <c r="A174" t="s">
        <v>68</v>
      </c>
      <c r="B174" t="s">
        <v>7</v>
      </c>
      <c r="C174" t="s">
        <v>52</v>
      </c>
      <c r="D174" t="s">
        <v>42</v>
      </c>
      <c r="E174" s="2">
        <v>15.85</v>
      </c>
      <c r="F174" s="2">
        <f>MAX(E174-IF(D174="S",BagMasses!$B$12,IF(D174="M",BagMasses!$C$12,IF(D174="L",BagMasses!$D$12,IF(D174="SM",BagMasses!$E$12,IF(D174="E",BagMasses!$F$12))))),0)</f>
        <v>9.3170000000000002</v>
      </c>
    </row>
    <row r="175" spans="1:6" x14ac:dyDescent="0.3">
      <c r="A175" t="s">
        <v>68</v>
      </c>
      <c r="B175" t="s">
        <v>7</v>
      </c>
      <c r="C175" t="s">
        <v>15</v>
      </c>
      <c r="D175" t="s">
        <v>61</v>
      </c>
      <c r="E175" s="2">
        <v>111.63</v>
      </c>
      <c r="F175" s="2">
        <f>MAX(E175-IF(D175="S",BagMasses!$B$12,IF(D175="M",BagMasses!$C$12,IF(D175="L",BagMasses!$D$12,IF(D175="SM",BagMasses!$E$12,IF(D175="E",BagMasses!$F$12))))),0)</f>
        <v>44.026666666666657</v>
      </c>
    </row>
    <row r="176" spans="1:6" x14ac:dyDescent="0.3">
      <c r="A176" t="s">
        <v>68</v>
      </c>
      <c r="B176" t="s">
        <v>7</v>
      </c>
      <c r="C176" t="s">
        <v>33</v>
      </c>
      <c r="D176" t="s">
        <v>42</v>
      </c>
      <c r="E176" s="2">
        <v>8.59</v>
      </c>
      <c r="F176" s="2">
        <f>MAX(E176-IF(D176="S",BagMasses!$B$12,IF(D176="M",BagMasses!$C$12,IF(D176="L",BagMasses!$D$12,IF(D176="SM",BagMasses!$E$12,IF(D176="E",BagMasses!$F$12))))),0)</f>
        <v>2.0570000000000004</v>
      </c>
    </row>
    <row r="177" spans="1:6" x14ac:dyDescent="0.3">
      <c r="A177" t="s">
        <v>68</v>
      </c>
      <c r="B177" t="s">
        <v>7</v>
      </c>
      <c r="C177" t="s">
        <v>29</v>
      </c>
      <c r="D177" t="s">
        <v>42</v>
      </c>
      <c r="E177" s="2">
        <v>9.2100000000000009</v>
      </c>
      <c r="F177" s="2">
        <f>MAX(E177-IF(D177="S",BagMasses!$B$12,IF(D177="M",BagMasses!$C$12,IF(D177="L",BagMasses!$D$12,IF(D177="SM",BagMasses!$E$12,IF(D177="E",BagMasses!$F$12))))),0)</f>
        <v>2.6770000000000014</v>
      </c>
    </row>
    <row r="178" spans="1:6" x14ac:dyDescent="0.3">
      <c r="A178" t="s">
        <v>60</v>
      </c>
      <c r="B178" t="s">
        <v>24</v>
      </c>
      <c r="C178" t="s">
        <v>13</v>
      </c>
      <c r="D178" t="s">
        <v>61</v>
      </c>
      <c r="E178" s="2">
        <v>151.65</v>
      </c>
      <c r="F178" s="2">
        <f>MAX(E178-IF(D178="S",BagMasses!$B$12,IF(D178="M",BagMasses!$C$12,IF(D178="L",BagMasses!$D$12,IF(D178="SM",BagMasses!$E$12,IF(D178="E",BagMasses!$F$12))))),0)</f>
        <v>84.046666666666667</v>
      </c>
    </row>
    <row r="179" spans="1:6" x14ac:dyDescent="0.3">
      <c r="A179" t="s">
        <v>60</v>
      </c>
      <c r="B179" t="s">
        <v>24</v>
      </c>
      <c r="C179" t="s">
        <v>15</v>
      </c>
      <c r="D179" t="s">
        <v>63</v>
      </c>
      <c r="E179" s="2">
        <v>114.89</v>
      </c>
      <c r="F179" s="2">
        <f>MAX(E179-IF(D179="S",BagMasses!$B$12,IF(D179="M",BagMasses!$C$12,IF(D179="L",BagMasses!$D$12,IF(D179="SM",BagMasses!$E$12,IF(D179="E",BagMasses!$F$12))))),0)</f>
        <v>103.60333333333334</v>
      </c>
    </row>
    <row r="180" spans="1:6" x14ac:dyDescent="0.3">
      <c r="A180" t="s">
        <v>60</v>
      </c>
      <c r="B180" t="s">
        <v>24</v>
      </c>
      <c r="C180" t="s">
        <v>18</v>
      </c>
      <c r="D180" t="s">
        <v>63</v>
      </c>
      <c r="E180" s="2">
        <v>97.89</v>
      </c>
      <c r="F180" s="2">
        <f>MAX(E180-IF(D180="S",BagMasses!$B$12,IF(D180="M",BagMasses!$C$12,IF(D180="L",BagMasses!$D$12,IF(D180="SM",BagMasses!$E$12,IF(D180="E",BagMasses!$F$12))))),0)</f>
        <v>86.603333333333339</v>
      </c>
    </row>
    <row r="181" spans="1:6" x14ac:dyDescent="0.3">
      <c r="A181" t="s">
        <v>60</v>
      </c>
      <c r="B181" t="s">
        <v>17</v>
      </c>
      <c r="C181" t="s">
        <v>13</v>
      </c>
      <c r="D181" t="s">
        <v>63</v>
      </c>
      <c r="E181" s="2">
        <v>31.58</v>
      </c>
      <c r="F181" s="2">
        <f>MAX(E181-IF(D181="S",BagMasses!$B$12,IF(D181="M",BagMasses!$C$12,IF(D181="L",BagMasses!$D$12,IF(D181="SM",BagMasses!$E$12,IF(D181="E",BagMasses!$F$12))))),0)</f>
        <v>20.293333333333329</v>
      </c>
    </row>
    <row r="182" spans="1:6" x14ac:dyDescent="0.3">
      <c r="A182" t="s">
        <v>60</v>
      </c>
      <c r="B182" t="s">
        <v>17</v>
      </c>
      <c r="C182" t="s">
        <v>15</v>
      </c>
      <c r="D182" t="s">
        <v>63</v>
      </c>
      <c r="E182" s="2">
        <v>45.17</v>
      </c>
      <c r="F182" s="2">
        <f>MAX(E182-IF(D182="S",BagMasses!$B$12,IF(D182="M",BagMasses!$C$12,IF(D182="L",BagMasses!$D$12,IF(D182="SM",BagMasses!$E$12,IF(D182="E",BagMasses!$F$12))))),0)</f>
        <v>33.883333333333333</v>
      </c>
    </row>
    <row r="183" spans="1:6" x14ac:dyDescent="0.3">
      <c r="A183" t="s">
        <v>60</v>
      </c>
      <c r="B183" t="s">
        <v>14</v>
      </c>
      <c r="C183" t="s">
        <v>13</v>
      </c>
      <c r="D183" t="s">
        <v>61</v>
      </c>
      <c r="E183" s="2">
        <v>249.15</v>
      </c>
      <c r="F183" s="2">
        <f>MAX(E183-IF(D183="S",BagMasses!$B$12,IF(D183="M",BagMasses!$C$12,IF(D183="L",BagMasses!$D$12,IF(D183="SM",BagMasses!$E$12,IF(D183="E",BagMasses!$F$12))))),0)</f>
        <v>181.54666666666668</v>
      </c>
    </row>
    <row r="184" spans="1:6" x14ac:dyDescent="0.3">
      <c r="A184" t="s">
        <v>60</v>
      </c>
      <c r="B184" t="s">
        <v>14</v>
      </c>
      <c r="C184" t="s">
        <v>13</v>
      </c>
      <c r="D184" t="s">
        <v>44</v>
      </c>
      <c r="E184" s="2">
        <v>85.06</v>
      </c>
      <c r="F184" s="2">
        <f>MAX(E184-IF(D184="S",BagMasses!$B$12,IF(D184="M",BagMasses!$C$12,IF(D184="L",BagMasses!$D$12,IF(D184="SM",BagMasses!$E$12,IF(D184="E",BagMasses!$F$12))))),0)</f>
        <v>58.642000000000003</v>
      </c>
    </row>
    <row r="185" spans="1:6" x14ac:dyDescent="0.3">
      <c r="A185" t="s">
        <v>60</v>
      </c>
      <c r="B185" t="s">
        <v>14</v>
      </c>
      <c r="C185" t="s">
        <v>15</v>
      </c>
      <c r="D185" t="s">
        <v>63</v>
      </c>
      <c r="E185" s="2">
        <v>113.26</v>
      </c>
      <c r="F185" s="2">
        <f>MAX(E185-IF(D185="S",BagMasses!$B$12,IF(D185="M",BagMasses!$C$12,IF(D185="L",BagMasses!$D$12,IF(D185="SM",BagMasses!$E$12,IF(D185="E",BagMasses!$F$12))))),0)</f>
        <v>101.97333333333334</v>
      </c>
    </row>
    <row r="186" spans="1:6" x14ac:dyDescent="0.3">
      <c r="A186" t="s">
        <v>60</v>
      </c>
      <c r="B186" t="s">
        <v>14</v>
      </c>
      <c r="C186" t="s">
        <v>8</v>
      </c>
      <c r="D186" t="s">
        <v>63</v>
      </c>
      <c r="E186" s="2">
        <v>22.91</v>
      </c>
      <c r="F186" s="2">
        <f>MAX(E186-IF(D186="S",BagMasses!$B$12,IF(D186="M",BagMasses!$C$12,IF(D186="L",BagMasses!$D$12,IF(D186="SM",BagMasses!$E$12,IF(D186="E",BagMasses!$F$12))))),0)</f>
        <v>11.623333333333333</v>
      </c>
    </row>
    <row r="187" spans="1:6" x14ac:dyDescent="0.3">
      <c r="A187" t="s">
        <v>60</v>
      </c>
      <c r="B187" t="s">
        <v>11</v>
      </c>
      <c r="C187" t="s">
        <v>13</v>
      </c>
      <c r="D187" t="s">
        <v>42</v>
      </c>
      <c r="E187" s="2">
        <v>14.44</v>
      </c>
      <c r="F187" s="2">
        <f>MAX(E187-IF(D187="S",BagMasses!$B$12,IF(D187="M",BagMasses!$C$12,IF(D187="L",BagMasses!$D$12,IF(D187="SM",BagMasses!$E$12,IF(D187="E",BagMasses!$F$12))))),0)</f>
        <v>7.907</v>
      </c>
    </row>
    <row r="188" spans="1:6" x14ac:dyDescent="0.3">
      <c r="A188" t="s">
        <v>60</v>
      </c>
      <c r="B188" t="s">
        <v>11</v>
      </c>
      <c r="C188" t="s">
        <v>15</v>
      </c>
      <c r="D188" t="s">
        <v>63</v>
      </c>
      <c r="E188" s="2">
        <v>58.19</v>
      </c>
      <c r="F188" s="2">
        <f>MAX(E188-IF(D188="S",BagMasses!$B$12,IF(D188="M",BagMasses!$C$12,IF(D188="L",BagMasses!$D$12,IF(D188="SM",BagMasses!$E$12,IF(D188="E",BagMasses!$F$12))))),0)</f>
        <v>46.903333333333329</v>
      </c>
    </row>
    <row r="189" spans="1:6" x14ac:dyDescent="0.3">
      <c r="A189" t="s">
        <v>60</v>
      </c>
      <c r="B189" t="s">
        <v>11</v>
      </c>
      <c r="C189" t="s">
        <v>30</v>
      </c>
      <c r="D189" t="s">
        <v>42</v>
      </c>
      <c r="E189" s="2">
        <v>10.029999999999999</v>
      </c>
      <c r="F189" s="2">
        <f>MAX(E189-IF(D189="S",BagMasses!$B$12,IF(D189="M",BagMasses!$C$12,IF(D189="L",BagMasses!$D$12,IF(D189="SM",BagMasses!$E$12,IF(D189="E",BagMasses!$F$12))))),0)</f>
        <v>3.4969999999999999</v>
      </c>
    </row>
    <row r="190" spans="1:6" x14ac:dyDescent="0.3">
      <c r="A190" t="s">
        <v>60</v>
      </c>
      <c r="B190" t="s">
        <v>11</v>
      </c>
      <c r="C190" t="s">
        <v>33</v>
      </c>
      <c r="D190" t="s">
        <v>63</v>
      </c>
      <c r="E190" s="2">
        <v>39.76</v>
      </c>
      <c r="F190" s="2">
        <f>MAX(E190-IF(D190="S",BagMasses!$B$12,IF(D190="M",BagMasses!$C$12,IF(D190="L",BagMasses!$D$12,IF(D190="SM",BagMasses!$E$12,IF(D190="E",BagMasses!$F$12))))),0)</f>
        <v>28.473333333333329</v>
      </c>
    </row>
    <row r="191" spans="1:6" x14ac:dyDescent="0.3">
      <c r="A191" t="s">
        <v>60</v>
      </c>
      <c r="B191" t="s">
        <v>7</v>
      </c>
      <c r="C191" t="s">
        <v>74</v>
      </c>
      <c r="D191" t="s">
        <v>63</v>
      </c>
      <c r="E191" s="2">
        <v>22.94</v>
      </c>
      <c r="F191" s="2">
        <f>MAX(E191-IF(D191="S",BagMasses!$B$12,IF(D191="M",BagMasses!$C$12,IF(D191="L",BagMasses!$D$12,IF(D191="SM",BagMasses!$E$12,IF(D191="E",BagMasses!$F$12))))),0)</f>
        <v>11.653333333333334</v>
      </c>
    </row>
    <row r="192" spans="1:6" x14ac:dyDescent="0.3">
      <c r="A192" t="s">
        <v>60</v>
      </c>
      <c r="B192" t="s">
        <v>7</v>
      </c>
      <c r="C192" t="s">
        <v>13</v>
      </c>
      <c r="D192" t="s">
        <v>63</v>
      </c>
      <c r="E192" s="2">
        <v>12.17</v>
      </c>
      <c r="F192" s="2">
        <f>MAX(E192-IF(D192="S",BagMasses!$B$12,IF(D192="M",BagMasses!$C$12,IF(D192="L",BagMasses!$D$12,IF(D192="SM",BagMasses!$E$12,IF(D192="E",BagMasses!$F$12))))),0)</f>
        <v>0.88333333333333286</v>
      </c>
    </row>
    <row r="193" spans="1:7" x14ac:dyDescent="0.3">
      <c r="A193" t="s">
        <v>60</v>
      </c>
      <c r="B193" t="s">
        <v>7</v>
      </c>
      <c r="C193" t="s">
        <v>52</v>
      </c>
      <c r="D193" t="s">
        <v>42</v>
      </c>
      <c r="E193" s="2">
        <v>19.82</v>
      </c>
      <c r="F193" s="2">
        <f>MAX(E193-IF(D193="S",BagMasses!$B$12,IF(D193="M",BagMasses!$C$12,IF(D193="L",BagMasses!$D$12,IF(D193="SM",BagMasses!$E$12,IF(D193="E",BagMasses!$F$12))))),0)</f>
        <v>13.287000000000001</v>
      </c>
    </row>
    <row r="194" spans="1:7" x14ac:dyDescent="0.3">
      <c r="A194" t="s">
        <v>60</v>
      </c>
      <c r="B194" t="s">
        <v>7</v>
      </c>
      <c r="C194" t="s">
        <v>15</v>
      </c>
      <c r="D194" t="s">
        <v>63</v>
      </c>
      <c r="E194" s="2">
        <v>135.72</v>
      </c>
      <c r="F194" s="2">
        <f>MAX(E194-IF(D194="S",BagMasses!$B$12,IF(D194="M",BagMasses!$C$12,IF(D194="L",BagMasses!$D$12,IF(D194="SM",BagMasses!$E$12,IF(D194="E",BagMasses!$F$12))))),0)</f>
        <v>124.43333333333334</v>
      </c>
    </row>
    <row r="195" spans="1:7" x14ac:dyDescent="0.3">
      <c r="A195" t="s">
        <v>60</v>
      </c>
      <c r="B195" t="s">
        <v>7</v>
      </c>
      <c r="C195" t="s">
        <v>33</v>
      </c>
      <c r="D195" t="s">
        <v>42</v>
      </c>
      <c r="E195" s="2">
        <v>19.41</v>
      </c>
      <c r="F195" s="2">
        <f>MAX(E195-IF(D195="S",BagMasses!$B$12,IF(D195="M",BagMasses!$C$12,IF(D195="L",BagMasses!$D$12,IF(D195="SM",BagMasses!$E$12,IF(D195="E",BagMasses!$F$12))))),0)</f>
        <v>12.877000000000001</v>
      </c>
    </row>
    <row r="196" spans="1:7" x14ac:dyDescent="0.3">
      <c r="A196" t="s">
        <v>60</v>
      </c>
      <c r="B196" t="s">
        <v>7</v>
      </c>
      <c r="C196" t="s">
        <v>29</v>
      </c>
      <c r="D196" t="s">
        <v>63</v>
      </c>
      <c r="E196" s="2">
        <v>19.46</v>
      </c>
      <c r="F196" s="2">
        <f>MAX(E196-IF(D196="S",BagMasses!$B$12,IF(D196="M",BagMasses!$C$12,IF(D196="L",BagMasses!$D$12,IF(D196="SM",BagMasses!$E$12,IF(D196="E",BagMasses!$F$12))))),0)</f>
        <v>8.1733333333333338</v>
      </c>
      <c r="G196" s="2">
        <f>F179+F182+F185+F188+F194</f>
        <v>410.79666666666668</v>
      </c>
    </row>
    <row r="197" spans="1:7" x14ac:dyDescent="0.3">
      <c r="A197" t="s">
        <v>59</v>
      </c>
      <c r="B197" t="s">
        <v>24</v>
      </c>
      <c r="C197" t="s">
        <v>15</v>
      </c>
      <c r="D197" t="s">
        <v>61</v>
      </c>
      <c r="E197" s="2">
        <v>204.76</v>
      </c>
      <c r="F197" s="2">
        <f>MAX(E197-IF(D197="S",BagMasses!$B$12,IF(D197="M",BagMasses!$C$12,IF(D197="L",BagMasses!$D$12,IF(D197="SM",BagMasses!$E$12,IF(D197="E",BagMasses!$F$12))))),0)</f>
        <v>137.15666666666664</v>
      </c>
    </row>
    <row r="198" spans="1:7" x14ac:dyDescent="0.3">
      <c r="A198" t="s">
        <v>59</v>
      </c>
      <c r="B198" t="s">
        <v>24</v>
      </c>
      <c r="C198" t="s">
        <v>8</v>
      </c>
      <c r="D198" t="s">
        <v>63</v>
      </c>
      <c r="E198" s="2">
        <v>34.01</v>
      </c>
      <c r="F198" s="2">
        <f>MAX(E198-IF(D198="S",BagMasses!$B$12,IF(D198="M",BagMasses!$C$12,IF(D198="L",BagMasses!$D$12,IF(D198="SM",BagMasses!$E$12,IF(D198="E",BagMasses!$F$12))))),0)</f>
        <v>22.723333333333329</v>
      </c>
    </row>
    <row r="199" spans="1:7" x14ac:dyDescent="0.3">
      <c r="A199" t="s">
        <v>59</v>
      </c>
      <c r="B199" t="s">
        <v>24</v>
      </c>
      <c r="C199" t="s">
        <v>29</v>
      </c>
      <c r="D199" t="s">
        <v>67</v>
      </c>
      <c r="E199" s="2">
        <v>3.08</v>
      </c>
      <c r="F199" s="2">
        <f>MAX(E199-IF(D199="S",BagMasses!$B$12,IF(D199="M",BagMasses!$C$12,IF(D199="L",BagMasses!$D$12,IF(D199="SM",BagMasses!$E$12,IF(D199="E",BagMasses!$F$12))))),0)</f>
        <v>8.3333333333333481E-2</v>
      </c>
    </row>
    <row r="200" spans="1:7" x14ac:dyDescent="0.3">
      <c r="A200" t="s">
        <v>59</v>
      </c>
      <c r="B200" t="s">
        <v>17</v>
      </c>
      <c r="C200" t="s">
        <v>15</v>
      </c>
      <c r="D200" t="s">
        <v>63</v>
      </c>
      <c r="E200" s="2">
        <v>142.13999999999999</v>
      </c>
      <c r="F200" s="2">
        <f>MAX(E200-IF(D200="S",BagMasses!$B$12,IF(D200="M",BagMasses!$C$12,IF(D200="L",BagMasses!$D$12,IF(D200="SM",BagMasses!$E$12,IF(D200="E",BagMasses!$F$12))))),0)</f>
        <v>130.85333333333332</v>
      </c>
    </row>
    <row r="201" spans="1:7" x14ac:dyDescent="0.3">
      <c r="A201" t="s">
        <v>59</v>
      </c>
      <c r="B201" t="s">
        <v>14</v>
      </c>
      <c r="C201" t="s">
        <v>15</v>
      </c>
      <c r="D201" t="s">
        <v>63</v>
      </c>
      <c r="E201" s="2">
        <v>154.09</v>
      </c>
      <c r="F201" s="2">
        <f>MAX(E201-IF(D201="S",BagMasses!$B$12,IF(D201="M",BagMasses!$C$12,IF(D201="L",BagMasses!$D$12,IF(D201="SM",BagMasses!$E$12,IF(D201="E",BagMasses!$F$12))))),0)</f>
        <v>142.80333333333334</v>
      </c>
    </row>
    <row r="202" spans="1:7" x14ac:dyDescent="0.3">
      <c r="A202" t="s">
        <v>59</v>
      </c>
      <c r="B202" t="s">
        <v>14</v>
      </c>
      <c r="C202" t="s">
        <v>29</v>
      </c>
      <c r="D202" t="s">
        <v>67</v>
      </c>
      <c r="E202" s="2">
        <v>3.14</v>
      </c>
      <c r="F202" s="2">
        <f>MAX(E202-IF(D202="S",BagMasses!$B$12,IF(D202="M",BagMasses!$C$12,IF(D202="L",BagMasses!$D$12,IF(D202="SM",BagMasses!$E$12,IF(D202="E",BagMasses!$F$12))))),0)</f>
        <v>0.14333333333333353</v>
      </c>
    </row>
    <row r="203" spans="1:7" x14ac:dyDescent="0.3">
      <c r="A203" t="s">
        <v>59</v>
      </c>
      <c r="B203" t="s">
        <v>11</v>
      </c>
      <c r="C203" t="s">
        <v>15</v>
      </c>
      <c r="D203" t="s">
        <v>63</v>
      </c>
      <c r="E203" s="2">
        <v>105.34</v>
      </c>
      <c r="F203" s="2">
        <f>MAX(E203-IF(D203="S",BagMasses!$B$12,IF(D203="M",BagMasses!$C$12,IF(D203="L",BagMasses!$D$12,IF(D203="SM",BagMasses!$E$12,IF(D203="E",BagMasses!$F$12))))),0)</f>
        <v>94.053333333333342</v>
      </c>
    </row>
    <row r="204" spans="1:7" x14ac:dyDescent="0.3">
      <c r="A204" t="s">
        <v>59</v>
      </c>
      <c r="B204" t="s">
        <v>7</v>
      </c>
      <c r="C204" t="s">
        <v>15</v>
      </c>
      <c r="D204" t="s">
        <v>63</v>
      </c>
      <c r="E204" s="2">
        <v>115.94</v>
      </c>
      <c r="F204" s="2">
        <f>MAX(E204-IF(D204="S",BagMasses!$B$12,IF(D204="M",BagMasses!$C$12,IF(D204="L",BagMasses!$D$12,IF(D204="SM",BagMasses!$E$12,IF(D204="E",BagMasses!$F$12))))),0)</f>
        <v>104.65333333333334</v>
      </c>
      <c r="G204" s="2">
        <f>F197+F200+F201+F203+F204</f>
        <v>609.52</v>
      </c>
    </row>
    <row r="205" spans="1:7" x14ac:dyDescent="0.3">
      <c r="A205" t="s">
        <v>26</v>
      </c>
      <c r="B205" t="s">
        <v>24</v>
      </c>
      <c r="C205" t="s">
        <v>13</v>
      </c>
      <c r="D205" t="s">
        <v>44</v>
      </c>
      <c r="E205" s="2">
        <v>70.59</v>
      </c>
      <c r="F205" s="2">
        <f>MAX(E205-IF(D205="S",BagMasses!$B$12,IF(D205="M",BagMasses!$C$12,IF(D205="L",BagMasses!$D$12,IF(D205="SM",BagMasses!$E$12,IF(D205="E",BagMasses!$F$12))))),0)</f>
        <v>44.172000000000004</v>
      </c>
    </row>
    <row r="206" spans="1:7" x14ac:dyDescent="0.3">
      <c r="A206" t="s">
        <v>26</v>
      </c>
      <c r="B206" t="s">
        <v>24</v>
      </c>
      <c r="C206" t="s">
        <v>15</v>
      </c>
      <c r="D206" t="s">
        <v>44</v>
      </c>
      <c r="E206" s="2">
        <v>207.59</v>
      </c>
      <c r="F206" s="2">
        <f>MAX(E206-IF(D206="S",BagMasses!$B$12,IF(D206="M",BagMasses!$C$12,IF(D206="L",BagMasses!$D$12,IF(D206="SM",BagMasses!$E$12,IF(D206="E",BagMasses!$F$12))))),0)</f>
        <v>181.172</v>
      </c>
    </row>
    <row r="207" spans="1:7" x14ac:dyDescent="0.3">
      <c r="A207" t="s">
        <v>26</v>
      </c>
      <c r="B207" t="s">
        <v>17</v>
      </c>
      <c r="C207" t="s">
        <v>13</v>
      </c>
      <c r="D207" t="s">
        <v>44</v>
      </c>
      <c r="E207" s="2">
        <v>127.5</v>
      </c>
      <c r="F207" s="2">
        <f>MAX(E207-IF(D207="S",BagMasses!$B$12,IF(D207="M",BagMasses!$C$12,IF(D207="L",BagMasses!$D$12,IF(D207="SM",BagMasses!$E$12,IF(D207="E",BagMasses!$F$12))))),0)</f>
        <v>101.08199999999999</v>
      </c>
    </row>
    <row r="208" spans="1:7" x14ac:dyDescent="0.3">
      <c r="A208" t="s">
        <v>26</v>
      </c>
      <c r="B208" t="s">
        <v>17</v>
      </c>
      <c r="C208" t="s">
        <v>15</v>
      </c>
      <c r="D208" t="s">
        <v>44</v>
      </c>
      <c r="E208" s="2">
        <v>238.29</v>
      </c>
      <c r="F208" s="2">
        <f>MAX(E208-IF(D208="S",BagMasses!$B$12,IF(D208="M",BagMasses!$C$12,IF(D208="L",BagMasses!$D$12,IF(D208="SM",BagMasses!$E$12,IF(D208="E",BagMasses!$F$12))))),0)</f>
        <v>211.87199999999999</v>
      </c>
    </row>
    <row r="209" spans="1:6" x14ac:dyDescent="0.3">
      <c r="A209" t="s">
        <v>26</v>
      </c>
      <c r="B209" t="s">
        <v>14</v>
      </c>
      <c r="C209" t="s">
        <v>13</v>
      </c>
      <c r="D209" t="s">
        <v>44</v>
      </c>
      <c r="E209" s="2">
        <v>39.479999999999997</v>
      </c>
      <c r="F209" s="2">
        <f>MAX(E209-IF(D209="S",BagMasses!$B$12,IF(D209="M",BagMasses!$C$12,IF(D209="L",BagMasses!$D$12,IF(D209="SM",BagMasses!$E$12,IF(D209="E",BagMasses!$F$12))))),0)</f>
        <v>13.061999999999998</v>
      </c>
    </row>
    <row r="210" spans="1:6" x14ac:dyDescent="0.3">
      <c r="A210" t="s">
        <v>26</v>
      </c>
      <c r="B210" t="s">
        <v>14</v>
      </c>
      <c r="C210" t="s">
        <v>15</v>
      </c>
      <c r="D210" t="s">
        <v>42</v>
      </c>
      <c r="E210" s="2">
        <v>163.05000000000001</v>
      </c>
      <c r="F210" s="2">
        <f>MAX(E210-IF(D210="S",BagMasses!$B$12,IF(D210="M",BagMasses!$C$12,IF(D210="L",BagMasses!$D$12,IF(D210="SM",BagMasses!$E$12,IF(D210="E",BagMasses!$F$12))))),0)</f>
        <v>156.51700000000002</v>
      </c>
    </row>
    <row r="211" spans="1:6" x14ac:dyDescent="0.3">
      <c r="A211" t="s">
        <v>26</v>
      </c>
      <c r="B211" t="s">
        <v>14</v>
      </c>
      <c r="C211" t="s">
        <v>8</v>
      </c>
      <c r="D211" t="s">
        <v>44</v>
      </c>
      <c r="E211" s="2">
        <v>69.03</v>
      </c>
      <c r="F211" s="2">
        <f>MAX(E211-IF(D211="S",BagMasses!$B$12,IF(D211="M",BagMasses!$C$12,IF(D211="L",BagMasses!$D$12,IF(D211="SM",BagMasses!$E$12,IF(D211="E",BagMasses!$F$12))))),0)</f>
        <v>42.612000000000002</v>
      </c>
    </row>
    <row r="212" spans="1:6" x14ac:dyDescent="0.3">
      <c r="A212" t="s">
        <v>26</v>
      </c>
      <c r="B212" t="s">
        <v>11</v>
      </c>
      <c r="C212" t="s">
        <v>13</v>
      </c>
      <c r="D212" t="s">
        <v>42</v>
      </c>
      <c r="E212" s="2">
        <v>11.68</v>
      </c>
      <c r="F212" s="2">
        <f>MAX(E212-IF(D212="S",BagMasses!$B$12,IF(D212="M",BagMasses!$C$12,IF(D212="L",BagMasses!$D$12,IF(D212="SM",BagMasses!$E$12,IF(D212="E",BagMasses!$F$12))))),0)</f>
        <v>5.1470000000000002</v>
      </c>
    </row>
    <row r="213" spans="1:6" x14ac:dyDescent="0.3">
      <c r="A213" t="s">
        <v>26</v>
      </c>
      <c r="B213" t="s">
        <v>11</v>
      </c>
      <c r="C213" t="s">
        <v>15</v>
      </c>
      <c r="D213" t="s">
        <v>44</v>
      </c>
      <c r="E213" s="2">
        <v>171.73</v>
      </c>
      <c r="F213" s="2">
        <f>MAX(E213-IF(D213="S",BagMasses!$B$12,IF(D213="M",BagMasses!$C$12,IF(D213="L",BagMasses!$D$12,IF(D213="SM",BagMasses!$E$12,IF(D213="E",BagMasses!$F$12))))),0)</f>
        <v>145.31199999999998</v>
      </c>
    </row>
    <row r="214" spans="1:6" x14ac:dyDescent="0.3">
      <c r="A214" t="s">
        <v>26</v>
      </c>
      <c r="B214" t="s">
        <v>11</v>
      </c>
      <c r="C214" t="s">
        <v>8</v>
      </c>
      <c r="D214" t="s">
        <v>44</v>
      </c>
      <c r="E214" s="2">
        <v>89.9</v>
      </c>
      <c r="F214" s="2">
        <f>MAX(E214-IF(D214="S",BagMasses!$B$12,IF(D214="M",BagMasses!$C$12,IF(D214="L",BagMasses!$D$12,IF(D214="SM",BagMasses!$E$12,IF(D214="E",BagMasses!$F$12))))),0)</f>
        <v>63.482000000000006</v>
      </c>
    </row>
    <row r="215" spans="1:6" x14ac:dyDescent="0.3">
      <c r="A215" t="s">
        <v>26</v>
      </c>
      <c r="B215" t="s">
        <v>7</v>
      </c>
      <c r="C215" t="s">
        <v>15</v>
      </c>
      <c r="D215" t="s">
        <v>42</v>
      </c>
      <c r="E215" s="2">
        <v>161.22999999999999</v>
      </c>
      <c r="F215" s="2">
        <f>MAX(E215-IF(D215="S",BagMasses!$B$12,IF(D215="M",BagMasses!$C$12,IF(D215="L",BagMasses!$D$12,IF(D215="SM",BagMasses!$E$12,IF(D215="E",BagMasses!$F$12))))),0)</f>
        <v>154.697</v>
      </c>
    </row>
    <row r="216" spans="1:6" x14ac:dyDescent="0.3">
      <c r="A216" t="s">
        <v>26</v>
      </c>
      <c r="B216" t="s">
        <v>7</v>
      </c>
      <c r="C216" t="s">
        <v>8</v>
      </c>
      <c r="D216" t="s">
        <v>44</v>
      </c>
      <c r="E216" s="2">
        <v>71.5</v>
      </c>
      <c r="F216" s="2">
        <f>MAX(E216-IF(D216="S",BagMasses!$B$12,IF(D216="M",BagMasses!$C$12,IF(D216="L",BagMasses!$D$12,IF(D216="SM",BagMasses!$E$12,IF(D216="E",BagMasses!$F$12))))),0)</f>
        <v>45.082000000000001</v>
      </c>
    </row>
    <row r="217" spans="1:6" x14ac:dyDescent="0.3">
      <c r="A217" t="s">
        <v>26</v>
      </c>
      <c r="B217" t="s">
        <v>7</v>
      </c>
      <c r="C217" t="s">
        <v>29</v>
      </c>
      <c r="D217" t="s">
        <v>42</v>
      </c>
      <c r="E217" s="2">
        <v>9.9700000000000006</v>
      </c>
      <c r="F217" s="2">
        <f>MAX(E217-IF(D217="S",BagMasses!$B$12,IF(D217="M",BagMasses!$C$12,IF(D217="L",BagMasses!$D$12,IF(D217="SM",BagMasses!$E$12,IF(D217="E",BagMasses!$F$12))))),0)</f>
        <v>3.4370000000000012</v>
      </c>
    </row>
    <row r="218" spans="1:6" x14ac:dyDescent="0.3">
      <c r="A218" t="s">
        <v>82</v>
      </c>
      <c r="B218" t="s">
        <v>24</v>
      </c>
      <c r="C218" t="s">
        <v>13</v>
      </c>
      <c r="D218" t="s">
        <v>61</v>
      </c>
      <c r="E218" s="2">
        <v>91.9</v>
      </c>
      <c r="F218" s="2">
        <f>MAX(E218-IF(D218="S",BagMasses!$B$12,IF(D218="M",BagMasses!$C$12,IF(D218="L",BagMasses!$D$12,IF(D218="SM",BagMasses!$E$12,IF(D218="E",BagMasses!$F$12))))),0)</f>
        <v>24.296666666666667</v>
      </c>
    </row>
    <row r="219" spans="1:6" x14ac:dyDescent="0.3">
      <c r="A219" t="s">
        <v>82</v>
      </c>
      <c r="B219" t="s">
        <v>24</v>
      </c>
      <c r="C219" t="s">
        <v>15</v>
      </c>
      <c r="D219" t="s">
        <v>61</v>
      </c>
      <c r="E219" s="2">
        <v>185.83</v>
      </c>
      <c r="F219" s="2">
        <f>MAX(E219-IF(D219="S",BagMasses!$B$12,IF(D219="M",BagMasses!$C$12,IF(D219="L",BagMasses!$D$12,IF(D219="SM",BagMasses!$E$12,IF(D219="E",BagMasses!$F$12))))),0)</f>
        <v>118.22666666666667</v>
      </c>
    </row>
    <row r="220" spans="1:6" x14ac:dyDescent="0.3">
      <c r="A220" t="s">
        <v>82</v>
      </c>
      <c r="B220" t="s">
        <v>24</v>
      </c>
      <c r="C220" t="s">
        <v>8</v>
      </c>
      <c r="D220" t="s">
        <v>42</v>
      </c>
      <c r="E220" s="2">
        <v>8.32</v>
      </c>
      <c r="F220" s="2">
        <f>MAX(E220-IF(D220="S",BagMasses!$B$12,IF(D220="M",BagMasses!$C$12,IF(D220="L",BagMasses!$D$12,IF(D220="SM",BagMasses!$E$12,IF(D220="E",BagMasses!$F$12))))),0)</f>
        <v>1.7870000000000008</v>
      </c>
    </row>
    <row r="221" spans="1:6" x14ac:dyDescent="0.3">
      <c r="A221" t="s">
        <v>82</v>
      </c>
      <c r="B221" t="s">
        <v>24</v>
      </c>
      <c r="C221" t="s">
        <v>29</v>
      </c>
      <c r="D221" t="s">
        <v>42</v>
      </c>
      <c r="E221" s="2">
        <v>7.28</v>
      </c>
      <c r="F221" s="2">
        <f>MAX(E221-IF(D221="S",BagMasses!$B$12,IF(D221="M",BagMasses!$C$12,IF(D221="L",BagMasses!$D$12,IF(D221="SM",BagMasses!$E$12,IF(D221="E",BagMasses!$F$12))))),0)</f>
        <v>0.74700000000000077</v>
      </c>
    </row>
    <row r="222" spans="1:6" x14ac:dyDescent="0.3">
      <c r="A222" t="s">
        <v>82</v>
      </c>
      <c r="B222" t="s">
        <v>17</v>
      </c>
      <c r="C222" t="s">
        <v>15</v>
      </c>
      <c r="D222" t="s">
        <v>44</v>
      </c>
      <c r="E222" s="2">
        <v>138.28</v>
      </c>
      <c r="F222" s="2">
        <f>MAX(E222-IF(D222="S",BagMasses!$B$12,IF(D222="M",BagMasses!$C$12,IF(D222="L",BagMasses!$D$12,IF(D222="SM",BagMasses!$E$12,IF(D222="E",BagMasses!$F$12))))),0)</f>
        <v>111.86199999999999</v>
      </c>
    </row>
    <row r="223" spans="1:6" x14ac:dyDescent="0.3">
      <c r="A223" t="s">
        <v>82</v>
      </c>
      <c r="B223" t="s">
        <v>17</v>
      </c>
      <c r="C223" t="s">
        <v>8</v>
      </c>
      <c r="D223" t="s">
        <v>44</v>
      </c>
      <c r="E223" s="2">
        <v>38.14</v>
      </c>
      <c r="F223" s="2">
        <f>MAX(E223-IF(D223="S",BagMasses!$B$12,IF(D223="M",BagMasses!$C$12,IF(D223="L",BagMasses!$D$12,IF(D223="SM",BagMasses!$E$12,IF(D223="E",BagMasses!$F$12))))),0)</f>
        <v>11.722000000000001</v>
      </c>
    </row>
    <row r="224" spans="1:6" x14ac:dyDescent="0.3">
      <c r="A224" t="s">
        <v>82</v>
      </c>
      <c r="B224" t="s">
        <v>17</v>
      </c>
      <c r="C224" t="s">
        <v>29</v>
      </c>
      <c r="D224" t="s">
        <v>42</v>
      </c>
      <c r="E224" s="2">
        <v>8.81</v>
      </c>
      <c r="F224" s="2">
        <f>MAX(E224-IF(D224="S",BagMasses!$B$12,IF(D224="M",BagMasses!$C$12,IF(D224="L",BagMasses!$D$12,IF(D224="SM",BagMasses!$E$12,IF(D224="E",BagMasses!$F$12))))),0)</f>
        <v>2.277000000000001</v>
      </c>
    </row>
    <row r="225" spans="1:7" x14ac:dyDescent="0.3">
      <c r="A225" t="s">
        <v>82</v>
      </c>
      <c r="B225" t="s">
        <v>14</v>
      </c>
      <c r="C225" t="s">
        <v>13</v>
      </c>
      <c r="D225" t="s">
        <v>44</v>
      </c>
      <c r="E225" s="2">
        <v>30.9</v>
      </c>
      <c r="F225" s="2">
        <f>MAX(E225-IF(D225="S",BagMasses!$B$12,IF(D225="M",BagMasses!$C$12,IF(D225="L",BagMasses!$D$12,IF(D225="SM",BagMasses!$E$12,IF(D225="E",BagMasses!$F$12))))),0)</f>
        <v>4.4819999999999993</v>
      </c>
    </row>
    <row r="226" spans="1:7" x14ac:dyDescent="0.3">
      <c r="A226" t="s">
        <v>82</v>
      </c>
      <c r="B226" t="s">
        <v>14</v>
      </c>
      <c r="C226" t="s">
        <v>15</v>
      </c>
      <c r="D226" t="s">
        <v>63</v>
      </c>
      <c r="E226" s="2">
        <v>105.2</v>
      </c>
      <c r="F226" s="2">
        <f>MAX(E226-IF(D226="S",BagMasses!$B$12,IF(D226="M",BagMasses!$C$12,IF(D226="L",BagMasses!$D$12,IF(D226="SM",BagMasses!$E$12,IF(D226="E",BagMasses!$F$12))))),0)</f>
        <v>93.913333333333341</v>
      </c>
    </row>
    <row r="227" spans="1:7" x14ac:dyDescent="0.3">
      <c r="A227" t="s">
        <v>82</v>
      </c>
      <c r="B227" t="s">
        <v>14</v>
      </c>
      <c r="C227" t="s">
        <v>8</v>
      </c>
      <c r="D227" t="s">
        <v>42</v>
      </c>
      <c r="E227" s="2">
        <v>7.33</v>
      </c>
      <c r="F227" s="2">
        <f>MAX(E227-IF(D227="S",BagMasses!$B$12,IF(D227="M",BagMasses!$C$12,IF(D227="L",BagMasses!$D$12,IF(D227="SM",BagMasses!$E$12,IF(D227="E",BagMasses!$F$12))))),0)</f>
        <v>0.7970000000000006</v>
      </c>
    </row>
    <row r="228" spans="1:7" x14ac:dyDescent="0.3">
      <c r="A228" t="s">
        <v>82</v>
      </c>
      <c r="B228" t="s">
        <v>14</v>
      </c>
      <c r="C228" t="s">
        <v>29</v>
      </c>
      <c r="D228" t="s">
        <v>63</v>
      </c>
      <c r="E228" s="2">
        <v>21.82</v>
      </c>
      <c r="F228" s="2">
        <f>MAX(E228-IF(D228="S",BagMasses!$B$12,IF(D228="M",BagMasses!$C$12,IF(D228="L",BagMasses!$D$12,IF(D228="SM",BagMasses!$E$12,IF(D228="E",BagMasses!$F$12))))),0)</f>
        <v>10.533333333333333</v>
      </c>
    </row>
    <row r="229" spans="1:7" x14ac:dyDescent="0.3">
      <c r="A229" t="s">
        <v>82</v>
      </c>
      <c r="B229" t="s">
        <v>11</v>
      </c>
      <c r="C229" t="s">
        <v>13</v>
      </c>
      <c r="D229" t="s">
        <v>61</v>
      </c>
      <c r="E229" s="2">
        <v>111.82</v>
      </c>
      <c r="F229" s="2">
        <f>MAX(E229-IF(D229="S",BagMasses!$B$12,IF(D229="M",BagMasses!$C$12,IF(D229="L",BagMasses!$D$12,IF(D229="SM",BagMasses!$E$12,IF(D229="E",BagMasses!$F$12))))),0)</f>
        <v>44.216666666666654</v>
      </c>
    </row>
    <row r="230" spans="1:7" x14ac:dyDescent="0.3">
      <c r="A230" t="s">
        <v>82</v>
      </c>
      <c r="B230" t="s">
        <v>11</v>
      </c>
      <c r="C230" t="s">
        <v>15</v>
      </c>
      <c r="D230" t="s">
        <v>63</v>
      </c>
      <c r="E230" s="2">
        <v>69.849999999999994</v>
      </c>
      <c r="F230" s="2">
        <f>MAX(E230-IF(D230="S",BagMasses!$B$12,IF(D230="M",BagMasses!$C$12,IF(D230="L",BagMasses!$D$12,IF(D230="SM",BagMasses!$E$12,IF(D230="E",BagMasses!$F$12))))),0)</f>
        <v>58.563333333333325</v>
      </c>
    </row>
    <row r="231" spans="1:7" x14ac:dyDescent="0.3">
      <c r="A231" t="s">
        <v>82</v>
      </c>
      <c r="B231" t="s">
        <v>7</v>
      </c>
      <c r="C231" t="s">
        <v>13</v>
      </c>
      <c r="D231" t="s">
        <v>42</v>
      </c>
      <c r="E231" s="2">
        <v>8.69</v>
      </c>
      <c r="F231" s="2">
        <f>MAX(E231-IF(D231="S",BagMasses!$B$12,IF(D231="M",BagMasses!$C$12,IF(D231="L",BagMasses!$D$12,IF(D231="SM",BagMasses!$E$12,IF(D231="E",BagMasses!$F$12))))),0)</f>
        <v>2.157</v>
      </c>
    </row>
    <row r="232" spans="1:7" x14ac:dyDescent="0.3">
      <c r="A232" t="s">
        <v>82</v>
      </c>
      <c r="B232" t="s">
        <v>7</v>
      </c>
      <c r="C232" t="s">
        <v>15</v>
      </c>
      <c r="D232" t="s">
        <v>61</v>
      </c>
      <c r="E232" s="2">
        <v>132.44</v>
      </c>
      <c r="F232" s="2">
        <f>MAX(E232-IF(D232="S",BagMasses!$B$12,IF(D232="M",BagMasses!$C$12,IF(D232="L",BagMasses!$D$12,IF(D232="SM",BagMasses!$E$12,IF(D232="E",BagMasses!$F$12))))),0)</f>
        <v>64.836666666666659</v>
      </c>
    </row>
    <row r="233" spans="1:7" x14ac:dyDescent="0.3">
      <c r="A233" t="s">
        <v>82</v>
      </c>
      <c r="B233" t="s">
        <v>7</v>
      </c>
      <c r="C233" t="s">
        <v>8</v>
      </c>
      <c r="D233" t="s">
        <v>42</v>
      </c>
      <c r="E233" s="2">
        <v>21.57</v>
      </c>
      <c r="F233" s="2">
        <f>MAX(E233-IF(D233="S",BagMasses!$B$12,IF(D233="M",BagMasses!$C$12,IF(D233="L",BagMasses!$D$12,IF(D233="SM",BagMasses!$E$12,IF(D233="E",BagMasses!$F$12))))),0)</f>
        <v>15.037000000000001</v>
      </c>
    </row>
    <row r="234" spans="1:7" x14ac:dyDescent="0.3">
      <c r="A234" t="s">
        <v>82</v>
      </c>
      <c r="B234" t="s">
        <v>7</v>
      </c>
      <c r="C234" t="s">
        <v>8</v>
      </c>
      <c r="D234" t="s">
        <v>42</v>
      </c>
      <c r="E234" s="2">
        <v>51.56</v>
      </c>
      <c r="F234" s="2">
        <f>MAX(E234-IF(D234="S",BagMasses!$B$12,IF(D234="M",BagMasses!$C$12,IF(D234="L",BagMasses!$D$12,IF(D234="SM",BagMasses!$E$12,IF(D234="E",BagMasses!$F$12))))),0)</f>
        <v>45.027000000000001</v>
      </c>
    </row>
    <row r="235" spans="1:7" x14ac:dyDescent="0.3">
      <c r="A235" t="s">
        <v>62</v>
      </c>
      <c r="B235" t="s">
        <v>24</v>
      </c>
      <c r="C235" t="s">
        <v>15</v>
      </c>
      <c r="D235" t="s">
        <v>61</v>
      </c>
      <c r="E235" s="2">
        <v>240.33</v>
      </c>
      <c r="F235" s="2">
        <f>MAX(E235-IF(D235="S",BagMasses!$B$12,IF(D235="M",BagMasses!$C$12,IF(D235="L",BagMasses!$D$12,IF(D235="SM",BagMasses!$E$12,IF(D235="E",BagMasses!$F$12))))),0)</f>
        <v>172.72666666666669</v>
      </c>
    </row>
    <row r="236" spans="1:7" x14ac:dyDescent="0.3">
      <c r="A236" t="s">
        <v>62</v>
      </c>
      <c r="B236" t="s">
        <v>24</v>
      </c>
      <c r="C236" t="s">
        <v>8</v>
      </c>
      <c r="D236" t="s">
        <v>63</v>
      </c>
      <c r="E236" s="2">
        <v>35.92</v>
      </c>
      <c r="F236" s="2">
        <f>MAX(E236-IF(D236="S",BagMasses!$B$12,IF(D236="M",BagMasses!$C$12,IF(D236="L",BagMasses!$D$12,IF(D236="SM",BagMasses!$E$12,IF(D236="E",BagMasses!$F$12))))),0)</f>
        <v>24.633333333333333</v>
      </c>
    </row>
    <row r="237" spans="1:7" x14ac:dyDescent="0.3">
      <c r="A237" t="s">
        <v>62</v>
      </c>
      <c r="B237" t="s">
        <v>17</v>
      </c>
      <c r="C237" t="s">
        <v>15</v>
      </c>
      <c r="D237" t="s">
        <v>63</v>
      </c>
      <c r="E237" s="2">
        <v>123.36</v>
      </c>
      <c r="F237" s="2">
        <f>MAX(E237-IF(D237="S",BagMasses!$B$12,IF(D237="M",BagMasses!$C$12,IF(D237="L",BagMasses!$D$12,IF(D237="SM",BagMasses!$E$12,IF(D237="E",BagMasses!$F$12))))),0)</f>
        <v>112.07333333333334</v>
      </c>
    </row>
    <row r="238" spans="1:7" x14ac:dyDescent="0.3">
      <c r="A238" t="s">
        <v>62</v>
      </c>
      <c r="B238" t="s">
        <v>17</v>
      </c>
      <c r="C238" t="s">
        <v>8</v>
      </c>
      <c r="D238" t="s">
        <v>63</v>
      </c>
      <c r="E238" s="2">
        <v>32.58</v>
      </c>
      <c r="F238" s="2">
        <f>MAX(E238-IF(D238="S",BagMasses!$B$12,IF(D238="M",BagMasses!$C$12,IF(D238="L",BagMasses!$D$12,IF(D238="SM",BagMasses!$E$12,IF(D238="E",BagMasses!$F$12))))),0)</f>
        <v>21.293333333333329</v>
      </c>
      <c r="G238" t="s">
        <v>88</v>
      </c>
    </row>
    <row r="239" spans="1:7" x14ac:dyDescent="0.3">
      <c r="A239" t="s">
        <v>62</v>
      </c>
      <c r="B239" t="s">
        <v>17</v>
      </c>
      <c r="C239" t="s">
        <v>33</v>
      </c>
      <c r="D239" t="s">
        <v>67</v>
      </c>
      <c r="E239" s="2">
        <v>2.93</v>
      </c>
      <c r="F239" s="2">
        <f>MAX(E239-IF(D239="S",BagMasses!$B$12,IF(D239="M",BagMasses!$C$12,IF(D239="L",BagMasses!$D$12,IF(D239="SM",BagMasses!$E$12,IF(D239="E",BagMasses!$F$12))))),0)</f>
        <v>0</v>
      </c>
    </row>
    <row r="240" spans="1:7" x14ac:dyDescent="0.3">
      <c r="A240" t="s">
        <v>62</v>
      </c>
      <c r="B240" t="s">
        <v>14</v>
      </c>
      <c r="C240" t="s">
        <v>13</v>
      </c>
      <c r="D240" t="s">
        <v>61</v>
      </c>
      <c r="E240" s="2">
        <v>108.71</v>
      </c>
      <c r="F240" s="2">
        <f>MAX(E240-IF(D240="S",BagMasses!$B$12,IF(D240="M",BagMasses!$C$12,IF(D240="L",BagMasses!$D$12,IF(D240="SM",BagMasses!$E$12,IF(D240="E",BagMasses!$F$12))))),0)</f>
        <v>41.106666666666655</v>
      </c>
    </row>
    <row r="241" spans="1:6" x14ac:dyDescent="0.3">
      <c r="A241" t="s">
        <v>62</v>
      </c>
      <c r="B241" t="s">
        <v>14</v>
      </c>
      <c r="C241" t="s">
        <v>13</v>
      </c>
      <c r="D241" t="s">
        <v>42</v>
      </c>
      <c r="E241" s="2">
        <v>17.170000000000002</v>
      </c>
      <c r="F241" s="2">
        <f>MAX(E241-IF(D241="S",BagMasses!$B$12,IF(D241="M",BagMasses!$C$12,IF(D241="L",BagMasses!$D$12,IF(D241="SM",BagMasses!$E$12,IF(D241="E",BagMasses!$F$12))))),0)</f>
        <v>10.637000000000002</v>
      </c>
    </row>
    <row r="242" spans="1:6" x14ac:dyDescent="0.3">
      <c r="A242" t="s">
        <v>62</v>
      </c>
      <c r="B242" t="s">
        <v>14</v>
      </c>
      <c r="C242" t="s">
        <v>15</v>
      </c>
      <c r="D242" t="s">
        <v>61</v>
      </c>
      <c r="E242" s="2">
        <v>154.63</v>
      </c>
      <c r="F242" s="2">
        <f>MAX(E242-IF(D242="S",BagMasses!$B$12,IF(D242="M",BagMasses!$C$12,IF(D242="L",BagMasses!$D$12,IF(D242="SM",BagMasses!$E$12,IF(D242="E",BagMasses!$F$12))))),0)</f>
        <v>87.026666666666657</v>
      </c>
    </row>
    <row r="243" spans="1:6" x14ac:dyDescent="0.3">
      <c r="A243" t="s">
        <v>62</v>
      </c>
      <c r="B243" t="s">
        <v>14</v>
      </c>
      <c r="C243" t="s">
        <v>8</v>
      </c>
      <c r="D243" t="s">
        <v>42</v>
      </c>
      <c r="E243" s="2">
        <v>7.77</v>
      </c>
      <c r="F243" s="2">
        <f>MAX(E243-IF(D243="S",BagMasses!$B$12,IF(D243="M",BagMasses!$C$12,IF(D243="L",BagMasses!$D$12,IF(D243="SM",BagMasses!$E$12,IF(D243="E",BagMasses!$F$12))))),0)</f>
        <v>1.2370000000000001</v>
      </c>
    </row>
    <row r="244" spans="1:6" x14ac:dyDescent="0.3">
      <c r="A244" t="s">
        <v>62</v>
      </c>
      <c r="B244" t="s">
        <v>11</v>
      </c>
      <c r="C244" t="s">
        <v>79</v>
      </c>
      <c r="D244" t="s">
        <v>63</v>
      </c>
      <c r="E244" s="2">
        <v>19.600000000000001</v>
      </c>
      <c r="F244" s="2">
        <f>MAX(E244-IF(D244="S",BagMasses!$B$12,IF(D244="M",BagMasses!$C$12,IF(D244="L",BagMasses!$D$12,IF(D244="SM",BagMasses!$E$12,IF(D244="E",BagMasses!$F$12))))),0)</f>
        <v>8.3133333333333344</v>
      </c>
    </row>
    <row r="245" spans="1:6" x14ac:dyDescent="0.3">
      <c r="A245" t="s">
        <v>62</v>
      </c>
      <c r="B245" t="s">
        <v>11</v>
      </c>
      <c r="C245" t="s">
        <v>13</v>
      </c>
      <c r="D245" t="s">
        <v>63</v>
      </c>
      <c r="E245" s="2">
        <v>25.1</v>
      </c>
      <c r="F245" s="2">
        <f>MAX(E245-IF(D245="S",BagMasses!$B$12,IF(D245="M",BagMasses!$C$12,IF(D245="L",BagMasses!$D$12,IF(D245="SM",BagMasses!$E$12,IF(D245="E",BagMasses!$F$12))))),0)</f>
        <v>13.813333333333334</v>
      </c>
    </row>
    <row r="246" spans="1:6" x14ac:dyDescent="0.3">
      <c r="A246" t="s">
        <v>62</v>
      </c>
      <c r="B246" t="s">
        <v>11</v>
      </c>
      <c r="C246" t="s">
        <v>15</v>
      </c>
      <c r="D246" t="s">
        <v>63</v>
      </c>
      <c r="E246" s="2">
        <v>86.32</v>
      </c>
      <c r="F246" s="2">
        <f>MAX(E246-IF(D246="S",BagMasses!$B$12,IF(D246="M",BagMasses!$C$12,IF(D246="L",BagMasses!$D$12,IF(D246="SM",BagMasses!$E$12,IF(D246="E",BagMasses!$F$12))))),0)</f>
        <v>75.033333333333331</v>
      </c>
    </row>
    <row r="247" spans="1:6" x14ac:dyDescent="0.3">
      <c r="A247" t="s">
        <v>62</v>
      </c>
      <c r="B247" t="s">
        <v>11</v>
      </c>
      <c r="C247" t="s">
        <v>80</v>
      </c>
      <c r="D247" t="s">
        <v>63</v>
      </c>
      <c r="E247" s="2">
        <v>27.05</v>
      </c>
      <c r="F247" s="2">
        <f>MAX(E247-IF(D247="S",BagMasses!$B$12,IF(D247="M",BagMasses!$C$12,IF(D247="L",BagMasses!$D$12,IF(D247="SM",BagMasses!$E$12,IF(D247="E",BagMasses!$F$12))))),0)</f>
        <v>15.763333333333334</v>
      </c>
    </row>
    <row r="248" spans="1:6" x14ac:dyDescent="0.3">
      <c r="A248" t="s">
        <v>62</v>
      </c>
      <c r="B248" t="s">
        <v>7</v>
      </c>
      <c r="C248" t="s">
        <v>15</v>
      </c>
      <c r="D248" t="s">
        <v>63</v>
      </c>
      <c r="E248" s="2">
        <v>78.8</v>
      </c>
      <c r="F248" s="2">
        <f>MAX(E248-IF(D248="S",BagMasses!$B$12,IF(D248="M",BagMasses!$C$12,IF(D248="L",BagMasses!$D$12,IF(D248="SM",BagMasses!$E$12,IF(D248="E",BagMasses!$F$12))))),0)</f>
        <v>67.513333333333335</v>
      </c>
    </row>
    <row r="249" spans="1:6" x14ac:dyDescent="0.3">
      <c r="A249" t="s">
        <v>62</v>
      </c>
      <c r="B249" t="s">
        <v>7</v>
      </c>
      <c r="C249" t="s">
        <v>80</v>
      </c>
      <c r="D249" t="s">
        <v>63</v>
      </c>
      <c r="E249" s="2">
        <v>33.590000000000003</v>
      </c>
      <c r="F249" s="2">
        <f>MAX(E249-IF(D249="S",BagMasses!$B$12,IF(D249="M",BagMasses!$C$12,IF(D249="L",BagMasses!$D$12,IF(D249="SM",BagMasses!$E$12,IF(D249="E",BagMasses!$F$12))))),0)</f>
        <v>22.303333333333335</v>
      </c>
    </row>
    <row r="250" spans="1:6" x14ac:dyDescent="0.3">
      <c r="A250" t="s">
        <v>62</v>
      </c>
      <c r="B250" t="s">
        <v>7</v>
      </c>
      <c r="C250" t="s">
        <v>8</v>
      </c>
      <c r="D250" t="s">
        <v>42</v>
      </c>
      <c r="E250" s="2">
        <v>7.75</v>
      </c>
      <c r="F250" s="2">
        <f>MAX(E250-IF(D250="S",BagMasses!$B$12,IF(D250="M",BagMasses!$C$12,IF(D250="L",BagMasses!$D$12,IF(D250="SM",BagMasses!$E$12,IF(D250="E",BagMasses!$F$12))))),0)</f>
        <v>1.2170000000000005</v>
      </c>
    </row>
    <row r="251" spans="1:6" x14ac:dyDescent="0.3">
      <c r="A251" t="s">
        <v>62</v>
      </c>
      <c r="B251" t="s">
        <v>7</v>
      </c>
      <c r="C251" t="s">
        <v>29</v>
      </c>
      <c r="D251" t="s">
        <v>63</v>
      </c>
      <c r="E251" s="2">
        <v>18.18</v>
      </c>
      <c r="F251" s="2">
        <f>MAX(E251-IF(D251="S",BagMasses!$B$12,IF(D251="M",BagMasses!$C$12,IF(D251="L",BagMasses!$D$12,IF(D251="SM",BagMasses!$E$12,IF(D251="E",BagMasses!$F$12))))),0)</f>
        <v>6.8933333333333326</v>
      </c>
    </row>
    <row r="252" spans="1:6" x14ac:dyDescent="0.3">
      <c r="A252" t="s">
        <v>62</v>
      </c>
      <c r="B252" t="s">
        <v>7</v>
      </c>
      <c r="C252" t="s">
        <v>83</v>
      </c>
      <c r="D252" t="s">
        <v>42</v>
      </c>
      <c r="E252" s="2">
        <v>6.61</v>
      </c>
      <c r="F252" s="2">
        <f>MAX(E252-IF(D252="S",BagMasses!$B$12,IF(D252="M",BagMasses!$C$12,IF(D252="L",BagMasses!$D$12,IF(D252="SM",BagMasses!$E$12,IF(D252="E",BagMasses!$F$12))))),0)</f>
        <v>7.7000000000000846E-2</v>
      </c>
    </row>
    <row r="253" spans="1:6" x14ac:dyDescent="0.3">
      <c r="A253" t="s">
        <v>48</v>
      </c>
      <c r="B253" t="s">
        <v>24</v>
      </c>
      <c r="C253" t="s">
        <v>15</v>
      </c>
      <c r="D253" t="s">
        <v>42</v>
      </c>
      <c r="E253" s="2">
        <v>15.7</v>
      </c>
      <c r="F253" s="2">
        <f>MAX(E253-IF(D253="S",BagMasses!$B$12,IF(D253="M",BagMasses!$C$12,IF(D253="L",BagMasses!$D$12,IF(D253="SM",BagMasses!$E$12,IF(D253="E",BagMasses!$F$12))))),0)</f>
        <v>9.1669999999999998</v>
      </c>
    </row>
    <row r="254" spans="1:6" x14ac:dyDescent="0.3">
      <c r="A254" t="s">
        <v>48</v>
      </c>
      <c r="B254" t="s">
        <v>24</v>
      </c>
      <c r="C254" t="s">
        <v>33</v>
      </c>
      <c r="D254" t="s">
        <v>44</v>
      </c>
      <c r="E254" s="2">
        <v>33.090000000000003</v>
      </c>
      <c r="F254" s="2">
        <f>MAX(E254-IF(D254="S",BagMasses!$B$12,IF(D254="M",BagMasses!$C$12,IF(D254="L",BagMasses!$D$12,IF(D254="SM",BagMasses!$E$12,IF(D254="E",BagMasses!$F$12))))),0)</f>
        <v>6.6720000000000041</v>
      </c>
    </row>
    <row r="255" spans="1:6" x14ac:dyDescent="0.3">
      <c r="A255" t="s">
        <v>48</v>
      </c>
      <c r="B255" t="s">
        <v>24</v>
      </c>
      <c r="C255" t="s">
        <v>29</v>
      </c>
      <c r="D255" t="s">
        <v>42</v>
      </c>
      <c r="E255" s="2">
        <v>7.27</v>
      </c>
      <c r="F255" s="2">
        <f>MAX(E255-IF(D255="S",BagMasses!$B$12,IF(D255="M",BagMasses!$C$12,IF(D255="L",BagMasses!$D$12,IF(D255="SM",BagMasses!$E$12,IF(D255="E",BagMasses!$F$12))))),0)</f>
        <v>0.7370000000000001</v>
      </c>
    </row>
    <row r="256" spans="1:6" x14ac:dyDescent="0.3">
      <c r="A256" t="s">
        <v>48</v>
      </c>
      <c r="B256" t="s">
        <v>24</v>
      </c>
      <c r="C256" t="s">
        <v>50</v>
      </c>
      <c r="D256" t="s">
        <v>42</v>
      </c>
      <c r="E256" s="2">
        <v>6.79</v>
      </c>
      <c r="F256" s="2">
        <f>MAX(E256-IF(D256="S",BagMasses!$B$12,IF(D256="M",BagMasses!$C$12,IF(D256="L",BagMasses!$D$12,IF(D256="SM",BagMasses!$E$12,IF(D256="E",BagMasses!$F$12))))),0)</f>
        <v>0.25700000000000056</v>
      </c>
    </row>
    <row r="257" spans="1:6" x14ac:dyDescent="0.3">
      <c r="A257" t="s">
        <v>48</v>
      </c>
      <c r="B257" t="s">
        <v>24</v>
      </c>
      <c r="C257" t="s">
        <v>49</v>
      </c>
      <c r="D257" t="s">
        <v>42</v>
      </c>
      <c r="E257" s="2">
        <v>7.22</v>
      </c>
      <c r="F257" s="2">
        <f>MAX(E257-IF(D257="S",BagMasses!$B$12,IF(D257="M",BagMasses!$C$12,IF(D257="L",BagMasses!$D$12,IF(D257="SM",BagMasses!$E$12,IF(D257="E",BagMasses!$F$12))))),0)</f>
        <v>0.68700000000000028</v>
      </c>
    </row>
    <row r="258" spans="1:6" x14ac:dyDescent="0.3">
      <c r="A258" t="s">
        <v>48</v>
      </c>
      <c r="B258" t="s">
        <v>17</v>
      </c>
      <c r="C258" t="s">
        <v>56</v>
      </c>
      <c r="D258" t="s">
        <v>42</v>
      </c>
      <c r="E258" s="2">
        <v>11.19</v>
      </c>
      <c r="F258" s="2">
        <f>MAX(E258-IF(D258="S",BagMasses!$B$12,IF(D258="M",BagMasses!$C$12,IF(D258="L",BagMasses!$D$12,IF(D258="SM",BagMasses!$E$12,IF(D258="E",BagMasses!$F$12))))),0)</f>
        <v>4.657</v>
      </c>
    </row>
    <row r="259" spans="1:6" x14ac:dyDescent="0.3">
      <c r="A259" t="s">
        <v>48</v>
      </c>
      <c r="B259" t="s">
        <v>17</v>
      </c>
      <c r="C259" t="s">
        <v>15</v>
      </c>
      <c r="D259" t="s">
        <v>42</v>
      </c>
      <c r="E259" s="2">
        <v>23.09</v>
      </c>
      <c r="F259" s="2">
        <f>MAX(E259-IF(D259="S",BagMasses!$B$12,IF(D259="M",BagMasses!$C$12,IF(D259="L",BagMasses!$D$12,IF(D259="SM",BagMasses!$E$12,IF(D259="E",BagMasses!$F$12))))),0)</f>
        <v>16.557000000000002</v>
      </c>
    </row>
    <row r="260" spans="1:6" x14ac:dyDescent="0.3">
      <c r="A260" t="s">
        <v>48</v>
      </c>
      <c r="B260" t="s">
        <v>17</v>
      </c>
      <c r="C260" t="s">
        <v>57</v>
      </c>
      <c r="D260" t="s">
        <v>44</v>
      </c>
      <c r="E260" s="2">
        <v>65.569999999999993</v>
      </c>
      <c r="F260" s="2">
        <f>MAX(E260-IF(D260="S",BagMasses!$B$12,IF(D260="M",BagMasses!$C$12,IF(D260="L",BagMasses!$D$12,IF(D260="SM",BagMasses!$E$12,IF(D260="E",BagMasses!$F$12))))),0)</f>
        <v>39.151999999999994</v>
      </c>
    </row>
    <row r="261" spans="1:6" x14ac:dyDescent="0.3">
      <c r="A261" t="s">
        <v>48</v>
      </c>
      <c r="B261" t="s">
        <v>17</v>
      </c>
      <c r="C261" t="s">
        <v>29</v>
      </c>
      <c r="D261" t="s">
        <v>42</v>
      </c>
      <c r="E261" s="2">
        <v>11.76</v>
      </c>
      <c r="F261" s="2">
        <f>MAX(E261-IF(D261="S",BagMasses!$B$12,IF(D261="M",BagMasses!$C$12,IF(D261="L",BagMasses!$D$12,IF(D261="SM",BagMasses!$E$12,IF(D261="E",BagMasses!$F$12))))),0)</f>
        <v>5.2270000000000003</v>
      </c>
    </row>
    <row r="262" spans="1:6" x14ac:dyDescent="0.3">
      <c r="A262" t="s">
        <v>48</v>
      </c>
      <c r="B262" t="s">
        <v>14</v>
      </c>
      <c r="C262" t="s">
        <v>52</v>
      </c>
      <c r="D262" t="s">
        <v>42</v>
      </c>
      <c r="E262" s="2">
        <v>6.24</v>
      </c>
      <c r="F262" s="2">
        <f>MAX(E262-IF(D262="S",BagMasses!$B$12,IF(D262="M",BagMasses!$C$12,IF(D262="L",BagMasses!$D$12,IF(D262="SM",BagMasses!$E$12,IF(D262="E",BagMasses!$F$12))))),0)</f>
        <v>0</v>
      </c>
    </row>
    <row r="263" spans="1:6" x14ac:dyDescent="0.3">
      <c r="A263" t="s">
        <v>48</v>
      </c>
      <c r="B263" t="s">
        <v>14</v>
      </c>
      <c r="C263" t="s">
        <v>15</v>
      </c>
      <c r="D263" t="s">
        <v>42</v>
      </c>
      <c r="E263" s="2">
        <v>16.98</v>
      </c>
      <c r="F263" s="2">
        <f>MAX(E263-IF(D263="S",BagMasses!$B$12,IF(D263="M",BagMasses!$C$12,IF(D263="L",BagMasses!$D$12,IF(D263="SM",BagMasses!$E$12,IF(D263="E",BagMasses!$F$12))))),0)</f>
        <v>10.447000000000001</v>
      </c>
    </row>
    <row r="264" spans="1:6" x14ac:dyDescent="0.3">
      <c r="A264" t="s">
        <v>48</v>
      </c>
      <c r="B264" t="s">
        <v>14</v>
      </c>
      <c r="C264" t="s">
        <v>49</v>
      </c>
      <c r="D264" t="s">
        <v>42</v>
      </c>
      <c r="E264" s="2">
        <v>6.41</v>
      </c>
      <c r="F264" s="2">
        <f>MAX(E264-IF(D264="S",BagMasses!$B$12,IF(D264="M",BagMasses!$C$12,IF(D264="L",BagMasses!$D$12,IF(D264="SM",BagMasses!$E$12,IF(D264="E",BagMasses!$F$12))))),0)</f>
        <v>0</v>
      </c>
    </row>
    <row r="265" spans="1:6" x14ac:dyDescent="0.3">
      <c r="A265" t="s">
        <v>48</v>
      </c>
      <c r="B265" t="s">
        <v>14</v>
      </c>
      <c r="C265" t="s">
        <v>18</v>
      </c>
      <c r="D265" t="s">
        <v>44</v>
      </c>
      <c r="E265" s="2">
        <v>77.540000000000006</v>
      </c>
      <c r="F265" s="2">
        <f>MAX(E265-IF(D265="S",BagMasses!$B$12,IF(D265="M",BagMasses!$C$12,IF(D265="L",BagMasses!$D$12,IF(D265="SM",BagMasses!$E$12,IF(D265="E",BagMasses!$F$12))))),0)</f>
        <v>51.122000000000007</v>
      </c>
    </row>
    <row r="266" spans="1:6" x14ac:dyDescent="0.3">
      <c r="A266" t="s">
        <v>48</v>
      </c>
      <c r="B266" t="s">
        <v>11</v>
      </c>
      <c r="C266" t="s">
        <v>15</v>
      </c>
      <c r="D266" t="s">
        <v>44</v>
      </c>
      <c r="E266" s="2">
        <v>265.91000000000003</v>
      </c>
      <c r="F266" s="2">
        <f>MAX(E266-IF(D266="S",BagMasses!$B$12,IF(D266="M",BagMasses!$C$12,IF(D266="L",BagMasses!$D$12,IF(D266="SM",BagMasses!$E$12,IF(D266="E",BagMasses!$F$12))))),0)</f>
        <v>239.49200000000002</v>
      </c>
    </row>
    <row r="267" spans="1:6" x14ac:dyDescent="0.3">
      <c r="A267" t="s">
        <v>48</v>
      </c>
      <c r="B267" t="s">
        <v>11</v>
      </c>
      <c r="C267" t="s">
        <v>30</v>
      </c>
      <c r="D267" t="s">
        <v>42</v>
      </c>
      <c r="E267" s="2">
        <v>6.31</v>
      </c>
      <c r="F267" s="2">
        <f>MAX(E267-IF(D267="S",BagMasses!$B$12,IF(D267="M",BagMasses!$C$12,IF(D267="L",BagMasses!$D$12,IF(D267="SM",BagMasses!$E$12,IF(D267="E",BagMasses!$F$12))))),0)</f>
        <v>0</v>
      </c>
    </row>
    <row r="268" spans="1:6" x14ac:dyDescent="0.3">
      <c r="A268" t="s">
        <v>48</v>
      </c>
      <c r="B268" t="s">
        <v>11</v>
      </c>
      <c r="C268" t="s">
        <v>71</v>
      </c>
      <c r="D268" t="s">
        <v>42</v>
      </c>
      <c r="E268" s="2">
        <v>6.33</v>
      </c>
      <c r="F268" s="2">
        <f>MAX(E268-IF(D268="S",BagMasses!$B$12,IF(D268="M",BagMasses!$C$12,IF(D268="L",BagMasses!$D$12,IF(D268="SM",BagMasses!$E$12,IF(D268="E",BagMasses!$F$12))))),0)</f>
        <v>0</v>
      </c>
    </row>
    <row r="269" spans="1:6" x14ac:dyDescent="0.3">
      <c r="A269" t="s">
        <v>48</v>
      </c>
      <c r="B269" t="s">
        <v>7</v>
      </c>
      <c r="C269" t="s">
        <v>15</v>
      </c>
      <c r="D269" t="s">
        <v>44</v>
      </c>
      <c r="E269" s="2">
        <v>642.26</v>
      </c>
      <c r="F269" s="2">
        <f>MAX(E269-IF(D269="S",BagMasses!$B$12,IF(D269="M",BagMasses!$C$12,IF(D269="L",BagMasses!$D$12,IF(D269="SM",BagMasses!$E$12,IF(D269="E",BagMasses!$F$12))))),0)</f>
        <v>615.84199999999998</v>
      </c>
    </row>
    <row r="270" spans="1:6" x14ac:dyDescent="0.3">
      <c r="A270" t="s">
        <v>27</v>
      </c>
      <c r="B270" t="s">
        <v>24</v>
      </c>
      <c r="C270" t="s">
        <v>46</v>
      </c>
      <c r="D270" t="s">
        <v>42</v>
      </c>
      <c r="E270" s="2">
        <v>13.86</v>
      </c>
      <c r="F270" s="2">
        <f>MAX(E270-IF(D270="S",BagMasses!$B$12,IF(D270="M",BagMasses!$C$12,IF(D270="L",BagMasses!$D$12,IF(D270="SM",BagMasses!$E$12,IF(D270="E",BagMasses!$F$12))))),0)</f>
        <v>7.327</v>
      </c>
    </row>
    <row r="271" spans="1:6" x14ac:dyDescent="0.3">
      <c r="A271" t="s">
        <v>27</v>
      </c>
      <c r="B271" t="s">
        <v>24</v>
      </c>
      <c r="C271" t="s">
        <v>15</v>
      </c>
      <c r="D271" t="s">
        <v>42</v>
      </c>
      <c r="E271" s="2">
        <v>32.54</v>
      </c>
      <c r="F271" s="2">
        <f>MAX(E271-IF(D271="S",BagMasses!$B$12,IF(D271="M",BagMasses!$C$12,IF(D271="L",BagMasses!$D$12,IF(D271="SM",BagMasses!$E$12,IF(D271="E",BagMasses!$F$12))))),0)</f>
        <v>26.006999999999998</v>
      </c>
    </row>
    <row r="272" spans="1:6" x14ac:dyDescent="0.3">
      <c r="A272" t="s">
        <v>27</v>
      </c>
      <c r="B272" t="s">
        <v>24</v>
      </c>
      <c r="C272" t="s">
        <v>33</v>
      </c>
      <c r="D272" t="s">
        <v>42</v>
      </c>
      <c r="E272" s="2">
        <v>6.53</v>
      </c>
      <c r="F272" s="2">
        <f>MAX(E272-IF(D272="S",BagMasses!$B$12,IF(D272="M",BagMasses!$C$12,IF(D272="L",BagMasses!$D$12,IF(D272="SM",BagMasses!$E$12,IF(D272="E",BagMasses!$F$12))))),0)</f>
        <v>0</v>
      </c>
    </row>
    <row r="273" spans="1:6" x14ac:dyDescent="0.3">
      <c r="A273" t="s">
        <v>27</v>
      </c>
      <c r="B273" t="s">
        <v>24</v>
      </c>
      <c r="C273" t="s">
        <v>29</v>
      </c>
      <c r="D273" t="s">
        <v>42</v>
      </c>
      <c r="E273" s="2">
        <v>7.54</v>
      </c>
      <c r="F273" s="2">
        <f>MAX(E273-IF(D273="S",BagMasses!$B$12,IF(D273="M",BagMasses!$C$12,IF(D273="L",BagMasses!$D$12,IF(D273="SM",BagMasses!$E$12,IF(D273="E",BagMasses!$F$12))))),0)</f>
        <v>1.0070000000000006</v>
      </c>
    </row>
    <row r="274" spans="1:6" x14ac:dyDescent="0.3">
      <c r="A274" t="s">
        <v>27</v>
      </c>
      <c r="B274" t="s">
        <v>24</v>
      </c>
      <c r="C274" t="s">
        <v>35</v>
      </c>
      <c r="D274" t="s">
        <v>42</v>
      </c>
      <c r="E274" s="2">
        <v>6.87</v>
      </c>
      <c r="F274" s="2">
        <f>MAX(E274-IF(D274="S",BagMasses!$B$12,IF(D274="M",BagMasses!$C$12,IF(D274="L",BagMasses!$D$12,IF(D274="SM",BagMasses!$E$12,IF(D274="E",BagMasses!$F$12))))),0)</f>
        <v>0.33700000000000063</v>
      </c>
    </row>
    <row r="275" spans="1:6" x14ac:dyDescent="0.3">
      <c r="A275" t="s">
        <v>27</v>
      </c>
      <c r="B275" t="s">
        <v>17</v>
      </c>
      <c r="C275" t="s">
        <v>53</v>
      </c>
      <c r="D275" t="s">
        <v>42</v>
      </c>
      <c r="E275" s="2">
        <v>6.29</v>
      </c>
      <c r="F275" s="2">
        <f>MAX(E275-IF(D275="S",BagMasses!$B$12,IF(D275="M",BagMasses!$C$12,IF(D275="L",BagMasses!$D$12,IF(D275="SM",BagMasses!$E$12,IF(D275="E",BagMasses!$F$12))))),0)</f>
        <v>0</v>
      </c>
    </row>
    <row r="276" spans="1:6" x14ac:dyDescent="0.3">
      <c r="A276" t="s">
        <v>27</v>
      </c>
      <c r="B276" t="s">
        <v>17</v>
      </c>
      <c r="C276" t="s">
        <v>54</v>
      </c>
      <c r="D276" t="s">
        <v>42</v>
      </c>
      <c r="E276" s="2">
        <v>12.59</v>
      </c>
      <c r="F276" s="2">
        <f>MAX(E276-IF(D276="S",BagMasses!$B$12,IF(D276="M",BagMasses!$C$12,IF(D276="L",BagMasses!$D$12,IF(D276="SM",BagMasses!$E$12,IF(D276="E",BagMasses!$F$12))))),0)</f>
        <v>6.0570000000000004</v>
      </c>
    </row>
    <row r="277" spans="1:6" x14ac:dyDescent="0.3">
      <c r="A277" t="s">
        <v>27</v>
      </c>
      <c r="B277" t="s">
        <v>17</v>
      </c>
      <c r="C277" t="s">
        <v>46</v>
      </c>
      <c r="D277" t="s">
        <v>42</v>
      </c>
      <c r="E277" s="2">
        <v>9.09</v>
      </c>
      <c r="F277" s="2">
        <f>MAX(E277-IF(D277="S",BagMasses!$B$12,IF(D277="M",BagMasses!$C$12,IF(D277="L",BagMasses!$D$12,IF(D277="SM",BagMasses!$E$12,IF(D277="E",BagMasses!$F$12))))),0)</f>
        <v>2.5570000000000004</v>
      </c>
    </row>
    <row r="278" spans="1:6" x14ac:dyDescent="0.3">
      <c r="A278" t="s">
        <v>27</v>
      </c>
      <c r="B278" t="s">
        <v>17</v>
      </c>
      <c r="C278" t="s">
        <v>55</v>
      </c>
      <c r="D278" t="s">
        <v>42</v>
      </c>
      <c r="E278" s="2">
        <v>7.77</v>
      </c>
      <c r="F278" s="2">
        <f>MAX(E278-IF(D278="S",BagMasses!$B$12,IF(D278="M",BagMasses!$C$12,IF(D278="L",BagMasses!$D$12,IF(D278="SM",BagMasses!$E$12,IF(D278="E",BagMasses!$F$12))))),0)</f>
        <v>1.2370000000000001</v>
      </c>
    </row>
    <row r="279" spans="1:6" x14ac:dyDescent="0.3">
      <c r="A279" t="s">
        <v>27</v>
      </c>
      <c r="B279" t="s">
        <v>17</v>
      </c>
      <c r="C279" t="s">
        <v>15</v>
      </c>
      <c r="D279" t="s">
        <v>44</v>
      </c>
      <c r="E279" s="2">
        <v>136.63</v>
      </c>
      <c r="F279" s="2">
        <f>MAX(E279-IF(D279="S",BagMasses!$B$12,IF(D279="M",BagMasses!$C$12,IF(D279="L",BagMasses!$D$12,IF(D279="SM",BagMasses!$E$12,IF(D279="E",BagMasses!$F$12))))),0)</f>
        <v>110.21199999999999</v>
      </c>
    </row>
    <row r="280" spans="1:6" x14ac:dyDescent="0.3">
      <c r="A280" t="s">
        <v>27</v>
      </c>
      <c r="B280" t="s">
        <v>17</v>
      </c>
      <c r="C280" t="s">
        <v>47</v>
      </c>
      <c r="D280" t="s">
        <v>42</v>
      </c>
      <c r="E280" s="2">
        <v>6.98</v>
      </c>
      <c r="F280" s="2">
        <f>MAX(E280-IF(D280="S",BagMasses!$B$12,IF(D280="M",BagMasses!$C$12,IF(D280="L",BagMasses!$D$12,IF(D280="SM",BagMasses!$E$12,IF(D280="E",BagMasses!$F$12))))),0)</f>
        <v>0.44700000000000095</v>
      </c>
    </row>
    <row r="281" spans="1:6" x14ac:dyDescent="0.3">
      <c r="A281" t="s">
        <v>27</v>
      </c>
      <c r="B281" t="s">
        <v>17</v>
      </c>
      <c r="C281" t="s">
        <v>33</v>
      </c>
      <c r="D281" t="s">
        <v>42</v>
      </c>
      <c r="E281" s="2">
        <v>24.84</v>
      </c>
      <c r="F281" s="2">
        <f>MAX(E281-IF(D281="S",BagMasses!$B$12,IF(D281="M",BagMasses!$C$12,IF(D281="L",BagMasses!$D$12,IF(D281="SM",BagMasses!$E$12,IF(D281="E",BagMasses!$F$12))))),0)</f>
        <v>18.307000000000002</v>
      </c>
    </row>
    <row r="282" spans="1:6" x14ac:dyDescent="0.3">
      <c r="A282" t="s">
        <v>27</v>
      </c>
      <c r="B282" t="s">
        <v>17</v>
      </c>
      <c r="C282" t="s">
        <v>29</v>
      </c>
      <c r="D282" t="s">
        <v>42</v>
      </c>
      <c r="E282" s="2">
        <v>8.82</v>
      </c>
      <c r="F282" s="2">
        <f>MAX(E282-IF(D282="S",BagMasses!$B$12,IF(D282="M",BagMasses!$C$12,IF(D282="L",BagMasses!$D$12,IF(D282="SM",BagMasses!$E$12,IF(D282="E",BagMasses!$F$12))))),0)</f>
        <v>2.2870000000000008</v>
      </c>
    </row>
    <row r="283" spans="1:6" x14ac:dyDescent="0.3">
      <c r="A283" t="s">
        <v>27</v>
      </c>
      <c r="B283" t="s">
        <v>14</v>
      </c>
      <c r="C283" t="s">
        <v>46</v>
      </c>
      <c r="D283" t="s">
        <v>42</v>
      </c>
      <c r="E283" s="2">
        <v>25.86</v>
      </c>
      <c r="F283" s="2">
        <f>MAX(E283-IF(D283="S",BagMasses!$B$12,IF(D283="M",BagMasses!$C$12,IF(D283="L",BagMasses!$D$12,IF(D283="SM",BagMasses!$E$12,IF(D283="E",BagMasses!$F$12))))),0)</f>
        <v>19.326999999999998</v>
      </c>
    </row>
    <row r="284" spans="1:6" x14ac:dyDescent="0.3">
      <c r="A284" t="s">
        <v>27</v>
      </c>
      <c r="B284" t="s">
        <v>14</v>
      </c>
      <c r="C284" t="s">
        <v>15</v>
      </c>
      <c r="D284" t="s">
        <v>42</v>
      </c>
      <c r="E284" s="2">
        <v>24.8</v>
      </c>
      <c r="F284" s="2">
        <f>MAX(E284-IF(D284="S",BagMasses!$B$12,IF(D284="M",BagMasses!$C$12,IF(D284="L",BagMasses!$D$12,IF(D284="SM",BagMasses!$E$12,IF(D284="E",BagMasses!$F$12))))),0)</f>
        <v>18.267000000000003</v>
      </c>
    </row>
    <row r="285" spans="1:6" x14ac:dyDescent="0.3">
      <c r="A285" t="s">
        <v>27</v>
      </c>
      <c r="B285" t="s">
        <v>14</v>
      </c>
      <c r="C285" t="s">
        <v>47</v>
      </c>
      <c r="D285" t="s">
        <v>42</v>
      </c>
      <c r="E285" s="2">
        <v>20.3</v>
      </c>
      <c r="F285" s="2">
        <f>MAX(E285-IF(D285="S",BagMasses!$B$12,IF(D285="M",BagMasses!$C$12,IF(D285="L",BagMasses!$D$12,IF(D285="SM",BagMasses!$E$12,IF(D285="E",BagMasses!$F$12))))),0)</f>
        <v>13.767000000000001</v>
      </c>
    </row>
    <row r="286" spans="1:6" x14ac:dyDescent="0.3">
      <c r="A286" t="s">
        <v>27</v>
      </c>
      <c r="B286" t="s">
        <v>14</v>
      </c>
      <c r="C286" t="s">
        <v>33</v>
      </c>
      <c r="D286" t="s">
        <v>42</v>
      </c>
      <c r="E286" s="2">
        <v>11.07</v>
      </c>
      <c r="F286" s="2">
        <f>MAX(E286-IF(D286="S",BagMasses!$B$12,IF(D286="M",BagMasses!$C$12,IF(D286="L",BagMasses!$D$12,IF(D286="SM",BagMasses!$E$12,IF(D286="E",BagMasses!$F$12))))),0)</f>
        <v>4.5370000000000008</v>
      </c>
    </row>
    <row r="287" spans="1:6" x14ac:dyDescent="0.3">
      <c r="A287" t="s">
        <v>27</v>
      </c>
      <c r="B287" t="s">
        <v>14</v>
      </c>
      <c r="C287" t="s">
        <v>29</v>
      </c>
      <c r="D287" t="s">
        <v>42</v>
      </c>
      <c r="E287" s="2">
        <v>8.1999999999999993</v>
      </c>
      <c r="F287" s="2">
        <f>MAX(E287-IF(D287="S",BagMasses!$B$12,IF(D287="M",BagMasses!$C$12,IF(D287="L",BagMasses!$D$12,IF(D287="SM",BagMasses!$E$12,IF(D287="E",BagMasses!$F$12))))),0)</f>
        <v>1.6669999999999998</v>
      </c>
    </row>
    <row r="288" spans="1:6" x14ac:dyDescent="0.3">
      <c r="A288" t="s">
        <v>27</v>
      </c>
      <c r="B288" t="s">
        <v>14</v>
      </c>
      <c r="C288" t="s">
        <v>35</v>
      </c>
      <c r="D288" t="s">
        <v>42</v>
      </c>
      <c r="E288" s="2">
        <v>6.54</v>
      </c>
      <c r="F288" s="2">
        <f>MAX(E288-IF(D288="S",BagMasses!$B$12,IF(D288="M",BagMasses!$C$12,IF(D288="L",BagMasses!$D$12,IF(D288="SM",BagMasses!$E$12,IF(D288="E",BagMasses!$F$12))))),0)</f>
        <v>7.0000000000005613E-3</v>
      </c>
    </row>
    <row r="289" spans="1:6" x14ac:dyDescent="0.3">
      <c r="A289" t="s">
        <v>27</v>
      </c>
      <c r="B289" t="s">
        <v>11</v>
      </c>
      <c r="C289" t="s">
        <v>12</v>
      </c>
      <c r="D289" t="s">
        <v>42</v>
      </c>
      <c r="E289" s="2">
        <v>6.6</v>
      </c>
      <c r="F289" s="2">
        <f>MAX(E289-IF(D289="S",BagMasses!$B$12,IF(D289="M",BagMasses!$C$12,IF(D289="L",BagMasses!$D$12,IF(D289="SM",BagMasses!$E$12,IF(D289="E",BagMasses!$F$12))))),0)</f>
        <v>6.7000000000000171E-2</v>
      </c>
    </row>
    <row r="290" spans="1:6" x14ac:dyDescent="0.3">
      <c r="A290" t="s">
        <v>27</v>
      </c>
      <c r="B290" t="s">
        <v>11</v>
      </c>
      <c r="C290" t="s">
        <v>15</v>
      </c>
      <c r="D290" t="s">
        <v>44</v>
      </c>
      <c r="E290" s="2">
        <v>168.14</v>
      </c>
      <c r="F290" s="2">
        <f>MAX(E290-IF(D290="S",BagMasses!$B$12,IF(D290="M",BagMasses!$C$12,IF(D290="L",BagMasses!$D$12,IF(D290="SM",BagMasses!$E$12,IF(D290="E",BagMasses!$F$12))))),0)</f>
        <v>141.72199999999998</v>
      </c>
    </row>
    <row r="291" spans="1:6" x14ac:dyDescent="0.3">
      <c r="A291" t="s">
        <v>27</v>
      </c>
      <c r="B291" t="s">
        <v>11</v>
      </c>
      <c r="C291" t="s">
        <v>35</v>
      </c>
      <c r="D291" t="s">
        <v>42</v>
      </c>
      <c r="E291" s="2">
        <v>11.79</v>
      </c>
      <c r="F291" s="2">
        <f>MAX(E291-IF(D291="S",BagMasses!$B$12,IF(D291="M",BagMasses!$C$12,IF(D291="L",BagMasses!$D$12,IF(D291="SM",BagMasses!$E$12,IF(D291="E",BagMasses!$F$12))))),0)</f>
        <v>5.2569999999999997</v>
      </c>
    </row>
    <row r="292" spans="1:6" x14ac:dyDescent="0.3">
      <c r="A292" t="s">
        <v>27</v>
      </c>
      <c r="B292" t="s">
        <v>11</v>
      </c>
      <c r="C292" t="s">
        <v>41</v>
      </c>
      <c r="D292" t="s">
        <v>42</v>
      </c>
      <c r="E292" s="2">
        <v>7.89</v>
      </c>
      <c r="F292" s="2">
        <f>MAX(E292-IF(D292="S",BagMasses!$B$12,IF(D292="M",BagMasses!$C$12,IF(D292="L",BagMasses!$D$12,IF(D292="SM",BagMasses!$E$12,IF(D292="E",BagMasses!$F$12))))),0)</f>
        <v>1.3570000000000002</v>
      </c>
    </row>
    <row r="293" spans="1:6" x14ac:dyDescent="0.3">
      <c r="A293" t="s">
        <v>27</v>
      </c>
      <c r="B293" t="s">
        <v>7</v>
      </c>
      <c r="C293" t="s">
        <v>32</v>
      </c>
      <c r="D293" t="s">
        <v>42</v>
      </c>
      <c r="E293" s="2">
        <v>12.17</v>
      </c>
      <c r="F293" s="2">
        <f>MAX(E293-IF(D293="S",BagMasses!$B$12,IF(D293="M",BagMasses!$C$12,IF(D293="L",BagMasses!$D$12,IF(D293="SM",BagMasses!$E$12,IF(D293="E",BagMasses!$F$12))))),0)</f>
        <v>5.6370000000000005</v>
      </c>
    </row>
    <row r="294" spans="1:6" x14ac:dyDescent="0.3">
      <c r="A294" t="s">
        <v>27</v>
      </c>
      <c r="B294" t="s">
        <v>7</v>
      </c>
      <c r="C294" t="s">
        <v>15</v>
      </c>
      <c r="D294" t="s">
        <v>44</v>
      </c>
      <c r="E294" s="2">
        <v>283.04000000000002</v>
      </c>
      <c r="F294" s="2">
        <f>MAX(E294-IF(D294="S",BagMasses!$B$12,IF(D294="M",BagMasses!$C$12,IF(D294="L",BagMasses!$D$12,IF(D294="SM",BagMasses!$E$12,IF(D294="E",BagMasses!$F$12))))),0)</f>
        <v>256.62200000000001</v>
      </c>
    </row>
    <row r="295" spans="1:6" x14ac:dyDescent="0.3">
      <c r="A295" t="s">
        <v>27</v>
      </c>
      <c r="B295" t="s">
        <v>7</v>
      </c>
      <c r="C295" t="s">
        <v>29</v>
      </c>
      <c r="D295" t="s">
        <v>42</v>
      </c>
      <c r="E295" s="2">
        <v>19.71</v>
      </c>
      <c r="F295" s="2">
        <f>MAX(E295-IF(D295="S",BagMasses!$B$12,IF(D295="M",BagMasses!$C$12,IF(D295="L",BagMasses!$D$12,IF(D295="SM",BagMasses!$E$12,IF(D295="E",BagMasses!$F$12))))),0)</f>
        <v>13.177000000000001</v>
      </c>
    </row>
    <row r="296" spans="1:6" x14ac:dyDescent="0.3">
      <c r="A296" t="s">
        <v>28</v>
      </c>
      <c r="B296" t="s">
        <v>24</v>
      </c>
      <c r="C296" t="s">
        <v>46</v>
      </c>
      <c r="D296" t="s">
        <v>42</v>
      </c>
      <c r="E296" s="2">
        <v>22.74</v>
      </c>
      <c r="F296" s="2">
        <f>MAX(E296-IF(D296="S",BagMasses!$B$12,IF(D296="M",BagMasses!$C$12,IF(D296="L",BagMasses!$D$12,IF(D296="SM",BagMasses!$E$12,IF(D296="E",BagMasses!$F$12))))),0)</f>
        <v>16.207000000000001</v>
      </c>
    </row>
    <row r="297" spans="1:6" x14ac:dyDescent="0.3">
      <c r="A297" t="s">
        <v>28</v>
      </c>
      <c r="B297" t="s">
        <v>24</v>
      </c>
      <c r="C297" t="s">
        <v>15</v>
      </c>
      <c r="D297" t="s">
        <v>42</v>
      </c>
      <c r="E297" s="2">
        <v>30.45</v>
      </c>
      <c r="F297" s="2">
        <f>MAX(E297-IF(D297="S",BagMasses!$B$12,IF(D297="M",BagMasses!$C$12,IF(D297="L",BagMasses!$D$12,IF(D297="SM",BagMasses!$E$12,IF(D297="E",BagMasses!$F$12))))),0)</f>
        <v>23.917000000000002</v>
      </c>
    </row>
    <row r="298" spans="1:6" x14ac:dyDescent="0.3">
      <c r="A298" t="s">
        <v>28</v>
      </c>
      <c r="B298" t="s">
        <v>24</v>
      </c>
      <c r="C298" t="s">
        <v>47</v>
      </c>
      <c r="D298" t="s">
        <v>42</v>
      </c>
      <c r="E298" s="2">
        <v>7.22</v>
      </c>
      <c r="F298" s="2">
        <f>MAX(E298-IF(D298="S",BagMasses!$B$12,IF(D298="M",BagMasses!$C$12,IF(D298="L",BagMasses!$D$12,IF(D298="SM",BagMasses!$E$12,IF(D298="E",BagMasses!$F$12))))),0)</f>
        <v>0.68700000000000028</v>
      </c>
    </row>
    <row r="299" spans="1:6" x14ac:dyDescent="0.3">
      <c r="A299" t="s">
        <v>28</v>
      </c>
      <c r="B299" t="s">
        <v>24</v>
      </c>
      <c r="C299" t="s">
        <v>30</v>
      </c>
      <c r="D299" t="s">
        <v>42</v>
      </c>
      <c r="E299" s="2">
        <v>6.65</v>
      </c>
      <c r="F299" s="2">
        <f>MAX(E299-IF(D299="S",BagMasses!$B$12,IF(D299="M",BagMasses!$C$12,IF(D299="L",BagMasses!$D$12,IF(D299="SM",BagMasses!$E$12,IF(D299="E",BagMasses!$F$12))))),0)</f>
        <v>0.11700000000000088</v>
      </c>
    </row>
    <row r="300" spans="1:6" x14ac:dyDescent="0.3">
      <c r="A300" t="s">
        <v>28</v>
      </c>
      <c r="B300" t="s">
        <v>24</v>
      </c>
      <c r="C300" t="s">
        <v>33</v>
      </c>
      <c r="D300" t="s">
        <v>42</v>
      </c>
      <c r="E300" s="2">
        <v>6.51</v>
      </c>
      <c r="F300" s="2">
        <f>MAX(E300-IF(D300="S",BagMasses!$B$12,IF(D300="M",BagMasses!$C$12,IF(D300="L",BagMasses!$D$12,IF(D300="SM",BagMasses!$E$12,IF(D300="E",BagMasses!$F$12))))),0)</f>
        <v>0</v>
      </c>
    </row>
    <row r="301" spans="1:6" x14ac:dyDescent="0.3">
      <c r="A301" t="s">
        <v>28</v>
      </c>
      <c r="B301" t="s">
        <v>17</v>
      </c>
      <c r="C301" t="s">
        <v>15</v>
      </c>
      <c r="D301" t="s">
        <v>42</v>
      </c>
      <c r="E301" s="2">
        <v>76.06</v>
      </c>
      <c r="F301" s="2">
        <f>MAX(E301-IF(D301="S",BagMasses!$B$12,IF(D301="M",BagMasses!$C$12,IF(D301="L",BagMasses!$D$12,IF(D301="SM",BagMasses!$E$12,IF(D301="E",BagMasses!$F$12))))),0)</f>
        <v>69.527000000000001</v>
      </c>
    </row>
    <row r="302" spans="1:6" x14ac:dyDescent="0.3">
      <c r="A302" t="s">
        <v>28</v>
      </c>
      <c r="B302" t="s">
        <v>17</v>
      </c>
      <c r="C302" t="s">
        <v>80</v>
      </c>
      <c r="D302" t="s">
        <v>42</v>
      </c>
      <c r="E302" s="2">
        <v>6.75</v>
      </c>
      <c r="F302" s="2">
        <f>MAX(E302-IF(D302="S",BagMasses!$B$12,IF(D302="M",BagMasses!$C$12,IF(D302="L",BagMasses!$D$12,IF(D302="SM",BagMasses!$E$12,IF(D302="E",BagMasses!$F$12))))),0)</f>
        <v>0.21700000000000053</v>
      </c>
    </row>
    <row r="303" spans="1:6" x14ac:dyDescent="0.3">
      <c r="A303" t="s">
        <v>28</v>
      </c>
      <c r="B303" t="s">
        <v>14</v>
      </c>
      <c r="C303" t="s">
        <v>12</v>
      </c>
      <c r="D303" t="s">
        <v>42</v>
      </c>
      <c r="E303" s="2">
        <v>6.46</v>
      </c>
      <c r="F303" s="2">
        <f>MAX(E303-IF(D303="S",BagMasses!$B$12,IF(D303="M",BagMasses!$C$12,IF(D303="L",BagMasses!$D$12,IF(D303="SM",BagMasses!$E$12,IF(D303="E",BagMasses!$F$12))))),0)</f>
        <v>0</v>
      </c>
    </row>
    <row r="304" spans="1:6" x14ac:dyDescent="0.3">
      <c r="A304" t="s">
        <v>28</v>
      </c>
      <c r="B304" t="s">
        <v>14</v>
      </c>
      <c r="C304" t="s">
        <v>15</v>
      </c>
      <c r="D304" t="s">
        <v>42</v>
      </c>
      <c r="E304" s="2">
        <v>56.72</v>
      </c>
      <c r="F304" s="2">
        <f>MAX(E304-IF(D304="S",BagMasses!$B$12,IF(D304="M",BagMasses!$C$12,IF(D304="L",BagMasses!$D$12,IF(D304="SM",BagMasses!$E$12,IF(D304="E",BagMasses!$F$12))))),0)</f>
        <v>50.186999999999998</v>
      </c>
    </row>
    <row r="305" spans="1:6" x14ac:dyDescent="0.3">
      <c r="A305" t="s">
        <v>28</v>
      </c>
      <c r="B305" t="s">
        <v>11</v>
      </c>
      <c r="C305" t="s">
        <v>12</v>
      </c>
      <c r="D305" t="s">
        <v>42</v>
      </c>
      <c r="E305" s="2">
        <v>8.4600000000000009</v>
      </c>
      <c r="F305" s="2">
        <f>MAX(E305-IF(D305="S",BagMasses!$B$12,IF(D305="M",BagMasses!$C$12,IF(D305="L",BagMasses!$D$12,IF(D305="SM",BagMasses!$E$12,IF(D305="E",BagMasses!$F$12))))),0)</f>
        <v>1.9270000000000014</v>
      </c>
    </row>
    <row r="306" spans="1:6" x14ac:dyDescent="0.3">
      <c r="A306" t="s">
        <v>28</v>
      </c>
      <c r="B306" t="s">
        <v>11</v>
      </c>
      <c r="C306" t="s">
        <v>45</v>
      </c>
      <c r="D306" t="s">
        <v>42</v>
      </c>
      <c r="E306" s="2">
        <v>7.2</v>
      </c>
      <c r="F306" s="2">
        <f>MAX(E306-IF(D306="S",BagMasses!$B$12,IF(D306="M",BagMasses!$C$12,IF(D306="L",BagMasses!$D$12,IF(D306="SM",BagMasses!$E$12,IF(D306="E",BagMasses!$F$12))))),0)</f>
        <v>0.6670000000000007</v>
      </c>
    </row>
    <row r="307" spans="1:6" x14ac:dyDescent="0.3">
      <c r="A307" t="s">
        <v>28</v>
      </c>
      <c r="B307" t="s">
        <v>11</v>
      </c>
      <c r="C307" t="s">
        <v>15</v>
      </c>
      <c r="D307" t="s">
        <v>42</v>
      </c>
      <c r="E307" s="2">
        <v>31.94</v>
      </c>
      <c r="F307" s="2">
        <f>MAX(E307-IF(D307="S",BagMasses!$B$12,IF(D307="M",BagMasses!$C$12,IF(D307="L",BagMasses!$D$12,IF(D307="SM",BagMasses!$E$12,IF(D307="E",BagMasses!$F$12))))),0)</f>
        <v>25.407000000000004</v>
      </c>
    </row>
    <row r="308" spans="1:6" x14ac:dyDescent="0.3">
      <c r="A308" t="s">
        <v>28</v>
      </c>
      <c r="B308" t="s">
        <v>11</v>
      </c>
      <c r="C308" t="s">
        <v>43</v>
      </c>
      <c r="D308" t="s">
        <v>42</v>
      </c>
      <c r="E308" s="2">
        <v>9.4499999999999993</v>
      </c>
      <c r="F308" s="2">
        <f>MAX(E308-IF(D308="S",BagMasses!$B$12,IF(D308="M",BagMasses!$C$12,IF(D308="L",BagMasses!$D$12,IF(D308="SM",BagMasses!$E$12,IF(D308="E",BagMasses!$F$12))))),0)</f>
        <v>2.9169999999999998</v>
      </c>
    </row>
    <row r="309" spans="1:6" x14ac:dyDescent="0.3">
      <c r="A309" t="s">
        <v>28</v>
      </c>
      <c r="B309" t="s">
        <v>7</v>
      </c>
      <c r="C309" t="s">
        <v>46</v>
      </c>
      <c r="D309" t="s">
        <v>42</v>
      </c>
      <c r="E309" s="2">
        <v>34.92</v>
      </c>
      <c r="F309" s="2">
        <f>MAX(E309-IF(D309="S",BagMasses!$B$12,IF(D309="M",BagMasses!$C$12,IF(D309="L",BagMasses!$D$12,IF(D309="SM",BagMasses!$E$12,IF(D309="E",BagMasses!$F$12))))),0)</f>
        <v>28.387</v>
      </c>
    </row>
    <row r="310" spans="1:6" x14ac:dyDescent="0.3">
      <c r="A310" t="s">
        <v>28</v>
      </c>
      <c r="B310" t="s">
        <v>7</v>
      </c>
      <c r="C310" t="s">
        <v>15</v>
      </c>
      <c r="D310" t="s">
        <v>42</v>
      </c>
      <c r="E310" s="2">
        <v>28.16</v>
      </c>
      <c r="F310" s="2">
        <f>MAX(E310-IF(D310="S",BagMasses!$B$12,IF(D310="M",BagMasses!$C$12,IF(D310="L",BagMasses!$D$12,IF(D310="SM",BagMasses!$E$12,IF(D310="E",BagMasses!$F$12))))),0)</f>
        <v>21.627000000000002</v>
      </c>
    </row>
    <row r="311" spans="1:6" x14ac:dyDescent="0.3">
      <c r="A311" t="s">
        <v>28</v>
      </c>
      <c r="B311" t="s">
        <v>7</v>
      </c>
      <c r="C311" t="s">
        <v>43</v>
      </c>
      <c r="D311" t="s">
        <v>42</v>
      </c>
      <c r="E311" s="2">
        <v>7.01</v>
      </c>
      <c r="F311" s="2">
        <f>MAX(E311-IF(D311="S",BagMasses!$B$12,IF(D311="M",BagMasses!$C$12,IF(D311="L",BagMasses!$D$12,IF(D311="SM",BagMasses!$E$12,IF(D311="E",BagMasses!$F$12))))),0)</f>
        <v>0.47700000000000031</v>
      </c>
    </row>
  </sheetData>
  <sortState xmlns:xlrd2="http://schemas.microsoft.com/office/spreadsheetml/2017/richdata2" ref="A2:G311">
    <sortCondition ref="A2:A311"/>
    <sortCondition ref="B2:B311"/>
    <sortCondition ref="C2:C311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9C5A-0A58-4EA7-9478-7DDF5018D4FF}">
  <dimension ref="A1:F12"/>
  <sheetViews>
    <sheetView zoomScale="145" zoomScaleNormal="145" workbookViewId="0">
      <selection activeCell="A12" sqref="A12"/>
    </sheetView>
  </sheetViews>
  <sheetFormatPr defaultRowHeight="14.4" x14ac:dyDescent="0.3"/>
  <cols>
    <col min="2" max="2" width="16.5546875" customWidth="1"/>
    <col min="3" max="3" width="15.5546875" customWidth="1"/>
    <col min="4" max="4" width="17.5546875" customWidth="1"/>
    <col min="5" max="5" width="24.5546875" customWidth="1"/>
    <col min="6" max="6" width="17.33203125" customWidth="1"/>
  </cols>
  <sheetData>
    <row r="1" spans="1:6" x14ac:dyDescent="0.3">
      <c r="B1" t="s">
        <v>4</v>
      </c>
      <c r="C1" t="s">
        <v>5</v>
      </c>
      <c r="D1" t="s">
        <v>76</v>
      </c>
      <c r="E1" t="s">
        <v>75</v>
      </c>
      <c r="F1" t="s">
        <v>77</v>
      </c>
    </row>
    <row r="2" spans="1:6" x14ac:dyDescent="0.3">
      <c r="B2">
        <v>6.54</v>
      </c>
      <c r="C2">
        <v>26.54</v>
      </c>
      <c r="D2">
        <v>67.27</v>
      </c>
      <c r="E2" s="2">
        <v>11.2</v>
      </c>
      <c r="F2">
        <v>2.99</v>
      </c>
    </row>
    <row r="3" spans="1:6" x14ac:dyDescent="0.3">
      <c r="B3">
        <v>6.48</v>
      </c>
      <c r="C3" s="2">
        <v>26.5</v>
      </c>
      <c r="D3">
        <v>68.78</v>
      </c>
      <c r="E3">
        <v>11.32</v>
      </c>
      <c r="F3">
        <v>3.01</v>
      </c>
    </row>
    <row r="4" spans="1:6" x14ac:dyDescent="0.3">
      <c r="B4">
        <v>6.46</v>
      </c>
      <c r="C4" s="2">
        <v>26.41</v>
      </c>
      <c r="D4">
        <v>66.760000000000005</v>
      </c>
      <c r="E4">
        <v>11.34</v>
      </c>
      <c r="F4">
        <v>2.99</v>
      </c>
    </row>
    <row r="5" spans="1:6" x14ac:dyDescent="0.3">
      <c r="B5">
        <v>6.58</v>
      </c>
      <c r="C5">
        <v>26.58</v>
      </c>
    </row>
    <row r="6" spans="1:6" x14ac:dyDescent="0.3">
      <c r="B6">
        <v>6.54</v>
      </c>
      <c r="C6">
        <v>26.44</v>
      </c>
    </row>
    <row r="7" spans="1:6" x14ac:dyDescent="0.3">
      <c r="B7" s="2">
        <v>6.5</v>
      </c>
      <c r="C7">
        <v>26.32</v>
      </c>
    </row>
    <row r="8" spans="1:6" x14ac:dyDescent="0.3">
      <c r="B8">
        <v>6.61</v>
      </c>
      <c r="C8">
        <v>26.27</v>
      </c>
    </row>
    <row r="9" spans="1:6" x14ac:dyDescent="0.3">
      <c r="B9">
        <v>6.55</v>
      </c>
      <c r="C9" s="2">
        <v>26.53</v>
      </c>
    </row>
    <row r="10" spans="1:6" x14ac:dyDescent="0.3">
      <c r="B10">
        <v>6.48</v>
      </c>
      <c r="C10">
        <v>26.43</v>
      </c>
    </row>
    <row r="11" spans="1:6" x14ac:dyDescent="0.3">
      <c r="B11">
        <v>6.59</v>
      </c>
      <c r="C11">
        <v>26.16</v>
      </c>
    </row>
    <row r="12" spans="1:6" x14ac:dyDescent="0.3">
      <c r="A12" t="s">
        <v>3</v>
      </c>
      <c r="B12" s="2">
        <f>AVERAGE(B2:B11)</f>
        <v>6.5329999999999995</v>
      </c>
      <c r="C12" s="2">
        <f>AVERAGE(C2:C11)</f>
        <v>26.417999999999999</v>
      </c>
      <c r="D12" s="2">
        <f>AVERAGE(D2:D11)</f>
        <v>67.603333333333339</v>
      </c>
      <c r="E12" s="2">
        <f t="shared" ref="E12:F12" si="0">AVERAGE(E2:E11)</f>
        <v>11.286666666666667</v>
      </c>
      <c r="F12" s="2">
        <f t="shared" si="0"/>
        <v>2.9966666666666666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ActualBiomass</vt:lpstr>
      <vt:lpstr>ActualBiomass_Sorted</vt:lpstr>
      <vt:lpstr>MassWBag</vt:lpstr>
      <vt:lpstr>PrelimBiomass</vt:lpstr>
      <vt:lpstr>BagMasses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Marie Peterson</dc:creator>
  <cp:lastModifiedBy>Chelsea Marie Peterson</cp:lastModifiedBy>
  <dcterms:created xsi:type="dcterms:W3CDTF">2022-09-09T18:58:31Z</dcterms:created>
  <dcterms:modified xsi:type="dcterms:W3CDTF">2023-08-07T11:43:51Z</dcterms:modified>
</cp:coreProperties>
</file>