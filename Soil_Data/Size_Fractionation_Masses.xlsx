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llinoisedu-my.sharepoint.com/personal/cmptrsn2_illinois_edu/Documents/Ch1/SoilData/"/>
    </mc:Choice>
  </mc:AlternateContent>
  <xr:revisionPtr revIDLastSave="1356" documentId="8_{AC32B2A9-D66D-48F0-9AB8-624BE269FFEA}" xr6:coauthVersionLast="47" xr6:coauthVersionMax="47" xr10:uidLastSave="{9C3FC353-6200-4673-81C5-577D99F70576}"/>
  <bookViews>
    <workbookView xWindow="-23148" yWindow="1692" windowWidth="23256" windowHeight="12720" xr2:uid="{1BEF44DC-7AAC-4B7B-A31F-EC784A72C287}"/>
  </bookViews>
  <sheets>
    <sheet name="Samples" sheetId="1" r:id="rId1"/>
    <sheet name="Control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2" l="1"/>
  <c r="I12" i="2"/>
  <c r="L11" i="2"/>
  <c r="I11" i="2"/>
  <c r="G180" i="1"/>
  <c r="I175" i="1"/>
  <c r="I176" i="1"/>
  <c r="I177" i="1"/>
  <c r="I178" i="1"/>
  <c r="I179" i="1"/>
  <c r="I181" i="1"/>
  <c r="G174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G157" i="1"/>
  <c r="I156" i="1"/>
  <c r="I155" i="1"/>
  <c r="I154" i="1"/>
  <c r="I153" i="1"/>
  <c r="I152" i="1"/>
  <c r="L10" i="2"/>
  <c r="I10" i="2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L9" i="2"/>
  <c r="I9" i="2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L8" i="2"/>
  <c r="I8" i="2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L7" i="2"/>
  <c r="I7" i="2"/>
  <c r="I74" i="1"/>
  <c r="I66" i="1"/>
  <c r="L6" i="2"/>
  <c r="I6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40" i="1"/>
  <c r="I32" i="1"/>
  <c r="I33" i="1"/>
  <c r="I34" i="1"/>
  <c r="I35" i="1"/>
  <c r="I36" i="1"/>
  <c r="I37" i="1"/>
  <c r="I38" i="1"/>
  <c r="I39" i="1"/>
  <c r="I41" i="1"/>
  <c r="I42" i="1"/>
  <c r="I43" i="1"/>
  <c r="I44" i="1"/>
  <c r="I45" i="1"/>
  <c r="I46" i="1"/>
  <c r="I47" i="1"/>
  <c r="I48" i="1"/>
  <c r="I49" i="1"/>
  <c r="I50" i="1"/>
  <c r="I51" i="1"/>
  <c r="L5" i="2"/>
  <c r="I5" i="2"/>
  <c r="I52" i="1"/>
  <c r="I53" i="1"/>
  <c r="I54" i="1"/>
  <c r="I55" i="1"/>
  <c r="I56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77" i="1"/>
  <c r="L4" i="2"/>
  <c r="I4" i="2"/>
</calcChain>
</file>

<file path=xl/sharedStrings.xml><?xml version="1.0" encoding="utf-8"?>
<sst xmlns="http://schemas.openxmlformats.org/spreadsheetml/2006/main" count="582" uniqueCount="49">
  <si>
    <t>Plot</t>
  </si>
  <si>
    <t>Quadrat</t>
  </si>
  <si>
    <t>Bottle number</t>
  </si>
  <si>
    <t>Start mass (g)</t>
  </si>
  <si>
    <t>A1</t>
  </si>
  <si>
    <t>Q1</t>
  </si>
  <si>
    <t>Q2</t>
  </si>
  <si>
    <t>Q3</t>
  </si>
  <si>
    <t>Q4</t>
  </si>
  <si>
    <t>Q5</t>
  </si>
  <si>
    <t>A2</t>
  </si>
  <si>
    <t>A3</t>
  </si>
  <si>
    <t>B1</t>
  </si>
  <si>
    <t>B2</t>
  </si>
  <si>
    <t>D1</t>
  </si>
  <si>
    <t>B3</t>
  </si>
  <si>
    <t>C1</t>
  </si>
  <si>
    <t>C2</t>
  </si>
  <si>
    <t>C3</t>
  </si>
  <si>
    <t>D2</t>
  </si>
  <si>
    <t>D3</t>
  </si>
  <si>
    <t>E1</t>
  </si>
  <si>
    <t>E2</t>
  </si>
  <si>
    <t>E3</t>
  </si>
  <si>
    <t>R1</t>
  </si>
  <si>
    <t>R2</t>
  </si>
  <si>
    <t>R3</t>
  </si>
  <si>
    <t>Batch</t>
  </si>
  <si>
    <t>Start dry</t>
  </si>
  <si>
    <t>End dry</t>
  </si>
  <si>
    <t>Shake date</t>
  </si>
  <si>
    <t>Soak time</t>
  </si>
  <si>
    <t>Notes</t>
  </si>
  <si>
    <t>Accidently made two 10s and did not write 18</t>
  </si>
  <si>
    <t>Empty mesh mass (g)</t>
  </si>
  <si>
    <t>Control 1</t>
  </si>
  <si>
    <t>POM mass (g)</t>
  </si>
  <si>
    <t>Mesh mass (g)</t>
  </si>
  <si>
    <t>Control 2</t>
  </si>
  <si>
    <t>Mesh + POM mass (g)</t>
  </si>
  <si>
    <t>Dry POM mass (g)</t>
  </si>
  <si>
    <t>redo</t>
  </si>
  <si>
    <t>Rep</t>
  </si>
  <si>
    <t>A</t>
  </si>
  <si>
    <t>B</t>
  </si>
  <si>
    <t>Control bin</t>
  </si>
  <si>
    <t>Green</t>
  </si>
  <si>
    <t>May have poored some sand from 53 into 51</t>
  </si>
  <si>
    <t>Rinses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</si>
</sst>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CB389-8555-499D-987E-B0D697FCC368}">
  <dimension ref="A1:J181"/>
  <sheetViews>
    <sheetView tabSelected="1" topLeftCell="A161" zoomScaleNormal="100" workbookViewId="0">
      <selection activeCell="E182" sqref="E182"/>
    </sheetView>
  </sheetViews>
  <sheetFormatPr defaultRowHeight="14.4" x14ac:dyDescent="0.3"/>
  <cols>
    <col min="1" max="1" width="6.33203125" bestFit="1" customWidth="1"/>
    <col min="2" max="2" width="11" bestFit="1" customWidth="1"/>
    <col min="5" max="5" width="14" bestFit="1" customWidth="1"/>
    <col min="6" max="6" width="12.44140625" bestFit="1" customWidth="1"/>
    <col min="7" max="7" width="18.44140625" bestFit="1" customWidth="1"/>
    <col min="8" max="8" width="18.6640625" bestFit="1" customWidth="1"/>
    <col min="9" max="9" width="15.44140625" bestFit="1" customWidth="1"/>
  </cols>
  <sheetData>
    <row r="1" spans="1:10" x14ac:dyDescent="0.3">
      <c r="A1" s="1" t="s">
        <v>0</v>
      </c>
      <c r="B1" s="1" t="s">
        <v>1</v>
      </c>
      <c r="C1" s="1" t="s">
        <v>42</v>
      </c>
      <c r="D1" s="1" t="s">
        <v>27</v>
      </c>
      <c r="E1" s="1" t="s">
        <v>2</v>
      </c>
      <c r="F1" s="1" t="s">
        <v>3</v>
      </c>
      <c r="G1" s="1" t="s">
        <v>39</v>
      </c>
      <c r="H1" s="1" t="s">
        <v>34</v>
      </c>
      <c r="I1" s="1" t="s">
        <v>40</v>
      </c>
      <c r="J1" s="1" t="s">
        <v>32</v>
      </c>
    </row>
    <row r="2" spans="1:10" x14ac:dyDescent="0.3">
      <c r="A2" t="s">
        <v>4</v>
      </c>
      <c r="B2" t="s">
        <v>5</v>
      </c>
      <c r="C2" t="s">
        <v>43</v>
      </c>
      <c r="D2">
        <v>4</v>
      </c>
      <c r="E2">
        <v>287</v>
      </c>
      <c r="F2" s="2">
        <v>10</v>
      </c>
      <c r="G2">
        <v>3.17</v>
      </c>
      <c r="H2">
        <v>1.96</v>
      </c>
      <c r="I2">
        <f>G2-H2</f>
        <v>1.21</v>
      </c>
    </row>
    <row r="3" spans="1:10" x14ac:dyDescent="0.3">
      <c r="A3" t="s">
        <v>4</v>
      </c>
      <c r="B3" t="s">
        <v>6</v>
      </c>
      <c r="C3" t="s">
        <v>43</v>
      </c>
      <c r="D3">
        <v>4</v>
      </c>
      <c r="E3">
        <v>173</v>
      </c>
      <c r="F3" s="2">
        <v>10</v>
      </c>
      <c r="G3">
        <v>3.32</v>
      </c>
      <c r="H3">
        <v>2.38</v>
      </c>
      <c r="I3">
        <f t="shared" ref="I3:I31" si="0">G3-H3</f>
        <v>0.94</v>
      </c>
    </row>
    <row r="4" spans="1:10" x14ac:dyDescent="0.3">
      <c r="A4" t="s">
        <v>4</v>
      </c>
      <c r="B4" t="s">
        <v>7</v>
      </c>
      <c r="C4" t="s">
        <v>43</v>
      </c>
      <c r="D4">
        <v>4</v>
      </c>
      <c r="E4">
        <v>210</v>
      </c>
      <c r="F4" s="2">
        <v>10</v>
      </c>
      <c r="G4">
        <v>2.72</v>
      </c>
      <c r="H4">
        <v>2.06</v>
      </c>
      <c r="I4">
        <f t="shared" si="0"/>
        <v>0.66000000000000014</v>
      </c>
    </row>
    <row r="5" spans="1:10" x14ac:dyDescent="0.3">
      <c r="A5" t="s">
        <v>4</v>
      </c>
      <c r="B5" t="s">
        <v>8</v>
      </c>
      <c r="C5" t="s">
        <v>43</v>
      </c>
      <c r="D5">
        <v>5</v>
      </c>
      <c r="E5">
        <v>111</v>
      </c>
      <c r="F5" s="2">
        <v>10</v>
      </c>
      <c r="G5">
        <v>2.83</v>
      </c>
      <c r="H5">
        <v>2.08</v>
      </c>
      <c r="I5">
        <f t="shared" si="0"/>
        <v>0.75</v>
      </c>
    </row>
    <row r="6" spans="1:10" x14ac:dyDescent="0.3">
      <c r="A6" t="s">
        <v>4</v>
      </c>
      <c r="B6" t="s">
        <v>9</v>
      </c>
      <c r="C6" t="s">
        <v>43</v>
      </c>
      <c r="D6">
        <v>5</v>
      </c>
      <c r="E6">
        <v>310</v>
      </c>
      <c r="F6" s="2">
        <v>10</v>
      </c>
      <c r="G6">
        <v>3.73</v>
      </c>
      <c r="H6">
        <v>1.8</v>
      </c>
      <c r="I6">
        <f t="shared" si="0"/>
        <v>1.93</v>
      </c>
    </row>
    <row r="7" spans="1:10" x14ac:dyDescent="0.3">
      <c r="A7" t="s">
        <v>10</v>
      </c>
      <c r="B7" t="s">
        <v>5</v>
      </c>
      <c r="C7" t="s">
        <v>43</v>
      </c>
      <c r="D7">
        <v>4</v>
      </c>
      <c r="E7">
        <v>87</v>
      </c>
      <c r="F7" s="2">
        <v>10</v>
      </c>
      <c r="G7">
        <v>2.77</v>
      </c>
      <c r="H7">
        <v>1.98</v>
      </c>
      <c r="I7">
        <f t="shared" si="0"/>
        <v>0.79</v>
      </c>
    </row>
    <row r="8" spans="1:10" x14ac:dyDescent="0.3">
      <c r="A8" t="s">
        <v>10</v>
      </c>
      <c r="B8" t="s">
        <v>6</v>
      </c>
      <c r="C8" t="s">
        <v>43</v>
      </c>
      <c r="D8">
        <v>4</v>
      </c>
      <c r="E8">
        <v>196</v>
      </c>
      <c r="F8" s="2">
        <v>10</v>
      </c>
      <c r="G8">
        <v>5.01</v>
      </c>
      <c r="H8">
        <v>2.06</v>
      </c>
      <c r="I8">
        <f t="shared" si="0"/>
        <v>2.9499999999999997</v>
      </c>
    </row>
    <row r="9" spans="1:10" x14ac:dyDescent="0.3">
      <c r="A9" t="s">
        <v>10</v>
      </c>
      <c r="B9" t="s">
        <v>7</v>
      </c>
      <c r="C9" t="s">
        <v>43</v>
      </c>
      <c r="D9">
        <v>4</v>
      </c>
      <c r="E9">
        <v>46</v>
      </c>
      <c r="F9" s="2">
        <v>10</v>
      </c>
      <c r="G9">
        <v>2.94</v>
      </c>
      <c r="H9">
        <v>2.14</v>
      </c>
      <c r="I9">
        <f t="shared" si="0"/>
        <v>0.79999999999999982</v>
      </c>
    </row>
    <row r="10" spans="1:10" x14ac:dyDescent="0.3">
      <c r="A10" t="s">
        <v>10</v>
      </c>
      <c r="B10" t="s">
        <v>8</v>
      </c>
      <c r="C10" t="s">
        <v>43</v>
      </c>
      <c r="D10">
        <v>4</v>
      </c>
      <c r="E10">
        <v>52</v>
      </c>
      <c r="F10" s="2">
        <v>10</v>
      </c>
      <c r="G10">
        <v>2.87</v>
      </c>
      <c r="H10">
        <v>2.1</v>
      </c>
      <c r="I10">
        <f t="shared" si="0"/>
        <v>0.77</v>
      </c>
    </row>
    <row r="11" spans="1:10" x14ac:dyDescent="0.3">
      <c r="A11" t="s">
        <v>10</v>
      </c>
      <c r="B11" t="s">
        <v>9</v>
      </c>
      <c r="C11" t="s">
        <v>43</v>
      </c>
      <c r="D11">
        <v>4</v>
      </c>
      <c r="E11">
        <v>43</v>
      </c>
      <c r="F11" s="2">
        <v>10</v>
      </c>
      <c r="G11">
        <v>2.88</v>
      </c>
      <c r="H11">
        <v>1.97</v>
      </c>
      <c r="I11">
        <f t="shared" si="0"/>
        <v>0.90999999999999992</v>
      </c>
    </row>
    <row r="12" spans="1:10" x14ac:dyDescent="0.3">
      <c r="A12" t="s">
        <v>11</v>
      </c>
      <c r="B12" t="s">
        <v>5</v>
      </c>
      <c r="C12" t="s">
        <v>43</v>
      </c>
      <c r="D12">
        <v>4</v>
      </c>
      <c r="E12">
        <v>112</v>
      </c>
      <c r="F12" s="2">
        <v>10</v>
      </c>
      <c r="G12">
        <v>2.63</v>
      </c>
      <c r="H12">
        <v>2.0099999999999998</v>
      </c>
      <c r="I12">
        <f t="shared" si="0"/>
        <v>0.62000000000000011</v>
      </c>
    </row>
    <row r="13" spans="1:10" x14ac:dyDescent="0.3">
      <c r="A13" t="s">
        <v>11</v>
      </c>
      <c r="B13" t="s">
        <v>6</v>
      </c>
      <c r="C13" t="s">
        <v>43</v>
      </c>
      <c r="D13">
        <v>4</v>
      </c>
      <c r="E13">
        <v>84</v>
      </c>
      <c r="F13" s="2">
        <v>10</v>
      </c>
      <c r="G13">
        <v>2.2999999999999998</v>
      </c>
      <c r="H13">
        <v>2.0499999999999998</v>
      </c>
      <c r="I13">
        <f t="shared" si="0"/>
        <v>0.25</v>
      </c>
    </row>
    <row r="14" spans="1:10" x14ac:dyDescent="0.3">
      <c r="A14" t="s">
        <v>11</v>
      </c>
      <c r="B14" t="s">
        <v>7</v>
      </c>
      <c r="C14" t="s">
        <v>43</v>
      </c>
      <c r="D14">
        <v>5</v>
      </c>
      <c r="E14">
        <v>454</v>
      </c>
      <c r="F14" s="2">
        <v>10</v>
      </c>
      <c r="G14">
        <v>2.2799999999999998</v>
      </c>
      <c r="H14">
        <v>1.96</v>
      </c>
      <c r="I14">
        <f t="shared" si="0"/>
        <v>0.31999999999999984</v>
      </c>
    </row>
    <row r="15" spans="1:10" x14ac:dyDescent="0.3">
      <c r="A15" t="s">
        <v>11</v>
      </c>
      <c r="B15" t="s">
        <v>8</v>
      </c>
      <c r="C15" t="s">
        <v>43</v>
      </c>
      <c r="D15">
        <v>4</v>
      </c>
      <c r="E15">
        <v>238</v>
      </c>
      <c r="F15" s="2">
        <v>10</v>
      </c>
      <c r="G15">
        <v>2.82</v>
      </c>
      <c r="H15">
        <v>2.11</v>
      </c>
      <c r="I15">
        <f t="shared" si="0"/>
        <v>0.71</v>
      </c>
    </row>
    <row r="16" spans="1:10" x14ac:dyDescent="0.3">
      <c r="A16" t="s">
        <v>11</v>
      </c>
      <c r="B16" t="s">
        <v>9</v>
      </c>
      <c r="C16" t="s">
        <v>43</v>
      </c>
      <c r="D16">
        <v>4</v>
      </c>
      <c r="E16">
        <v>179</v>
      </c>
      <c r="F16" s="2">
        <v>10</v>
      </c>
      <c r="G16">
        <v>2.84</v>
      </c>
      <c r="H16">
        <v>2.0299999999999998</v>
      </c>
      <c r="I16">
        <f t="shared" si="0"/>
        <v>0.81</v>
      </c>
    </row>
    <row r="17" spans="1:9" x14ac:dyDescent="0.3">
      <c r="A17" t="s">
        <v>12</v>
      </c>
      <c r="B17" t="s">
        <v>5</v>
      </c>
      <c r="C17" t="s">
        <v>43</v>
      </c>
      <c r="D17">
        <v>4</v>
      </c>
      <c r="E17">
        <v>99</v>
      </c>
      <c r="F17" s="2">
        <v>10</v>
      </c>
      <c r="G17">
        <v>2.88</v>
      </c>
      <c r="H17">
        <v>2.0099999999999998</v>
      </c>
      <c r="I17">
        <f t="shared" si="0"/>
        <v>0.87000000000000011</v>
      </c>
    </row>
    <row r="18" spans="1:9" x14ac:dyDescent="0.3">
      <c r="A18" t="s">
        <v>12</v>
      </c>
      <c r="B18" t="s">
        <v>6</v>
      </c>
      <c r="C18" t="s">
        <v>43</v>
      </c>
      <c r="D18">
        <v>4</v>
      </c>
      <c r="E18">
        <v>268</v>
      </c>
      <c r="F18" s="2">
        <v>10</v>
      </c>
      <c r="G18">
        <v>3.27</v>
      </c>
      <c r="H18">
        <v>1.93</v>
      </c>
      <c r="I18">
        <f t="shared" si="0"/>
        <v>1.34</v>
      </c>
    </row>
    <row r="19" spans="1:9" x14ac:dyDescent="0.3">
      <c r="A19" t="s">
        <v>12</v>
      </c>
      <c r="B19" t="s">
        <v>7</v>
      </c>
      <c r="C19" t="s">
        <v>43</v>
      </c>
      <c r="D19">
        <v>4</v>
      </c>
      <c r="E19">
        <v>257</v>
      </c>
      <c r="F19" s="2">
        <v>10</v>
      </c>
      <c r="G19">
        <v>2.91</v>
      </c>
      <c r="H19">
        <v>1.94</v>
      </c>
      <c r="I19">
        <f t="shared" si="0"/>
        <v>0.9700000000000002</v>
      </c>
    </row>
    <row r="20" spans="1:9" x14ac:dyDescent="0.3">
      <c r="A20" t="s">
        <v>12</v>
      </c>
      <c r="B20" t="s">
        <v>8</v>
      </c>
      <c r="C20" t="s">
        <v>43</v>
      </c>
      <c r="D20">
        <v>4</v>
      </c>
      <c r="E20">
        <v>172</v>
      </c>
      <c r="F20" s="2">
        <v>10</v>
      </c>
      <c r="G20">
        <v>3.03</v>
      </c>
      <c r="H20">
        <v>2.0499999999999998</v>
      </c>
      <c r="I20">
        <f t="shared" si="0"/>
        <v>0.98</v>
      </c>
    </row>
    <row r="21" spans="1:9" x14ac:dyDescent="0.3">
      <c r="A21" t="s">
        <v>12</v>
      </c>
      <c r="B21" t="s">
        <v>9</v>
      </c>
      <c r="C21" t="s">
        <v>43</v>
      </c>
      <c r="D21">
        <v>4</v>
      </c>
      <c r="E21">
        <v>64</v>
      </c>
      <c r="F21" s="2">
        <v>10</v>
      </c>
      <c r="G21">
        <v>2.63</v>
      </c>
      <c r="H21">
        <v>2</v>
      </c>
      <c r="I21">
        <f t="shared" si="0"/>
        <v>0.62999999999999989</v>
      </c>
    </row>
    <row r="22" spans="1:9" x14ac:dyDescent="0.3">
      <c r="A22" t="s">
        <v>13</v>
      </c>
      <c r="B22" t="s">
        <v>5</v>
      </c>
      <c r="C22" t="s">
        <v>43</v>
      </c>
      <c r="D22">
        <v>5</v>
      </c>
      <c r="E22">
        <v>205</v>
      </c>
      <c r="F22" s="2">
        <v>10</v>
      </c>
      <c r="G22">
        <v>2.62</v>
      </c>
      <c r="H22">
        <v>1.98</v>
      </c>
      <c r="I22">
        <f t="shared" si="0"/>
        <v>0.64000000000000012</v>
      </c>
    </row>
    <row r="23" spans="1:9" x14ac:dyDescent="0.3">
      <c r="A23" t="s">
        <v>13</v>
      </c>
      <c r="B23" t="s">
        <v>6</v>
      </c>
      <c r="C23" t="s">
        <v>43</v>
      </c>
      <c r="D23">
        <v>4</v>
      </c>
      <c r="E23">
        <v>194</v>
      </c>
      <c r="F23" s="2">
        <v>10</v>
      </c>
      <c r="G23">
        <v>2.75</v>
      </c>
      <c r="H23">
        <v>2.0499999999999998</v>
      </c>
      <c r="I23">
        <f t="shared" si="0"/>
        <v>0.70000000000000018</v>
      </c>
    </row>
    <row r="24" spans="1:9" x14ac:dyDescent="0.3">
      <c r="A24" t="s">
        <v>13</v>
      </c>
      <c r="B24" t="s">
        <v>7</v>
      </c>
      <c r="C24" t="s">
        <v>43</v>
      </c>
      <c r="D24">
        <v>4</v>
      </c>
      <c r="E24">
        <v>199</v>
      </c>
      <c r="F24" s="2">
        <v>10</v>
      </c>
      <c r="G24">
        <v>2.31</v>
      </c>
      <c r="H24">
        <v>1.76</v>
      </c>
      <c r="I24">
        <f t="shared" si="0"/>
        <v>0.55000000000000004</v>
      </c>
    </row>
    <row r="25" spans="1:9" x14ac:dyDescent="0.3">
      <c r="A25" t="s">
        <v>13</v>
      </c>
      <c r="B25" t="s">
        <v>8</v>
      </c>
      <c r="C25" t="s">
        <v>43</v>
      </c>
      <c r="D25">
        <v>4</v>
      </c>
      <c r="E25">
        <v>122</v>
      </c>
      <c r="F25" s="2">
        <v>10</v>
      </c>
      <c r="G25">
        <v>2.75</v>
      </c>
      <c r="H25">
        <v>2.1</v>
      </c>
      <c r="I25">
        <f t="shared" si="0"/>
        <v>0.64999999999999991</v>
      </c>
    </row>
    <row r="26" spans="1:9" x14ac:dyDescent="0.3">
      <c r="A26" t="s">
        <v>13</v>
      </c>
      <c r="B26" t="s">
        <v>9</v>
      </c>
      <c r="C26" t="s">
        <v>43</v>
      </c>
      <c r="D26">
        <v>5</v>
      </c>
      <c r="E26">
        <v>89</v>
      </c>
      <c r="F26" s="2">
        <v>10</v>
      </c>
      <c r="G26">
        <v>2.59</v>
      </c>
      <c r="H26">
        <v>2.09</v>
      </c>
      <c r="I26">
        <f t="shared" si="0"/>
        <v>0.5</v>
      </c>
    </row>
    <row r="27" spans="1:9" x14ac:dyDescent="0.3">
      <c r="A27" t="s">
        <v>15</v>
      </c>
      <c r="B27" t="s">
        <v>5</v>
      </c>
      <c r="C27" t="s">
        <v>43</v>
      </c>
      <c r="D27">
        <v>5</v>
      </c>
      <c r="E27">
        <v>237</v>
      </c>
      <c r="F27" s="2">
        <v>10</v>
      </c>
      <c r="G27">
        <v>2.74</v>
      </c>
      <c r="H27">
        <v>2.0299999999999998</v>
      </c>
      <c r="I27">
        <f t="shared" si="0"/>
        <v>0.71000000000000041</v>
      </c>
    </row>
    <row r="28" spans="1:9" x14ac:dyDescent="0.3">
      <c r="A28" t="s">
        <v>15</v>
      </c>
      <c r="B28" t="s">
        <v>6</v>
      </c>
      <c r="C28" t="s">
        <v>43</v>
      </c>
      <c r="D28">
        <v>5</v>
      </c>
      <c r="E28">
        <v>405</v>
      </c>
      <c r="F28" s="2">
        <v>10</v>
      </c>
      <c r="G28">
        <v>3.19</v>
      </c>
      <c r="H28">
        <v>1.97</v>
      </c>
      <c r="I28">
        <f t="shared" si="0"/>
        <v>1.22</v>
      </c>
    </row>
    <row r="29" spans="1:9" x14ac:dyDescent="0.3">
      <c r="A29" t="s">
        <v>15</v>
      </c>
      <c r="B29" t="s">
        <v>7</v>
      </c>
      <c r="C29" t="s">
        <v>43</v>
      </c>
      <c r="D29">
        <v>5</v>
      </c>
      <c r="E29">
        <v>114</v>
      </c>
      <c r="F29" s="2">
        <v>10</v>
      </c>
      <c r="G29">
        <v>2.5299999999999998</v>
      </c>
      <c r="H29">
        <v>2.0099999999999998</v>
      </c>
      <c r="I29">
        <f t="shared" si="0"/>
        <v>0.52</v>
      </c>
    </row>
    <row r="30" spans="1:9" x14ac:dyDescent="0.3">
      <c r="A30" t="s">
        <v>15</v>
      </c>
      <c r="B30" t="s">
        <v>8</v>
      </c>
      <c r="C30" t="s">
        <v>43</v>
      </c>
      <c r="D30">
        <v>5</v>
      </c>
      <c r="E30">
        <v>59</v>
      </c>
      <c r="F30" s="2">
        <v>10</v>
      </c>
      <c r="G30">
        <v>2.7</v>
      </c>
      <c r="H30">
        <v>2.0699999999999998</v>
      </c>
      <c r="I30">
        <f t="shared" si="0"/>
        <v>0.63000000000000034</v>
      </c>
    </row>
    <row r="31" spans="1:9" x14ac:dyDescent="0.3">
      <c r="A31" t="s">
        <v>15</v>
      </c>
      <c r="B31" t="s">
        <v>9</v>
      </c>
      <c r="C31" t="s">
        <v>43</v>
      </c>
      <c r="D31">
        <v>5</v>
      </c>
      <c r="E31">
        <v>294</v>
      </c>
      <c r="F31" s="2">
        <v>10</v>
      </c>
      <c r="G31">
        <v>2.31</v>
      </c>
      <c r="H31">
        <v>2.02</v>
      </c>
      <c r="I31">
        <f t="shared" si="0"/>
        <v>0.29000000000000004</v>
      </c>
    </row>
    <row r="32" spans="1:9" x14ac:dyDescent="0.3">
      <c r="A32" t="s">
        <v>16</v>
      </c>
      <c r="B32" t="s">
        <v>5</v>
      </c>
      <c r="C32" t="s">
        <v>43</v>
      </c>
      <c r="D32">
        <v>3</v>
      </c>
      <c r="E32">
        <v>116</v>
      </c>
      <c r="F32" s="2">
        <v>10</v>
      </c>
      <c r="G32">
        <v>3.13</v>
      </c>
      <c r="H32">
        <v>1.95</v>
      </c>
      <c r="I32">
        <f t="shared" ref="I32:I42" si="1">G32-H32</f>
        <v>1.18</v>
      </c>
    </row>
    <row r="33" spans="1:9" x14ac:dyDescent="0.3">
      <c r="A33" t="s">
        <v>16</v>
      </c>
      <c r="B33" t="s">
        <v>6</v>
      </c>
      <c r="C33" t="s">
        <v>43</v>
      </c>
      <c r="D33">
        <v>3</v>
      </c>
      <c r="E33">
        <v>290</v>
      </c>
      <c r="F33" s="2">
        <v>10</v>
      </c>
      <c r="G33">
        <v>3.23</v>
      </c>
      <c r="H33">
        <v>1.95</v>
      </c>
      <c r="I33">
        <f t="shared" si="1"/>
        <v>1.28</v>
      </c>
    </row>
    <row r="34" spans="1:9" x14ac:dyDescent="0.3">
      <c r="A34" t="s">
        <v>16</v>
      </c>
      <c r="B34" t="s">
        <v>7</v>
      </c>
      <c r="C34" t="s">
        <v>43</v>
      </c>
      <c r="D34">
        <v>3</v>
      </c>
      <c r="E34">
        <v>541</v>
      </c>
      <c r="F34" s="2">
        <v>10</v>
      </c>
      <c r="G34">
        <v>2.9</v>
      </c>
      <c r="H34">
        <v>1.97</v>
      </c>
      <c r="I34">
        <f t="shared" si="1"/>
        <v>0.92999999999999994</v>
      </c>
    </row>
    <row r="35" spans="1:9" x14ac:dyDescent="0.3">
      <c r="A35" t="s">
        <v>16</v>
      </c>
      <c r="B35" t="s">
        <v>8</v>
      </c>
      <c r="C35" t="s">
        <v>43</v>
      </c>
      <c r="D35">
        <v>3</v>
      </c>
      <c r="E35">
        <v>105</v>
      </c>
      <c r="F35" s="2">
        <v>10</v>
      </c>
      <c r="G35">
        <v>2.42</v>
      </c>
      <c r="H35">
        <v>1.99</v>
      </c>
      <c r="I35">
        <f t="shared" si="1"/>
        <v>0.42999999999999994</v>
      </c>
    </row>
    <row r="36" spans="1:9" x14ac:dyDescent="0.3">
      <c r="A36" t="s">
        <v>16</v>
      </c>
      <c r="B36" t="s">
        <v>9</v>
      </c>
      <c r="C36" t="s">
        <v>43</v>
      </c>
      <c r="D36">
        <v>3</v>
      </c>
      <c r="E36">
        <v>128</v>
      </c>
      <c r="F36" s="2">
        <v>10</v>
      </c>
      <c r="G36">
        <v>2.4700000000000002</v>
      </c>
      <c r="H36">
        <v>2.11</v>
      </c>
      <c r="I36">
        <f t="shared" si="1"/>
        <v>0.36000000000000032</v>
      </c>
    </row>
    <row r="37" spans="1:9" x14ac:dyDescent="0.3">
      <c r="A37" t="s">
        <v>17</v>
      </c>
      <c r="B37" t="s">
        <v>5</v>
      </c>
      <c r="C37" t="s">
        <v>43</v>
      </c>
      <c r="D37">
        <v>3</v>
      </c>
      <c r="E37">
        <v>305</v>
      </c>
      <c r="F37" s="2">
        <v>10</v>
      </c>
      <c r="G37">
        <v>2.4900000000000002</v>
      </c>
      <c r="H37">
        <v>2.06</v>
      </c>
      <c r="I37">
        <f t="shared" si="1"/>
        <v>0.43000000000000016</v>
      </c>
    </row>
    <row r="38" spans="1:9" x14ac:dyDescent="0.3">
      <c r="A38" t="s">
        <v>17</v>
      </c>
      <c r="B38" t="s">
        <v>6</v>
      </c>
      <c r="C38" t="s">
        <v>43</v>
      </c>
      <c r="D38">
        <v>3</v>
      </c>
      <c r="E38">
        <v>70</v>
      </c>
      <c r="F38" s="2">
        <v>10</v>
      </c>
      <c r="G38">
        <v>2.7</v>
      </c>
      <c r="H38">
        <v>2.04</v>
      </c>
      <c r="I38">
        <f t="shared" si="1"/>
        <v>0.66000000000000014</v>
      </c>
    </row>
    <row r="39" spans="1:9" x14ac:dyDescent="0.3">
      <c r="A39" t="s">
        <v>17</v>
      </c>
      <c r="B39" t="s">
        <v>7</v>
      </c>
      <c r="C39" t="s">
        <v>43</v>
      </c>
      <c r="D39">
        <v>3</v>
      </c>
      <c r="E39">
        <v>249</v>
      </c>
      <c r="F39" s="2">
        <v>10</v>
      </c>
      <c r="G39">
        <v>2.38</v>
      </c>
      <c r="H39">
        <v>1.91</v>
      </c>
      <c r="I39">
        <f t="shared" si="1"/>
        <v>0.47</v>
      </c>
    </row>
    <row r="40" spans="1:9" x14ac:dyDescent="0.3">
      <c r="A40" t="s">
        <v>17</v>
      </c>
      <c r="B40" t="s">
        <v>8</v>
      </c>
      <c r="C40" t="s">
        <v>43</v>
      </c>
      <c r="D40">
        <v>3</v>
      </c>
      <c r="E40">
        <v>119</v>
      </c>
      <c r="F40" s="2">
        <v>10</v>
      </c>
      <c r="G40">
        <f>H40+I40</f>
        <v>2.91</v>
      </c>
      <c r="H40">
        <v>2.1</v>
      </c>
      <c r="I40">
        <v>0.81</v>
      </c>
    </row>
    <row r="41" spans="1:9" x14ac:dyDescent="0.3">
      <c r="A41" t="s">
        <v>17</v>
      </c>
      <c r="B41" t="s">
        <v>9</v>
      </c>
      <c r="C41" t="s">
        <v>43</v>
      </c>
      <c r="D41">
        <v>3</v>
      </c>
      <c r="E41">
        <v>540</v>
      </c>
      <c r="F41" s="2">
        <v>10</v>
      </c>
      <c r="G41">
        <v>2.2599999999999998</v>
      </c>
      <c r="H41">
        <v>1.81</v>
      </c>
      <c r="I41">
        <f t="shared" si="1"/>
        <v>0.44999999999999973</v>
      </c>
    </row>
    <row r="42" spans="1:9" x14ac:dyDescent="0.3">
      <c r="A42" t="s">
        <v>18</v>
      </c>
      <c r="B42" t="s">
        <v>5</v>
      </c>
      <c r="C42" t="s">
        <v>43</v>
      </c>
      <c r="D42">
        <v>3</v>
      </c>
      <c r="E42">
        <v>120</v>
      </c>
      <c r="F42" s="2">
        <v>10</v>
      </c>
      <c r="G42">
        <v>2.99</v>
      </c>
      <c r="H42">
        <v>2.0099999999999998</v>
      </c>
      <c r="I42">
        <f t="shared" si="1"/>
        <v>0.98000000000000043</v>
      </c>
    </row>
    <row r="43" spans="1:9" x14ac:dyDescent="0.3">
      <c r="A43" t="s">
        <v>18</v>
      </c>
      <c r="B43" t="s">
        <v>6</v>
      </c>
      <c r="C43" t="s">
        <v>43</v>
      </c>
      <c r="D43">
        <v>3</v>
      </c>
      <c r="E43">
        <v>53</v>
      </c>
      <c r="F43" s="2">
        <v>10</v>
      </c>
      <c r="G43">
        <v>2.58</v>
      </c>
      <c r="H43">
        <v>1.97</v>
      </c>
      <c r="I43">
        <f t="shared" ref="I43:I49" si="2">G43-H43</f>
        <v>0.6100000000000001</v>
      </c>
    </row>
    <row r="44" spans="1:9" x14ac:dyDescent="0.3">
      <c r="A44" t="s">
        <v>18</v>
      </c>
      <c r="B44" t="s">
        <v>7</v>
      </c>
      <c r="C44" t="s">
        <v>43</v>
      </c>
      <c r="D44">
        <v>3</v>
      </c>
      <c r="E44">
        <v>539</v>
      </c>
      <c r="F44" s="2">
        <v>10</v>
      </c>
      <c r="G44">
        <v>2.48</v>
      </c>
      <c r="H44">
        <v>2.02</v>
      </c>
      <c r="I44">
        <f t="shared" si="2"/>
        <v>0.45999999999999996</v>
      </c>
    </row>
    <row r="45" spans="1:9" x14ac:dyDescent="0.3">
      <c r="A45" t="s">
        <v>18</v>
      </c>
      <c r="B45" t="s">
        <v>8</v>
      </c>
      <c r="C45" t="s">
        <v>43</v>
      </c>
      <c r="D45">
        <v>3</v>
      </c>
      <c r="E45">
        <v>207</v>
      </c>
      <c r="F45" s="2">
        <v>10</v>
      </c>
      <c r="G45">
        <v>2.2000000000000002</v>
      </c>
      <c r="H45">
        <v>1.75</v>
      </c>
      <c r="I45">
        <f t="shared" si="2"/>
        <v>0.45000000000000018</v>
      </c>
    </row>
    <row r="46" spans="1:9" x14ac:dyDescent="0.3">
      <c r="A46" t="s">
        <v>18</v>
      </c>
      <c r="B46" t="s">
        <v>9</v>
      </c>
      <c r="C46" t="s">
        <v>43</v>
      </c>
      <c r="D46">
        <v>3</v>
      </c>
      <c r="E46">
        <v>92</v>
      </c>
      <c r="F46" s="2">
        <v>10</v>
      </c>
      <c r="G46">
        <v>2.31</v>
      </c>
      <c r="H46">
        <v>1.78</v>
      </c>
      <c r="I46">
        <f t="shared" si="2"/>
        <v>0.53</v>
      </c>
    </row>
    <row r="47" spans="1:9" x14ac:dyDescent="0.3">
      <c r="A47" t="s">
        <v>14</v>
      </c>
      <c r="B47" t="s">
        <v>5</v>
      </c>
      <c r="C47" t="s">
        <v>43</v>
      </c>
      <c r="D47">
        <v>3</v>
      </c>
      <c r="E47">
        <v>197</v>
      </c>
      <c r="F47" s="2">
        <v>10</v>
      </c>
      <c r="G47">
        <v>2.2000000000000002</v>
      </c>
      <c r="H47">
        <v>1.69</v>
      </c>
      <c r="I47">
        <f t="shared" si="2"/>
        <v>0.51000000000000023</v>
      </c>
    </row>
    <row r="48" spans="1:9" x14ac:dyDescent="0.3">
      <c r="A48" t="s">
        <v>14</v>
      </c>
      <c r="B48" t="s">
        <v>6</v>
      </c>
      <c r="C48" t="s">
        <v>43</v>
      </c>
      <c r="D48">
        <v>3</v>
      </c>
      <c r="E48">
        <v>68</v>
      </c>
      <c r="F48" s="2">
        <v>10</v>
      </c>
      <c r="G48">
        <v>2.34</v>
      </c>
      <c r="H48">
        <v>2.08</v>
      </c>
      <c r="I48">
        <f t="shared" si="2"/>
        <v>0.25999999999999979</v>
      </c>
    </row>
    <row r="49" spans="1:9" x14ac:dyDescent="0.3">
      <c r="A49" t="s">
        <v>14</v>
      </c>
      <c r="B49" t="s">
        <v>7</v>
      </c>
      <c r="C49" t="s">
        <v>43</v>
      </c>
      <c r="D49">
        <v>3</v>
      </c>
      <c r="E49">
        <v>65</v>
      </c>
      <c r="F49" s="2">
        <v>10</v>
      </c>
      <c r="G49">
        <v>2.67</v>
      </c>
      <c r="H49">
        <v>1.98</v>
      </c>
      <c r="I49">
        <f t="shared" si="2"/>
        <v>0.69</v>
      </c>
    </row>
    <row r="50" spans="1:9" x14ac:dyDescent="0.3">
      <c r="A50" t="s">
        <v>14</v>
      </c>
      <c r="B50" t="s">
        <v>8</v>
      </c>
      <c r="C50" t="s">
        <v>43</v>
      </c>
      <c r="D50">
        <v>3</v>
      </c>
      <c r="E50">
        <v>538</v>
      </c>
      <c r="F50" s="2">
        <v>10</v>
      </c>
      <c r="G50">
        <v>2.54</v>
      </c>
      <c r="H50">
        <v>2.08</v>
      </c>
      <c r="I50">
        <f t="shared" ref="I50:I55" si="3">G50-H50</f>
        <v>0.45999999999999996</v>
      </c>
    </row>
    <row r="51" spans="1:9" x14ac:dyDescent="0.3">
      <c r="A51" t="s">
        <v>14</v>
      </c>
      <c r="B51" t="s">
        <v>9</v>
      </c>
      <c r="C51" t="s">
        <v>43</v>
      </c>
      <c r="D51">
        <v>3</v>
      </c>
      <c r="E51">
        <v>36</v>
      </c>
      <c r="F51" s="2">
        <v>10</v>
      </c>
      <c r="G51">
        <v>2.27</v>
      </c>
      <c r="H51">
        <v>1.78</v>
      </c>
      <c r="I51">
        <f t="shared" si="3"/>
        <v>0.49</v>
      </c>
    </row>
    <row r="52" spans="1:9" x14ac:dyDescent="0.3">
      <c r="A52" t="s">
        <v>19</v>
      </c>
      <c r="B52" t="s">
        <v>5</v>
      </c>
      <c r="C52" t="s">
        <v>43</v>
      </c>
      <c r="D52">
        <v>2</v>
      </c>
      <c r="E52">
        <v>60</v>
      </c>
      <c r="F52" s="2">
        <v>10</v>
      </c>
      <c r="G52">
        <v>3.83</v>
      </c>
      <c r="H52">
        <v>2.0299999999999998</v>
      </c>
      <c r="I52">
        <f t="shared" si="3"/>
        <v>1.8000000000000003</v>
      </c>
    </row>
    <row r="53" spans="1:9" x14ac:dyDescent="0.3">
      <c r="A53" t="s">
        <v>19</v>
      </c>
      <c r="B53" t="s">
        <v>6</v>
      </c>
      <c r="C53" t="s">
        <v>43</v>
      </c>
      <c r="D53">
        <v>2</v>
      </c>
      <c r="E53">
        <v>537</v>
      </c>
      <c r="F53" s="2">
        <v>10</v>
      </c>
      <c r="G53">
        <v>3.91</v>
      </c>
      <c r="H53">
        <v>1.99</v>
      </c>
      <c r="I53">
        <f t="shared" si="3"/>
        <v>1.9200000000000002</v>
      </c>
    </row>
    <row r="54" spans="1:9" x14ac:dyDescent="0.3">
      <c r="A54" t="s">
        <v>19</v>
      </c>
      <c r="B54" t="s">
        <v>7</v>
      </c>
      <c r="C54" t="s">
        <v>43</v>
      </c>
      <c r="D54">
        <v>2</v>
      </c>
      <c r="E54">
        <v>536</v>
      </c>
      <c r="F54" s="2">
        <v>10</v>
      </c>
      <c r="G54">
        <v>4.45</v>
      </c>
      <c r="H54">
        <v>2.0099999999999998</v>
      </c>
      <c r="I54">
        <f t="shared" si="3"/>
        <v>2.4400000000000004</v>
      </c>
    </row>
    <row r="55" spans="1:9" x14ac:dyDescent="0.3">
      <c r="A55" t="s">
        <v>19</v>
      </c>
      <c r="B55" t="s">
        <v>8</v>
      </c>
      <c r="C55" t="s">
        <v>43</v>
      </c>
      <c r="D55">
        <v>2</v>
      </c>
      <c r="E55">
        <v>535</v>
      </c>
      <c r="F55" s="2">
        <v>10</v>
      </c>
      <c r="G55">
        <v>2.61</v>
      </c>
      <c r="H55">
        <v>1.98</v>
      </c>
      <c r="I55">
        <f t="shared" si="3"/>
        <v>0.62999999999999989</v>
      </c>
    </row>
    <row r="56" spans="1:9" x14ac:dyDescent="0.3">
      <c r="A56" t="s">
        <v>19</v>
      </c>
      <c r="B56" t="s">
        <v>9</v>
      </c>
      <c r="C56" t="s">
        <v>43</v>
      </c>
      <c r="D56">
        <v>2</v>
      </c>
      <c r="E56">
        <v>534</v>
      </c>
      <c r="F56" s="2">
        <v>10</v>
      </c>
      <c r="G56">
        <v>4.63</v>
      </c>
      <c r="H56">
        <v>1.99</v>
      </c>
      <c r="I56">
        <f>G56-H56</f>
        <v>2.6399999999999997</v>
      </c>
    </row>
    <row r="57" spans="1:9" x14ac:dyDescent="0.3">
      <c r="A57" t="s">
        <v>20</v>
      </c>
      <c r="B57" t="s">
        <v>5</v>
      </c>
      <c r="C57" t="s">
        <v>43</v>
      </c>
      <c r="D57">
        <v>1</v>
      </c>
      <c r="E57">
        <v>1</v>
      </c>
      <c r="F57" s="2">
        <v>10</v>
      </c>
      <c r="I57">
        <v>0.53</v>
      </c>
    </row>
    <row r="58" spans="1:9" x14ac:dyDescent="0.3">
      <c r="A58" t="s">
        <v>20</v>
      </c>
      <c r="B58" t="s">
        <v>6</v>
      </c>
      <c r="C58" t="s">
        <v>43</v>
      </c>
      <c r="D58">
        <v>1</v>
      </c>
      <c r="E58">
        <v>2</v>
      </c>
      <c r="F58" s="2">
        <v>10</v>
      </c>
      <c r="I58">
        <v>0.67</v>
      </c>
    </row>
    <row r="59" spans="1:9" x14ac:dyDescent="0.3">
      <c r="A59" t="s">
        <v>20</v>
      </c>
      <c r="B59" t="s">
        <v>7</v>
      </c>
      <c r="C59" t="s">
        <v>43</v>
      </c>
      <c r="D59">
        <v>1</v>
      </c>
      <c r="E59">
        <v>3</v>
      </c>
      <c r="F59" s="2">
        <v>10</v>
      </c>
      <c r="I59">
        <v>1.95</v>
      </c>
    </row>
    <row r="60" spans="1:9" x14ac:dyDescent="0.3">
      <c r="A60" t="s">
        <v>20</v>
      </c>
      <c r="B60" t="s">
        <v>8</v>
      </c>
      <c r="C60" t="s">
        <v>43</v>
      </c>
      <c r="D60">
        <v>1</v>
      </c>
      <c r="E60">
        <v>4</v>
      </c>
      <c r="F60" s="2">
        <v>10</v>
      </c>
      <c r="I60">
        <v>1.91</v>
      </c>
    </row>
    <row r="61" spans="1:9" x14ac:dyDescent="0.3">
      <c r="A61" t="s">
        <v>20</v>
      </c>
      <c r="B61" t="s">
        <v>9</v>
      </c>
      <c r="C61" t="s">
        <v>43</v>
      </c>
      <c r="D61">
        <v>1</v>
      </c>
      <c r="E61">
        <v>5</v>
      </c>
      <c r="F61" s="2">
        <v>10</v>
      </c>
      <c r="I61">
        <v>1.69</v>
      </c>
    </row>
    <row r="62" spans="1:9" x14ac:dyDescent="0.3">
      <c r="A62" t="s">
        <v>21</v>
      </c>
      <c r="B62" t="s">
        <v>5</v>
      </c>
      <c r="C62" t="s">
        <v>43</v>
      </c>
      <c r="D62">
        <v>1</v>
      </c>
      <c r="E62">
        <v>6</v>
      </c>
      <c r="F62" s="2">
        <v>10</v>
      </c>
      <c r="I62">
        <v>0.48</v>
      </c>
    </row>
    <row r="63" spans="1:9" x14ac:dyDescent="0.3">
      <c r="A63" t="s">
        <v>21</v>
      </c>
      <c r="B63" t="s">
        <v>6</v>
      </c>
      <c r="C63" t="s">
        <v>43</v>
      </c>
      <c r="D63">
        <v>1</v>
      </c>
      <c r="E63">
        <v>7</v>
      </c>
      <c r="F63" s="2">
        <v>10</v>
      </c>
      <c r="I63">
        <v>1.76</v>
      </c>
    </row>
    <row r="64" spans="1:9" x14ac:dyDescent="0.3">
      <c r="A64" t="s">
        <v>21</v>
      </c>
      <c r="B64" t="s">
        <v>7</v>
      </c>
      <c r="C64" t="s">
        <v>43</v>
      </c>
      <c r="D64">
        <v>1</v>
      </c>
      <c r="E64">
        <v>8</v>
      </c>
      <c r="F64" s="2">
        <v>10</v>
      </c>
      <c r="I64">
        <v>0.28000000000000003</v>
      </c>
    </row>
    <row r="65" spans="1:10" x14ac:dyDescent="0.3">
      <c r="A65" t="s">
        <v>21</v>
      </c>
      <c r="B65" t="s">
        <v>8</v>
      </c>
      <c r="C65" t="s">
        <v>43</v>
      </c>
      <c r="D65">
        <v>1</v>
      </c>
      <c r="E65">
        <v>9</v>
      </c>
      <c r="F65" s="2">
        <v>10</v>
      </c>
      <c r="I65">
        <v>1.91</v>
      </c>
    </row>
    <row r="66" spans="1:10" x14ac:dyDescent="0.3">
      <c r="A66" t="s">
        <v>21</v>
      </c>
      <c r="B66" t="s">
        <v>9</v>
      </c>
      <c r="C66" t="s">
        <v>43</v>
      </c>
      <c r="D66">
        <v>1</v>
      </c>
      <c r="E66">
        <v>37</v>
      </c>
      <c r="F66" s="2">
        <v>10</v>
      </c>
      <c r="G66">
        <v>2.54</v>
      </c>
      <c r="H66">
        <v>1.94</v>
      </c>
      <c r="I66">
        <f>G66-H66</f>
        <v>0.60000000000000009</v>
      </c>
      <c r="J66" t="s">
        <v>41</v>
      </c>
    </row>
    <row r="67" spans="1:10" x14ac:dyDescent="0.3">
      <c r="A67" t="s">
        <v>22</v>
      </c>
      <c r="B67" t="s">
        <v>5</v>
      </c>
      <c r="C67" t="s">
        <v>43</v>
      </c>
      <c r="D67">
        <v>1</v>
      </c>
      <c r="E67">
        <v>11</v>
      </c>
      <c r="F67" s="2">
        <v>10</v>
      </c>
      <c r="I67">
        <v>2.2200000000000002</v>
      </c>
    </row>
    <row r="68" spans="1:10" x14ac:dyDescent="0.3">
      <c r="A68" t="s">
        <v>22</v>
      </c>
      <c r="B68" t="s">
        <v>6</v>
      </c>
      <c r="C68" t="s">
        <v>43</v>
      </c>
      <c r="D68">
        <v>1</v>
      </c>
      <c r="E68">
        <v>12</v>
      </c>
      <c r="F68" s="2">
        <v>10</v>
      </c>
      <c r="I68">
        <v>1.61</v>
      </c>
    </row>
    <row r="69" spans="1:10" x14ac:dyDescent="0.3">
      <c r="A69" t="s">
        <v>22</v>
      </c>
      <c r="B69" t="s">
        <v>7</v>
      </c>
      <c r="C69" t="s">
        <v>43</v>
      </c>
      <c r="D69">
        <v>1</v>
      </c>
      <c r="E69">
        <v>13</v>
      </c>
      <c r="F69" s="2">
        <v>10</v>
      </c>
      <c r="I69">
        <v>1.67</v>
      </c>
    </row>
    <row r="70" spans="1:10" x14ac:dyDescent="0.3">
      <c r="A70" t="s">
        <v>22</v>
      </c>
      <c r="B70" t="s">
        <v>8</v>
      </c>
      <c r="C70" t="s">
        <v>43</v>
      </c>
      <c r="D70">
        <v>1</v>
      </c>
      <c r="E70">
        <v>14</v>
      </c>
      <c r="F70" s="2">
        <v>10</v>
      </c>
      <c r="I70">
        <v>2.06</v>
      </c>
    </row>
    <row r="71" spans="1:10" x14ac:dyDescent="0.3">
      <c r="A71" t="s">
        <v>22</v>
      </c>
      <c r="B71" t="s">
        <v>9</v>
      </c>
      <c r="C71" t="s">
        <v>43</v>
      </c>
      <c r="D71">
        <v>1</v>
      </c>
      <c r="E71">
        <v>15</v>
      </c>
      <c r="F71" s="2">
        <v>10</v>
      </c>
      <c r="I71">
        <v>0.35</v>
      </c>
    </row>
    <row r="72" spans="1:10" x14ac:dyDescent="0.3">
      <c r="A72" t="s">
        <v>23</v>
      </c>
      <c r="B72" t="s">
        <v>5</v>
      </c>
      <c r="C72" t="s">
        <v>43</v>
      </c>
      <c r="D72">
        <v>1</v>
      </c>
      <c r="E72">
        <v>16</v>
      </c>
      <c r="F72" s="2">
        <v>10</v>
      </c>
      <c r="I72">
        <v>2.57</v>
      </c>
    </row>
    <row r="73" spans="1:10" x14ac:dyDescent="0.3">
      <c r="A73" t="s">
        <v>23</v>
      </c>
      <c r="B73" t="s">
        <v>6</v>
      </c>
      <c r="C73" t="s">
        <v>43</v>
      </c>
      <c r="D73">
        <v>1</v>
      </c>
      <c r="E73">
        <v>17</v>
      </c>
      <c r="F73" s="2">
        <v>10</v>
      </c>
      <c r="I73">
        <v>0.53</v>
      </c>
    </row>
    <row r="74" spans="1:10" x14ac:dyDescent="0.3">
      <c r="A74" t="s">
        <v>23</v>
      </c>
      <c r="B74" t="s">
        <v>7</v>
      </c>
      <c r="C74" t="s">
        <v>43</v>
      </c>
      <c r="D74">
        <v>1</v>
      </c>
      <c r="E74">
        <v>38</v>
      </c>
      <c r="F74" s="2">
        <v>10</v>
      </c>
      <c r="G74">
        <v>2.92</v>
      </c>
      <c r="H74">
        <v>2.0099999999999998</v>
      </c>
      <c r="I74">
        <f>G74-H74</f>
        <v>0.91000000000000014</v>
      </c>
      <c r="J74" t="s">
        <v>41</v>
      </c>
    </row>
    <row r="75" spans="1:10" x14ac:dyDescent="0.3">
      <c r="A75" t="s">
        <v>23</v>
      </c>
      <c r="B75" t="s">
        <v>8</v>
      </c>
      <c r="C75" t="s">
        <v>43</v>
      </c>
      <c r="D75">
        <v>1</v>
      </c>
      <c r="E75">
        <v>19</v>
      </c>
      <c r="F75" s="2">
        <v>10</v>
      </c>
      <c r="I75">
        <v>0.4</v>
      </c>
    </row>
    <row r="76" spans="1:10" x14ac:dyDescent="0.3">
      <c r="A76" t="s">
        <v>23</v>
      </c>
      <c r="B76" t="s">
        <v>9</v>
      </c>
      <c r="C76" t="s">
        <v>43</v>
      </c>
      <c r="D76">
        <v>1</v>
      </c>
      <c r="E76">
        <v>20</v>
      </c>
      <c r="F76" s="2">
        <v>10</v>
      </c>
      <c r="I76">
        <v>0.25</v>
      </c>
    </row>
    <row r="77" spans="1:10" x14ac:dyDescent="0.3">
      <c r="A77" t="s">
        <v>24</v>
      </c>
      <c r="B77" t="s">
        <v>5</v>
      </c>
      <c r="C77" t="s">
        <v>43</v>
      </c>
      <c r="D77">
        <v>2</v>
      </c>
      <c r="E77">
        <v>21</v>
      </c>
      <c r="F77" s="2">
        <v>10</v>
      </c>
      <c r="G77">
        <v>2.71</v>
      </c>
      <c r="H77">
        <v>2.0099999999999998</v>
      </c>
      <c r="I77">
        <f>G77-H77</f>
        <v>0.70000000000000018</v>
      </c>
    </row>
    <row r="78" spans="1:10" x14ac:dyDescent="0.3">
      <c r="A78" t="s">
        <v>24</v>
      </c>
      <c r="B78" t="s">
        <v>6</v>
      </c>
      <c r="C78" t="s">
        <v>43</v>
      </c>
      <c r="D78">
        <v>2</v>
      </c>
      <c r="E78">
        <v>22</v>
      </c>
      <c r="F78" s="2">
        <v>10</v>
      </c>
      <c r="G78">
        <v>2.77</v>
      </c>
      <c r="H78">
        <v>2.02</v>
      </c>
      <c r="I78">
        <f t="shared" ref="I78:I175" si="4">G78-H78</f>
        <v>0.75</v>
      </c>
    </row>
    <row r="79" spans="1:10" x14ac:dyDescent="0.3">
      <c r="A79" t="s">
        <v>24</v>
      </c>
      <c r="B79" t="s">
        <v>7</v>
      </c>
      <c r="C79" t="s">
        <v>43</v>
      </c>
      <c r="D79">
        <v>2</v>
      </c>
      <c r="E79">
        <v>23</v>
      </c>
      <c r="F79" s="2">
        <v>10</v>
      </c>
      <c r="G79">
        <v>2.67</v>
      </c>
      <c r="H79">
        <v>1.84</v>
      </c>
      <c r="I79">
        <f t="shared" si="4"/>
        <v>0.82999999999999985</v>
      </c>
    </row>
    <row r="80" spans="1:10" x14ac:dyDescent="0.3">
      <c r="A80" t="s">
        <v>24</v>
      </c>
      <c r="B80" t="s">
        <v>8</v>
      </c>
      <c r="C80" t="s">
        <v>43</v>
      </c>
      <c r="D80">
        <v>2</v>
      </c>
      <c r="E80">
        <v>24</v>
      </c>
      <c r="F80" s="2">
        <v>10</v>
      </c>
      <c r="G80">
        <v>2.5499999999999998</v>
      </c>
      <c r="H80">
        <v>1.93</v>
      </c>
      <c r="I80">
        <f t="shared" si="4"/>
        <v>0.61999999999999988</v>
      </c>
    </row>
    <row r="81" spans="1:9" x14ac:dyDescent="0.3">
      <c r="A81" t="s">
        <v>24</v>
      </c>
      <c r="B81" t="s">
        <v>9</v>
      </c>
      <c r="C81" t="s">
        <v>43</v>
      </c>
      <c r="D81">
        <v>2</v>
      </c>
      <c r="E81">
        <v>25</v>
      </c>
      <c r="F81" s="2">
        <v>10</v>
      </c>
      <c r="G81">
        <v>4.1100000000000003</v>
      </c>
      <c r="H81">
        <v>1.79</v>
      </c>
      <c r="I81">
        <f t="shared" si="4"/>
        <v>2.3200000000000003</v>
      </c>
    </row>
    <row r="82" spans="1:9" x14ac:dyDescent="0.3">
      <c r="A82" t="s">
        <v>25</v>
      </c>
      <c r="B82" t="s">
        <v>5</v>
      </c>
      <c r="C82" t="s">
        <v>43</v>
      </c>
      <c r="D82">
        <v>2</v>
      </c>
      <c r="E82">
        <v>26</v>
      </c>
      <c r="F82" s="2">
        <v>10</v>
      </c>
      <c r="G82">
        <v>4.17</v>
      </c>
      <c r="H82">
        <v>2</v>
      </c>
      <c r="I82">
        <f t="shared" si="4"/>
        <v>2.17</v>
      </c>
    </row>
    <row r="83" spans="1:9" x14ac:dyDescent="0.3">
      <c r="A83" t="s">
        <v>25</v>
      </c>
      <c r="B83" t="s">
        <v>6</v>
      </c>
      <c r="C83" t="s">
        <v>43</v>
      </c>
      <c r="D83">
        <v>2</v>
      </c>
      <c r="E83">
        <v>27</v>
      </c>
      <c r="F83" s="2">
        <v>10</v>
      </c>
      <c r="G83">
        <v>2.5</v>
      </c>
      <c r="H83">
        <v>1.86</v>
      </c>
      <c r="I83">
        <f t="shared" si="4"/>
        <v>0.6399999999999999</v>
      </c>
    </row>
    <row r="84" spans="1:9" x14ac:dyDescent="0.3">
      <c r="A84" t="s">
        <v>25</v>
      </c>
      <c r="B84" t="s">
        <v>7</v>
      </c>
      <c r="C84" t="s">
        <v>43</v>
      </c>
      <c r="D84">
        <v>2</v>
      </c>
      <c r="E84">
        <v>28</v>
      </c>
      <c r="F84" s="2">
        <v>10</v>
      </c>
      <c r="G84">
        <v>4.41</v>
      </c>
      <c r="H84">
        <v>1.91</v>
      </c>
      <c r="I84">
        <f t="shared" si="4"/>
        <v>2.5</v>
      </c>
    </row>
    <row r="85" spans="1:9" x14ac:dyDescent="0.3">
      <c r="A85" t="s">
        <v>25</v>
      </c>
      <c r="B85" t="s">
        <v>8</v>
      </c>
      <c r="C85" t="s">
        <v>43</v>
      </c>
      <c r="D85">
        <v>2</v>
      </c>
      <c r="E85">
        <v>29</v>
      </c>
      <c r="F85" s="2">
        <v>10</v>
      </c>
      <c r="G85">
        <v>4.49</v>
      </c>
      <c r="H85">
        <v>1.92</v>
      </c>
      <c r="I85">
        <f t="shared" si="4"/>
        <v>2.5700000000000003</v>
      </c>
    </row>
    <row r="86" spans="1:9" x14ac:dyDescent="0.3">
      <c r="A86" t="s">
        <v>25</v>
      </c>
      <c r="B86" t="s">
        <v>9</v>
      </c>
      <c r="C86" t="s">
        <v>43</v>
      </c>
      <c r="D86">
        <v>2</v>
      </c>
      <c r="E86">
        <v>30</v>
      </c>
      <c r="F86" s="2">
        <v>10</v>
      </c>
      <c r="G86">
        <v>2.97</v>
      </c>
      <c r="H86">
        <v>2.14</v>
      </c>
      <c r="I86">
        <f t="shared" si="4"/>
        <v>0.83000000000000007</v>
      </c>
    </row>
    <row r="87" spans="1:9" x14ac:dyDescent="0.3">
      <c r="A87" t="s">
        <v>26</v>
      </c>
      <c r="B87" t="s">
        <v>5</v>
      </c>
      <c r="C87" t="s">
        <v>43</v>
      </c>
      <c r="D87">
        <v>2</v>
      </c>
      <c r="E87">
        <v>31</v>
      </c>
      <c r="F87" s="2">
        <v>10</v>
      </c>
      <c r="G87">
        <v>2.4700000000000002</v>
      </c>
      <c r="H87">
        <v>1.8</v>
      </c>
      <c r="I87">
        <f t="shared" si="4"/>
        <v>0.67000000000000015</v>
      </c>
    </row>
    <row r="88" spans="1:9" x14ac:dyDescent="0.3">
      <c r="A88" t="s">
        <v>26</v>
      </c>
      <c r="B88" t="s">
        <v>6</v>
      </c>
      <c r="C88" t="s">
        <v>43</v>
      </c>
      <c r="D88">
        <v>2</v>
      </c>
      <c r="E88">
        <v>32</v>
      </c>
      <c r="F88" s="2">
        <v>10</v>
      </c>
      <c r="G88">
        <v>3.48</v>
      </c>
      <c r="H88">
        <v>1.8</v>
      </c>
      <c r="I88">
        <f t="shared" si="4"/>
        <v>1.68</v>
      </c>
    </row>
    <row r="89" spans="1:9" x14ac:dyDescent="0.3">
      <c r="A89" t="s">
        <v>26</v>
      </c>
      <c r="B89" t="s">
        <v>7</v>
      </c>
      <c r="C89" t="s">
        <v>43</v>
      </c>
      <c r="D89">
        <v>2</v>
      </c>
      <c r="E89">
        <v>33</v>
      </c>
      <c r="F89" s="2">
        <v>10</v>
      </c>
      <c r="G89">
        <v>3.53</v>
      </c>
      <c r="H89">
        <v>1.83</v>
      </c>
      <c r="I89">
        <f t="shared" si="4"/>
        <v>1.6999999999999997</v>
      </c>
    </row>
    <row r="90" spans="1:9" x14ac:dyDescent="0.3">
      <c r="A90" t="s">
        <v>26</v>
      </c>
      <c r="B90" t="s">
        <v>8</v>
      </c>
      <c r="C90" t="s">
        <v>43</v>
      </c>
      <c r="D90">
        <v>2</v>
      </c>
      <c r="E90">
        <v>34</v>
      </c>
      <c r="F90" s="2">
        <v>10</v>
      </c>
      <c r="G90">
        <v>3.43</v>
      </c>
      <c r="H90">
        <v>1.89</v>
      </c>
      <c r="I90">
        <f t="shared" si="4"/>
        <v>1.5400000000000003</v>
      </c>
    </row>
    <row r="91" spans="1:9" x14ac:dyDescent="0.3">
      <c r="A91" t="s">
        <v>26</v>
      </c>
      <c r="B91" t="s">
        <v>9</v>
      </c>
      <c r="C91" t="s">
        <v>43</v>
      </c>
      <c r="D91">
        <v>2</v>
      </c>
      <c r="E91">
        <v>35</v>
      </c>
      <c r="F91" s="2">
        <v>10</v>
      </c>
      <c r="G91">
        <v>2.63</v>
      </c>
      <c r="H91">
        <v>1.97</v>
      </c>
      <c r="I91">
        <f t="shared" si="4"/>
        <v>0.65999999999999992</v>
      </c>
    </row>
    <row r="92" spans="1:9" x14ac:dyDescent="0.3">
      <c r="A92" t="s">
        <v>4</v>
      </c>
      <c r="B92" t="s">
        <v>5</v>
      </c>
      <c r="C92" t="s">
        <v>44</v>
      </c>
      <c r="D92">
        <v>6</v>
      </c>
      <c r="E92">
        <v>1</v>
      </c>
      <c r="F92" s="2">
        <v>10</v>
      </c>
      <c r="G92">
        <v>2.94</v>
      </c>
      <c r="H92">
        <v>2.04</v>
      </c>
      <c r="I92">
        <f t="shared" si="4"/>
        <v>0.89999999999999991</v>
      </c>
    </row>
    <row r="93" spans="1:9" x14ac:dyDescent="0.3">
      <c r="A93" t="s">
        <v>4</v>
      </c>
      <c r="B93" t="s">
        <v>6</v>
      </c>
      <c r="C93" t="s">
        <v>44</v>
      </c>
      <c r="D93">
        <v>6</v>
      </c>
      <c r="E93">
        <v>2</v>
      </c>
      <c r="F93" s="2">
        <v>10</v>
      </c>
      <c r="G93">
        <v>2.85</v>
      </c>
      <c r="H93">
        <v>2.0499999999999998</v>
      </c>
      <c r="I93">
        <f t="shared" si="4"/>
        <v>0.80000000000000027</v>
      </c>
    </row>
    <row r="94" spans="1:9" x14ac:dyDescent="0.3">
      <c r="A94" t="s">
        <v>4</v>
      </c>
      <c r="B94" t="s">
        <v>7</v>
      </c>
      <c r="C94" t="s">
        <v>44</v>
      </c>
      <c r="D94">
        <v>6</v>
      </c>
      <c r="E94">
        <v>3</v>
      </c>
      <c r="F94" s="2">
        <v>10</v>
      </c>
      <c r="G94">
        <v>2.74</v>
      </c>
      <c r="H94">
        <v>2.08</v>
      </c>
      <c r="I94">
        <f t="shared" si="4"/>
        <v>0.66000000000000014</v>
      </c>
    </row>
    <row r="95" spans="1:9" x14ac:dyDescent="0.3">
      <c r="A95" t="s">
        <v>4</v>
      </c>
      <c r="B95" t="s">
        <v>8</v>
      </c>
      <c r="C95" t="s">
        <v>44</v>
      </c>
      <c r="D95">
        <v>6</v>
      </c>
      <c r="E95">
        <v>4</v>
      </c>
      <c r="F95" s="2">
        <v>10</v>
      </c>
      <c r="G95">
        <v>2.67</v>
      </c>
      <c r="H95">
        <v>1.99</v>
      </c>
      <c r="I95">
        <f t="shared" si="4"/>
        <v>0.67999999999999994</v>
      </c>
    </row>
    <row r="96" spans="1:9" x14ac:dyDescent="0.3">
      <c r="A96" t="s">
        <v>4</v>
      </c>
      <c r="B96" t="s">
        <v>9</v>
      </c>
      <c r="C96" t="s">
        <v>44</v>
      </c>
      <c r="D96">
        <v>6</v>
      </c>
      <c r="E96">
        <v>5</v>
      </c>
      <c r="F96" s="2">
        <v>10</v>
      </c>
      <c r="G96">
        <v>2.72</v>
      </c>
      <c r="H96">
        <v>2.06</v>
      </c>
      <c r="I96">
        <f t="shared" si="4"/>
        <v>0.66000000000000014</v>
      </c>
    </row>
    <row r="97" spans="1:9" x14ac:dyDescent="0.3">
      <c r="A97" t="s">
        <v>10</v>
      </c>
      <c r="B97" t="s">
        <v>5</v>
      </c>
      <c r="C97" t="s">
        <v>44</v>
      </c>
      <c r="D97">
        <v>6</v>
      </c>
      <c r="E97">
        <v>6</v>
      </c>
      <c r="F97" s="2">
        <v>10</v>
      </c>
      <c r="G97">
        <v>3.22</v>
      </c>
      <c r="H97">
        <v>1.95</v>
      </c>
      <c r="I97">
        <f t="shared" si="4"/>
        <v>1.2700000000000002</v>
      </c>
    </row>
    <row r="98" spans="1:9" x14ac:dyDescent="0.3">
      <c r="A98" t="s">
        <v>10</v>
      </c>
      <c r="B98" t="s">
        <v>6</v>
      </c>
      <c r="C98" t="s">
        <v>44</v>
      </c>
      <c r="D98">
        <v>6</v>
      </c>
      <c r="E98">
        <v>7</v>
      </c>
      <c r="F98" s="2">
        <v>10</v>
      </c>
      <c r="G98">
        <v>2.92</v>
      </c>
      <c r="H98">
        <v>2.0099999999999998</v>
      </c>
      <c r="I98">
        <f t="shared" si="4"/>
        <v>0.91000000000000014</v>
      </c>
    </row>
    <row r="99" spans="1:9" x14ac:dyDescent="0.3">
      <c r="A99" t="s">
        <v>10</v>
      </c>
      <c r="B99" t="s">
        <v>7</v>
      </c>
      <c r="C99" t="s">
        <v>44</v>
      </c>
      <c r="D99">
        <v>6</v>
      </c>
      <c r="E99">
        <v>8</v>
      </c>
      <c r="F99" s="2">
        <v>10</v>
      </c>
      <c r="G99">
        <v>2.76</v>
      </c>
      <c r="H99">
        <v>1.99</v>
      </c>
      <c r="I99">
        <f t="shared" si="4"/>
        <v>0.7699999999999998</v>
      </c>
    </row>
    <row r="100" spans="1:9" x14ac:dyDescent="0.3">
      <c r="A100" t="s">
        <v>10</v>
      </c>
      <c r="B100" t="s">
        <v>8</v>
      </c>
      <c r="C100" t="s">
        <v>44</v>
      </c>
      <c r="D100">
        <v>6</v>
      </c>
      <c r="E100">
        <v>9</v>
      </c>
      <c r="F100" s="2">
        <v>10</v>
      </c>
      <c r="G100">
        <v>2.93</v>
      </c>
      <c r="H100">
        <v>2.11</v>
      </c>
      <c r="I100">
        <f t="shared" si="4"/>
        <v>0.82000000000000028</v>
      </c>
    </row>
    <row r="101" spans="1:9" x14ac:dyDescent="0.3">
      <c r="A101" t="s">
        <v>10</v>
      </c>
      <c r="B101" t="s">
        <v>9</v>
      </c>
      <c r="C101" t="s">
        <v>44</v>
      </c>
      <c r="D101">
        <v>6</v>
      </c>
      <c r="E101">
        <v>10</v>
      </c>
      <c r="F101" s="2">
        <v>10</v>
      </c>
      <c r="G101">
        <v>2.57</v>
      </c>
      <c r="H101">
        <v>1.89</v>
      </c>
      <c r="I101">
        <f t="shared" si="4"/>
        <v>0.67999999999999994</v>
      </c>
    </row>
    <row r="102" spans="1:9" x14ac:dyDescent="0.3">
      <c r="A102" t="s">
        <v>11</v>
      </c>
      <c r="B102" t="s">
        <v>5</v>
      </c>
      <c r="C102" t="s">
        <v>44</v>
      </c>
      <c r="D102">
        <v>6</v>
      </c>
      <c r="E102">
        <v>11</v>
      </c>
      <c r="F102" s="2">
        <v>10</v>
      </c>
      <c r="G102">
        <v>2.57</v>
      </c>
      <c r="H102">
        <v>1.98</v>
      </c>
      <c r="I102">
        <f t="shared" si="4"/>
        <v>0.58999999999999986</v>
      </c>
    </row>
    <row r="103" spans="1:9" x14ac:dyDescent="0.3">
      <c r="A103" t="s">
        <v>11</v>
      </c>
      <c r="B103" t="s">
        <v>6</v>
      </c>
      <c r="C103" t="s">
        <v>44</v>
      </c>
      <c r="D103">
        <v>6</v>
      </c>
      <c r="E103">
        <v>12</v>
      </c>
      <c r="F103" s="2">
        <v>10</v>
      </c>
      <c r="G103">
        <v>2.6</v>
      </c>
      <c r="H103">
        <v>2</v>
      </c>
      <c r="I103">
        <f t="shared" si="4"/>
        <v>0.60000000000000009</v>
      </c>
    </row>
    <row r="104" spans="1:9" x14ac:dyDescent="0.3">
      <c r="A104" t="s">
        <v>11</v>
      </c>
      <c r="B104" t="s">
        <v>7</v>
      </c>
      <c r="C104" t="s">
        <v>44</v>
      </c>
      <c r="D104">
        <v>6</v>
      </c>
      <c r="E104">
        <v>13</v>
      </c>
      <c r="F104" s="2">
        <v>10</v>
      </c>
      <c r="G104">
        <v>4.53</v>
      </c>
      <c r="H104">
        <v>2.15</v>
      </c>
      <c r="I104">
        <f t="shared" si="4"/>
        <v>2.3800000000000003</v>
      </c>
    </row>
    <row r="105" spans="1:9" x14ac:dyDescent="0.3">
      <c r="A105" t="s">
        <v>11</v>
      </c>
      <c r="B105" t="s">
        <v>8</v>
      </c>
      <c r="C105" t="s">
        <v>44</v>
      </c>
      <c r="D105">
        <v>6</v>
      </c>
      <c r="E105">
        <v>14</v>
      </c>
      <c r="F105" s="2">
        <v>10</v>
      </c>
      <c r="G105">
        <v>2.57</v>
      </c>
      <c r="H105">
        <v>1.97</v>
      </c>
      <c r="I105">
        <f t="shared" si="4"/>
        <v>0.59999999999999987</v>
      </c>
    </row>
    <row r="106" spans="1:9" x14ac:dyDescent="0.3">
      <c r="A106" t="s">
        <v>11</v>
      </c>
      <c r="B106" t="s">
        <v>9</v>
      </c>
      <c r="C106" t="s">
        <v>44</v>
      </c>
      <c r="D106">
        <v>6</v>
      </c>
      <c r="E106">
        <v>15</v>
      </c>
      <c r="F106" s="2">
        <v>10</v>
      </c>
      <c r="G106">
        <v>2.68</v>
      </c>
      <c r="H106">
        <v>2.0299999999999998</v>
      </c>
      <c r="I106">
        <f t="shared" si="4"/>
        <v>0.65000000000000036</v>
      </c>
    </row>
    <row r="107" spans="1:9" x14ac:dyDescent="0.3">
      <c r="A107" t="s">
        <v>12</v>
      </c>
      <c r="B107" t="s">
        <v>5</v>
      </c>
      <c r="C107" t="s">
        <v>44</v>
      </c>
      <c r="D107">
        <v>6</v>
      </c>
      <c r="E107">
        <v>16</v>
      </c>
      <c r="F107" s="2">
        <v>10</v>
      </c>
      <c r="G107">
        <v>2.96</v>
      </c>
      <c r="H107">
        <v>1.96</v>
      </c>
      <c r="I107">
        <f t="shared" si="4"/>
        <v>1</v>
      </c>
    </row>
    <row r="108" spans="1:9" x14ac:dyDescent="0.3">
      <c r="A108" t="s">
        <v>12</v>
      </c>
      <c r="B108" t="s">
        <v>6</v>
      </c>
      <c r="C108" t="s">
        <v>44</v>
      </c>
      <c r="D108">
        <v>6</v>
      </c>
      <c r="E108">
        <v>17</v>
      </c>
      <c r="F108" s="2">
        <v>10</v>
      </c>
      <c r="G108">
        <v>2.89</v>
      </c>
      <c r="H108">
        <v>1.96</v>
      </c>
      <c r="I108">
        <f t="shared" si="4"/>
        <v>0.93000000000000016</v>
      </c>
    </row>
    <row r="109" spans="1:9" x14ac:dyDescent="0.3">
      <c r="A109" t="s">
        <v>12</v>
      </c>
      <c r="B109" t="s">
        <v>7</v>
      </c>
      <c r="C109" t="s">
        <v>44</v>
      </c>
      <c r="D109">
        <v>6</v>
      </c>
      <c r="E109">
        <v>18</v>
      </c>
      <c r="F109" s="2">
        <v>10</v>
      </c>
      <c r="G109">
        <v>3.02</v>
      </c>
      <c r="H109">
        <v>1.98</v>
      </c>
      <c r="I109">
        <f t="shared" si="4"/>
        <v>1.04</v>
      </c>
    </row>
    <row r="110" spans="1:9" x14ac:dyDescent="0.3">
      <c r="A110" t="s">
        <v>12</v>
      </c>
      <c r="B110" t="s">
        <v>8</v>
      </c>
      <c r="C110" t="s">
        <v>44</v>
      </c>
      <c r="D110">
        <v>6</v>
      </c>
      <c r="E110">
        <v>19</v>
      </c>
      <c r="F110" s="2">
        <v>10</v>
      </c>
      <c r="G110">
        <v>2.4900000000000002</v>
      </c>
      <c r="H110">
        <v>1.79</v>
      </c>
      <c r="I110">
        <f t="shared" si="4"/>
        <v>0.70000000000000018</v>
      </c>
    </row>
    <row r="111" spans="1:9" x14ac:dyDescent="0.3">
      <c r="A111" t="s">
        <v>12</v>
      </c>
      <c r="B111" t="s">
        <v>9</v>
      </c>
      <c r="C111" t="s">
        <v>44</v>
      </c>
      <c r="D111">
        <v>6</v>
      </c>
      <c r="E111">
        <v>20</v>
      </c>
      <c r="F111" s="2">
        <v>10</v>
      </c>
      <c r="G111">
        <v>2.5499999999999998</v>
      </c>
      <c r="H111">
        <v>2.0099999999999998</v>
      </c>
      <c r="I111">
        <f t="shared" si="4"/>
        <v>0.54</v>
      </c>
    </row>
    <row r="112" spans="1:9" x14ac:dyDescent="0.3">
      <c r="A112" t="s">
        <v>13</v>
      </c>
      <c r="B112" t="s">
        <v>5</v>
      </c>
      <c r="C112" t="s">
        <v>44</v>
      </c>
      <c r="D112">
        <v>7</v>
      </c>
      <c r="E112">
        <v>21</v>
      </c>
      <c r="F112" s="2">
        <v>10</v>
      </c>
      <c r="G112">
        <v>2.81</v>
      </c>
      <c r="H112">
        <v>2.0499999999999998</v>
      </c>
      <c r="I112">
        <f t="shared" si="4"/>
        <v>0.76000000000000023</v>
      </c>
    </row>
    <row r="113" spans="1:9" x14ac:dyDescent="0.3">
      <c r="A113" t="s">
        <v>13</v>
      </c>
      <c r="B113" t="s">
        <v>6</v>
      </c>
      <c r="C113" t="s">
        <v>44</v>
      </c>
      <c r="D113">
        <v>7</v>
      </c>
      <c r="E113">
        <v>22</v>
      </c>
      <c r="F113" s="2">
        <v>10</v>
      </c>
      <c r="G113">
        <v>2.62</v>
      </c>
      <c r="H113">
        <v>2.04</v>
      </c>
      <c r="I113">
        <f t="shared" si="4"/>
        <v>0.58000000000000007</v>
      </c>
    </row>
    <row r="114" spans="1:9" x14ac:dyDescent="0.3">
      <c r="A114" t="s">
        <v>13</v>
      </c>
      <c r="B114" t="s">
        <v>7</v>
      </c>
      <c r="C114" t="s">
        <v>44</v>
      </c>
      <c r="D114">
        <v>7</v>
      </c>
      <c r="E114">
        <v>23</v>
      </c>
      <c r="F114" s="2">
        <v>10</v>
      </c>
      <c r="G114">
        <v>2.39</v>
      </c>
      <c r="H114">
        <v>1.76</v>
      </c>
      <c r="I114">
        <f t="shared" si="4"/>
        <v>0.63000000000000012</v>
      </c>
    </row>
    <row r="115" spans="1:9" x14ac:dyDescent="0.3">
      <c r="A115" t="s">
        <v>13</v>
      </c>
      <c r="B115" t="s">
        <v>8</v>
      </c>
      <c r="C115" t="s">
        <v>44</v>
      </c>
      <c r="D115">
        <v>7</v>
      </c>
      <c r="E115">
        <v>24</v>
      </c>
      <c r="F115" s="2">
        <v>10</v>
      </c>
      <c r="G115">
        <v>2.69</v>
      </c>
      <c r="H115">
        <v>2.08</v>
      </c>
      <c r="I115">
        <f t="shared" si="4"/>
        <v>0.60999999999999988</v>
      </c>
    </row>
    <row r="116" spans="1:9" x14ac:dyDescent="0.3">
      <c r="A116" t="s">
        <v>13</v>
      </c>
      <c r="B116" t="s">
        <v>9</v>
      </c>
      <c r="C116" t="s">
        <v>44</v>
      </c>
      <c r="D116">
        <v>7</v>
      </c>
      <c r="E116">
        <v>25</v>
      </c>
      <c r="F116" s="2">
        <v>10</v>
      </c>
      <c r="G116">
        <v>2.48</v>
      </c>
      <c r="H116">
        <v>1.96</v>
      </c>
      <c r="I116">
        <f t="shared" si="4"/>
        <v>0.52</v>
      </c>
    </row>
    <row r="117" spans="1:9" x14ac:dyDescent="0.3">
      <c r="A117" t="s">
        <v>15</v>
      </c>
      <c r="B117" t="s">
        <v>5</v>
      </c>
      <c r="C117" t="s">
        <v>44</v>
      </c>
      <c r="D117">
        <v>7</v>
      </c>
      <c r="E117">
        <v>26</v>
      </c>
      <c r="F117" s="2">
        <v>10</v>
      </c>
      <c r="G117">
        <v>2.83</v>
      </c>
      <c r="H117">
        <v>2</v>
      </c>
      <c r="I117">
        <f t="shared" si="4"/>
        <v>0.83000000000000007</v>
      </c>
    </row>
    <row r="118" spans="1:9" x14ac:dyDescent="0.3">
      <c r="A118" t="s">
        <v>15</v>
      </c>
      <c r="B118" t="s">
        <v>6</v>
      </c>
      <c r="C118" t="s">
        <v>44</v>
      </c>
      <c r="D118">
        <v>7</v>
      </c>
      <c r="E118">
        <v>27</v>
      </c>
      <c r="F118" s="2">
        <v>10</v>
      </c>
      <c r="G118">
        <v>2.88</v>
      </c>
      <c r="H118">
        <v>1.97</v>
      </c>
      <c r="I118">
        <f t="shared" si="4"/>
        <v>0.90999999999999992</v>
      </c>
    </row>
    <row r="119" spans="1:9" x14ac:dyDescent="0.3">
      <c r="A119" t="s">
        <v>15</v>
      </c>
      <c r="B119" t="s">
        <v>7</v>
      </c>
      <c r="C119" t="s">
        <v>44</v>
      </c>
      <c r="D119">
        <v>7</v>
      </c>
      <c r="E119">
        <v>28</v>
      </c>
      <c r="F119" s="2">
        <v>10</v>
      </c>
      <c r="G119">
        <v>2.7</v>
      </c>
      <c r="H119">
        <v>2.0099999999999998</v>
      </c>
      <c r="I119">
        <f t="shared" si="4"/>
        <v>0.69000000000000039</v>
      </c>
    </row>
    <row r="120" spans="1:9" x14ac:dyDescent="0.3">
      <c r="A120" t="s">
        <v>15</v>
      </c>
      <c r="B120" t="s">
        <v>8</v>
      </c>
      <c r="C120" t="s">
        <v>44</v>
      </c>
      <c r="D120">
        <v>7</v>
      </c>
      <c r="E120">
        <v>29</v>
      </c>
      <c r="F120" s="2">
        <v>10</v>
      </c>
      <c r="G120">
        <v>2.38</v>
      </c>
      <c r="H120">
        <v>1.93</v>
      </c>
      <c r="I120">
        <f t="shared" si="4"/>
        <v>0.44999999999999996</v>
      </c>
    </row>
    <row r="121" spans="1:9" x14ac:dyDescent="0.3">
      <c r="A121" t="s">
        <v>15</v>
      </c>
      <c r="B121" t="s">
        <v>9</v>
      </c>
      <c r="C121" t="s">
        <v>44</v>
      </c>
      <c r="D121">
        <v>7</v>
      </c>
      <c r="E121">
        <v>30</v>
      </c>
      <c r="F121" s="2">
        <v>10</v>
      </c>
      <c r="G121">
        <v>2.65</v>
      </c>
      <c r="H121">
        <v>2.09</v>
      </c>
      <c r="I121">
        <f t="shared" si="4"/>
        <v>0.56000000000000005</v>
      </c>
    </row>
    <row r="122" spans="1:9" x14ac:dyDescent="0.3">
      <c r="A122" t="s">
        <v>16</v>
      </c>
      <c r="B122" t="s">
        <v>5</v>
      </c>
      <c r="C122" t="s">
        <v>44</v>
      </c>
      <c r="D122">
        <v>7</v>
      </c>
      <c r="E122">
        <v>31</v>
      </c>
      <c r="F122" s="2">
        <v>10</v>
      </c>
      <c r="G122">
        <v>2.96</v>
      </c>
      <c r="H122">
        <v>1.79</v>
      </c>
      <c r="I122">
        <f t="shared" si="4"/>
        <v>1.17</v>
      </c>
    </row>
    <row r="123" spans="1:9" x14ac:dyDescent="0.3">
      <c r="A123" t="s">
        <v>16</v>
      </c>
      <c r="B123" t="s">
        <v>6</v>
      </c>
      <c r="C123" t="s">
        <v>44</v>
      </c>
      <c r="D123">
        <v>7</v>
      </c>
      <c r="E123">
        <v>32</v>
      </c>
      <c r="F123" s="2">
        <v>10</v>
      </c>
      <c r="G123">
        <v>2.71</v>
      </c>
      <c r="H123">
        <v>1.76</v>
      </c>
      <c r="I123">
        <f t="shared" si="4"/>
        <v>0.95</v>
      </c>
    </row>
    <row r="124" spans="1:9" x14ac:dyDescent="0.3">
      <c r="A124" t="s">
        <v>16</v>
      </c>
      <c r="B124" t="s">
        <v>7</v>
      </c>
      <c r="C124" t="s">
        <v>44</v>
      </c>
      <c r="D124">
        <v>7</v>
      </c>
      <c r="E124">
        <v>33</v>
      </c>
      <c r="F124" s="2">
        <v>10</v>
      </c>
      <c r="G124">
        <v>2.61</v>
      </c>
      <c r="H124">
        <v>1.83</v>
      </c>
      <c r="I124">
        <f t="shared" si="4"/>
        <v>0.7799999999999998</v>
      </c>
    </row>
    <row r="125" spans="1:9" x14ac:dyDescent="0.3">
      <c r="A125" t="s">
        <v>16</v>
      </c>
      <c r="B125" t="s">
        <v>8</v>
      </c>
      <c r="C125" t="s">
        <v>44</v>
      </c>
      <c r="D125">
        <v>7</v>
      </c>
      <c r="E125">
        <v>34</v>
      </c>
      <c r="F125" s="2">
        <v>10</v>
      </c>
      <c r="G125">
        <v>2.52</v>
      </c>
      <c r="H125">
        <v>2.0499999999999998</v>
      </c>
      <c r="I125">
        <f t="shared" si="4"/>
        <v>0.4700000000000002</v>
      </c>
    </row>
    <row r="126" spans="1:9" x14ac:dyDescent="0.3">
      <c r="A126" t="s">
        <v>16</v>
      </c>
      <c r="B126" t="s">
        <v>9</v>
      </c>
      <c r="C126" t="s">
        <v>44</v>
      </c>
      <c r="D126">
        <v>7</v>
      </c>
      <c r="E126">
        <v>35</v>
      </c>
      <c r="F126" s="2">
        <v>10</v>
      </c>
      <c r="G126">
        <v>2.44</v>
      </c>
      <c r="H126">
        <v>2.06</v>
      </c>
      <c r="I126">
        <f t="shared" si="4"/>
        <v>0.37999999999999989</v>
      </c>
    </row>
    <row r="127" spans="1:9" x14ac:dyDescent="0.3">
      <c r="A127" t="s">
        <v>17</v>
      </c>
      <c r="B127" t="s">
        <v>5</v>
      </c>
      <c r="C127" t="s">
        <v>44</v>
      </c>
      <c r="D127">
        <v>7</v>
      </c>
      <c r="E127">
        <v>36</v>
      </c>
      <c r="F127" s="2">
        <v>10</v>
      </c>
      <c r="G127">
        <v>2.89</v>
      </c>
      <c r="H127">
        <v>1.91</v>
      </c>
      <c r="I127">
        <f t="shared" si="4"/>
        <v>0.9800000000000002</v>
      </c>
    </row>
    <row r="128" spans="1:9" x14ac:dyDescent="0.3">
      <c r="A128" t="s">
        <v>17</v>
      </c>
      <c r="B128" t="s">
        <v>6</v>
      </c>
      <c r="C128" t="s">
        <v>44</v>
      </c>
      <c r="D128">
        <v>7</v>
      </c>
      <c r="E128">
        <v>37</v>
      </c>
      <c r="F128" s="2">
        <v>10</v>
      </c>
      <c r="G128">
        <v>2.86</v>
      </c>
      <c r="H128">
        <v>2.29</v>
      </c>
      <c r="I128">
        <f t="shared" si="4"/>
        <v>0.56999999999999984</v>
      </c>
    </row>
    <row r="129" spans="1:10" x14ac:dyDescent="0.3">
      <c r="A129" t="s">
        <v>17</v>
      </c>
      <c r="B129" t="s">
        <v>7</v>
      </c>
      <c r="C129" t="s">
        <v>44</v>
      </c>
      <c r="D129">
        <v>7</v>
      </c>
      <c r="E129">
        <v>38</v>
      </c>
      <c r="F129" s="2">
        <v>10</v>
      </c>
      <c r="G129">
        <v>2.35</v>
      </c>
      <c r="H129">
        <v>2.04</v>
      </c>
      <c r="I129">
        <f t="shared" si="4"/>
        <v>0.31000000000000005</v>
      </c>
    </row>
    <row r="130" spans="1:10" x14ac:dyDescent="0.3">
      <c r="A130" t="s">
        <v>17</v>
      </c>
      <c r="B130" t="s">
        <v>8</v>
      </c>
      <c r="C130" t="s">
        <v>44</v>
      </c>
      <c r="D130">
        <v>7</v>
      </c>
      <c r="E130">
        <v>39</v>
      </c>
      <c r="F130" s="2">
        <v>10</v>
      </c>
      <c r="G130">
        <v>2.41</v>
      </c>
      <c r="H130">
        <v>1.8</v>
      </c>
      <c r="I130">
        <f t="shared" si="4"/>
        <v>0.6100000000000001</v>
      </c>
    </row>
    <row r="131" spans="1:10" x14ac:dyDescent="0.3">
      <c r="A131" t="s">
        <v>17</v>
      </c>
      <c r="B131" t="s">
        <v>9</v>
      </c>
      <c r="C131" t="s">
        <v>44</v>
      </c>
      <c r="D131">
        <v>7</v>
      </c>
      <c r="E131">
        <v>40</v>
      </c>
      <c r="F131" s="2">
        <v>10</v>
      </c>
      <c r="G131">
        <v>2.48</v>
      </c>
      <c r="H131">
        <v>2.1</v>
      </c>
      <c r="I131">
        <f t="shared" si="4"/>
        <v>0.37999999999999989</v>
      </c>
    </row>
    <row r="132" spans="1:10" x14ac:dyDescent="0.3">
      <c r="A132" t="s">
        <v>18</v>
      </c>
      <c r="B132" t="s">
        <v>5</v>
      </c>
      <c r="C132" t="s">
        <v>44</v>
      </c>
      <c r="D132">
        <v>8</v>
      </c>
      <c r="E132">
        <v>41</v>
      </c>
      <c r="F132" s="2">
        <v>10</v>
      </c>
      <c r="G132">
        <v>2.85</v>
      </c>
      <c r="H132">
        <v>2.12</v>
      </c>
      <c r="I132">
        <f t="shared" si="4"/>
        <v>0.73</v>
      </c>
    </row>
    <row r="133" spans="1:10" x14ac:dyDescent="0.3">
      <c r="A133" t="s">
        <v>18</v>
      </c>
      <c r="B133" t="s">
        <v>6</v>
      </c>
      <c r="C133" t="s">
        <v>44</v>
      </c>
      <c r="D133">
        <v>8</v>
      </c>
      <c r="E133">
        <v>42</v>
      </c>
      <c r="F133" s="2">
        <v>10</v>
      </c>
      <c r="G133">
        <v>2.57</v>
      </c>
      <c r="H133">
        <v>1.95</v>
      </c>
      <c r="I133">
        <f t="shared" si="4"/>
        <v>0.61999999999999988</v>
      </c>
    </row>
    <row r="134" spans="1:10" x14ac:dyDescent="0.3">
      <c r="A134" t="s">
        <v>18</v>
      </c>
      <c r="B134" t="s">
        <v>7</v>
      </c>
      <c r="C134" t="s">
        <v>44</v>
      </c>
      <c r="D134">
        <v>8</v>
      </c>
      <c r="E134">
        <v>43</v>
      </c>
      <c r="F134" s="2">
        <v>10</v>
      </c>
      <c r="G134">
        <v>2.31</v>
      </c>
      <c r="H134">
        <v>1.99</v>
      </c>
      <c r="I134">
        <f t="shared" si="4"/>
        <v>0.32000000000000006</v>
      </c>
    </row>
    <row r="135" spans="1:10" x14ac:dyDescent="0.3">
      <c r="A135" t="s">
        <v>18</v>
      </c>
      <c r="B135" t="s">
        <v>8</v>
      </c>
      <c r="C135" t="s">
        <v>44</v>
      </c>
      <c r="D135">
        <v>8</v>
      </c>
      <c r="E135">
        <v>44</v>
      </c>
      <c r="F135" s="2">
        <v>10</v>
      </c>
      <c r="G135">
        <v>2.57</v>
      </c>
      <c r="H135">
        <v>2.0099999999999998</v>
      </c>
      <c r="I135">
        <f t="shared" si="4"/>
        <v>0.56000000000000005</v>
      </c>
    </row>
    <row r="136" spans="1:10" x14ac:dyDescent="0.3">
      <c r="A136" t="s">
        <v>18</v>
      </c>
      <c r="B136" t="s">
        <v>9</v>
      </c>
      <c r="C136" t="s">
        <v>44</v>
      </c>
      <c r="D136">
        <v>8</v>
      </c>
      <c r="E136">
        <v>45</v>
      </c>
      <c r="F136" s="2">
        <v>10</v>
      </c>
      <c r="G136">
        <v>2.67</v>
      </c>
      <c r="H136">
        <v>2</v>
      </c>
      <c r="I136">
        <f t="shared" si="4"/>
        <v>0.66999999999999993</v>
      </c>
    </row>
    <row r="137" spans="1:10" x14ac:dyDescent="0.3">
      <c r="A137" t="s">
        <v>14</v>
      </c>
      <c r="B137" t="s">
        <v>5</v>
      </c>
      <c r="C137" t="s">
        <v>44</v>
      </c>
      <c r="D137">
        <v>8</v>
      </c>
      <c r="E137">
        <v>46</v>
      </c>
      <c r="F137" s="2">
        <v>10</v>
      </c>
      <c r="G137">
        <v>2.5</v>
      </c>
      <c r="H137">
        <v>1.93</v>
      </c>
      <c r="I137">
        <f t="shared" si="4"/>
        <v>0.57000000000000006</v>
      </c>
    </row>
    <row r="138" spans="1:10" x14ac:dyDescent="0.3">
      <c r="A138" t="s">
        <v>14</v>
      </c>
      <c r="B138" t="s">
        <v>6</v>
      </c>
      <c r="C138" t="s">
        <v>44</v>
      </c>
      <c r="D138">
        <v>8</v>
      </c>
      <c r="E138">
        <v>47</v>
      </c>
      <c r="F138" s="2">
        <v>10</v>
      </c>
      <c r="G138">
        <v>2.29</v>
      </c>
      <c r="H138">
        <v>1.77</v>
      </c>
      <c r="I138">
        <f t="shared" si="4"/>
        <v>0.52</v>
      </c>
    </row>
    <row r="139" spans="1:10" x14ac:dyDescent="0.3">
      <c r="A139" t="s">
        <v>14</v>
      </c>
      <c r="B139" t="s">
        <v>7</v>
      </c>
      <c r="C139" t="s">
        <v>44</v>
      </c>
      <c r="D139">
        <v>8</v>
      </c>
      <c r="E139">
        <v>48</v>
      </c>
      <c r="F139" s="2">
        <v>10</v>
      </c>
      <c r="G139">
        <v>2.4500000000000002</v>
      </c>
      <c r="H139">
        <v>1.96</v>
      </c>
      <c r="I139">
        <f t="shared" si="4"/>
        <v>0.49000000000000021</v>
      </c>
    </row>
    <row r="140" spans="1:10" x14ac:dyDescent="0.3">
      <c r="A140" t="s">
        <v>14</v>
      </c>
      <c r="B140" t="s">
        <v>8</v>
      </c>
      <c r="C140" t="s">
        <v>44</v>
      </c>
      <c r="D140">
        <v>8</v>
      </c>
      <c r="E140">
        <v>49</v>
      </c>
      <c r="F140" s="2">
        <v>10</v>
      </c>
      <c r="G140">
        <v>2.46</v>
      </c>
      <c r="H140">
        <v>1.98</v>
      </c>
      <c r="I140">
        <f t="shared" si="4"/>
        <v>0.48</v>
      </c>
    </row>
    <row r="141" spans="1:10" x14ac:dyDescent="0.3">
      <c r="A141" t="s">
        <v>14</v>
      </c>
      <c r="B141" t="s">
        <v>9</v>
      </c>
      <c r="C141" t="s">
        <v>44</v>
      </c>
      <c r="D141">
        <v>8</v>
      </c>
      <c r="E141">
        <v>50</v>
      </c>
      <c r="F141" s="2">
        <v>10</v>
      </c>
      <c r="G141">
        <v>2.31</v>
      </c>
      <c r="H141">
        <v>1.95</v>
      </c>
      <c r="I141">
        <f t="shared" si="4"/>
        <v>0.3600000000000001</v>
      </c>
    </row>
    <row r="142" spans="1:10" x14ac:dyDescent="0.3">
      <c r="A142" t="s">
        <v>19</v>
      </c>
      <c r="B142" t="s">
        <v>5</v>
      </c>
      <c r="C142" t="s">
        <v>44</v>
      </c>
      <c r="D142">
        <v>8</v>
      </c>
      <c r="E142">
        <v>51</v>
      </c>
      <c r="F142" s="2">
        <v>10</v>
      </c>
      <c r="G142">
        <v>4.08</v>
      </c>
      <c r="H142">
        <v>2.0299999999999998</v>
      </c>
      <c r="I142">
        <f t="shared" si="4"/>
        <v>2.0500000000000003</v>
      </c>
      <c r="J142" t="s">
        <v>47</v>
      </c>
    </row>
    <row r="143" spans="1:10" x14ac:dyDescent="0.3">
      <c r="A143" t="s">
        <v>19</v>
      </c>
      <c r="B143" t="s">
        <v>6</v>
      </c>
      <c r="C143" t="s">
        <v>44</v>
      </c>
      <c r="D143">
        <v>8</v>
      </c>
      <c r="E143">
        <v>52</v>
      </c>
      <c r="F143" s="2">
        <v>10</v>
      </c>
      <c r="G143">
        <v>3.24</v>
      </c>
      <c r="H143">
        <v>1.97</v>
      </c>
      <c r="I143">
        <f t="shared" si="4"/>
        <v>1.2700000000000002</v>
      </c>
    </row>
    <row r="144" spans="1:10" x14ac:dyDescent="0.3">
      <c r="A144" t="s">
        <v>19</v>
      </c>
      <c r="B144" t="s">
        <v>7</v>
      </c>
      <c r="C144" t="s">
        <v>44</v>
      </c>
      <c r="D144">
        <v>8</v>
      </c>
      <c r="E144">
        <v>53</v>
      </c>
      <c r="F144" s="2">
        <v>10</v>
      </c>
      <c r="G144">
        <v>2.67</v>
      </c>
      <c r="H144">
        <v>2.0699999999999998</v>
      </c>
      <c r="I144">
        <f t="shared" si="4"/>
        <v>0.60000000000000009</v>
      </c>
    </row>
    <row r="145" spans="1:9" x14ac:dyDescent="0.3">
      <c r="A145" t="s">
        <v>19</v>
      </c>
      <c r="B145" t="s">
        <v>8</v>
      </c>
      <c r="C145" t="s">
        <v>44</v>
      </c>
      <c r="D145">
        <v>8</v>
      </c>
      <c r="E145">
        <v>54</v>
      </c>
      <c r="F145" s="2">
        <v>10</v>
      </c>
      <c r="G145">
        <v>2.67</v>
      </c>
      <c r="H145">
        <v>1.97</v>
      </c>
      <c r="I145">
        <f t="shared" si="4"/>
        <v>0.7</v>
      </c>
    </row>
    <row r="146" spans="1:9" x14ac:dyDescent="0.3">
      <c r="A146" t="s">
        <v>19</v>
      </c>
      <c r="B146" t="s">
        <v>9</v>
      </c>
      <c r="C146" t="s">
        <v>44</v>
      </c>
      <c r="D146">
        <v>8</v>
      </c>
      <c r="E146">
        <v>55</v>
      </c>
      <c r="F146" s="2">
        <v>10</v>
      </c>
      <c r="G146">
        <v>2.39</v>
      </c>
      <c r="H146">
        <v>1.94</v>
      </c>
      <c r="I146">
        <f t="shared" si="4"/>
        <v>0.45000000000000018</v>
      </c>
    </row>
    <row r="147" spans="1:9" x14ac:dyDescent="0.3">
      <c r="A147" t="s">
        <v>20</v>
      </c>
      <c r="B147" t="s">
        <v>5</v>
      </c>
      <c r="C147" t="s">
        <v>44</v>
      </c>
      <c r="D147">
        <v>8</v>
      </c>
      <c r="E147">
        <v>56</v>
      </c>
      <c r="F147" s="2">
        <v>10</v>
      </c>
      <c r="G147">
        <v>2.34</v>
      </c>
      <c r="H147">
        <v>1.9</v>
      </c>
      <c r="I147">
        <f t="shared" si="4"/>
        <v>0.43999999999999995</v>
      </c>
    </row>
    <row r="148" spans="1:9" x14ac:dyDescent="0.3">
      <c r="A148" t="s">
        <v>20</v>
      </c>
      <c r="B148" t="s">
        <v>6</v>
      </c>
      <c r="C148" t="s">
        <v>44</v>
      </c>
      <c r="D148">
        <v>8</v>
      </c>
      <c r="E148">
        <v>57</v>
      </c>
      <c r="F148" s="2">
        <v>10</v>
      </c>
      <c r="G148">
        <v>2.31</v>
      </c>
      <c r="H148">
        <v>1.92</v>
      </c>
      <c r="I148">
        <f t="shared" si="4"/>
        <v>0.39000000000000012</v>
      </c>
    </row>
    <row r="149" spans="1:9" x14ac:dyDescent="0.3">
      <c r="A149" t="s">
        <v>20</v>
      </c>
      <c r="B149" t="s">
        <v>7</v>
      </c>
      <c r="C149" t="s">
        <v>44</v>
      </c>
      <c r="D149">
        <v>8</v>
      </c>
      <c r="E149">
        <v>58</v>
      </c>
      <c r="F149" s="2">
        <v>10</v>
      </c>
      <c r="G149">
        <v>2.25</v>
      </c>
      <c r="H149">
        <v>1.86</v>
      </c>
      <c r="I149">
        <f t="shared" si="4"/>
        <v>0.3899999999999999</v>
      </c>
    </row>
    <row r="150" spans="1:9" x14ac:dyDescent="0.3">
      <c r="A150" t="s">
        <v>20</v>
      </c>
      <c r="B150" t="s">
        <v>8</v>
      </c>
      <c r="C150" t="s">
        <v>44</v>
      </c>
      <c r="D150">
        <v>8</v>
      </c>
      <c r="E150">
        <v>59</v>
      </c>
      <c r="F150" s="2">
        <v>10</v>
      </c>
      <c r="G150">
        <v>2.11</v>
      </c>
      <c r="H150">
        <v>2.0499999999999998</v>
      </c>
      <c r="I150">
        <f t="shared" si="4"/>
        <v>6.0000000000000053E-2</v>
      </c>
    </row>
    <row r="151" spans="1:9" x14ac:dyDescent="0.3">
      <c r="A151" t="s">
        <v>20</v>
      </c>
      <c r="B151" t="s">
        <v>9</v>
      </c>
      <c r="C151" t="s">
        <v>44</v>
      </c>
      <c r="D151">
        <v>8</v>
      </c>
      <c r="E151">
        <v>60</v>
      </c>
      <c r="F151" s="2">
        <v>10</v>
      </c>
      <c r="G151">
        <v>2.21</v>
      </c>
      <c r="H151">
        <v>1.88</v>
      </c>
      <c r="I151">
        <f t="shared" si="4"/>
        <v>0.33000000000000007</v>
      </c>
    </row>
    <row r="152" spans="1:9" x14ac:dyDescent="0.3">
      <c r="A152" t="s">
        <v>21</v>
      </c>
      <c r="B152" t="s">
        <v>5</v>
      </c>
      <c r="C152" t="s">
        <v>44</v>
      </c>
      <c r="D152">
        <v>9</v>
      </c>
      <c r="E152">
        <v>61</v>
      </c>
      <c r="F152" s="2">
        <v>10</v>
      </c>
      <c r="G152">
        <v>2.7839999999999998</v>
      </c>
      <c r="H152" s="2">
        <v>1.9950000000000001</v>
      </c>
      <c r="I152">
        <f t="shared" si="4"/>
        <v>0.7889999999999997</v>
      </c>
    </row>
    <row r="153" spans="1:9" x14ac:dyDescent="0.3">
      <c r="A153" t="s">
        <v>21</v>
      </c>
      <c r="B153" t="s">
        <v>6</v>
      </c>
      <c r="C153" t="s">
        <v>44</v>
      </c>
      <c r="D153">
        <v>9</v>
      </c>
      <c r="E153">
        <v>62</v>
      </c>
      <c r="F153" s="2">
        <v>10</v>
      </c>
      <c r="G153">
        <v>2.7240000000000002</v>
      </c>
      <c r="H153" s="2">
        <v>2.1219999999999999</v>
      </c>
      <c r="I153">
        <f t="shared" si="4"/>
        <v>0.60200000000000031</v>
      </c>
    </row>
    <row r="154" spans="1:9" x14ac:dyDescent="0.3">
      <c r="A154" t="s">
        <v>21</v>
      </c>
      <c r="B154" t="s">
        <v>7</v>
      </c>
      <c r="C154" t="s">
        <v>44</v>
      </c>
      <c r="D154">
        <v>9</v>
      </c>
      <c r="E154">
        <v>63</v>
      </c>
      <c r="F154" s="2">
        <v>10</v>
      </c>
      <c r="G154">
        <v>2.4630000000000001</v>
      </c>
      <c r="H154" s="2">
        <v>2.0190000000000001</v>
      </c>
      <c r="I154">
        <f t="shared" si="4"/>
        <v>0.44399999999999995</v>
      </c>
    </row>
    <row r="155" spans="1:9" x14ac:dyDescent="0.3">
      <c r="A155" t="s">
        <v>21</v>
      </c>
      <c r="B155" t="s">
        <v>8</v>
      </c>
      <c r="C155" t="s">
        <v>44</v>
      </c>
      <c r="D155">
        <v>9</v>
      </c>
      <c r="E155">
        <v>64</v>
      </c>
      <c r="F155" s="2">
        <v>10</v>
      </c>
      <c r="G155">
        <v>2.335</v>
      </c>
      <c r="H155" s="2">
        <v>1.9710000000000001</v>
      </c>
      <c r="I155">
        <f t="shared" si="4"/>
        <v>0.36399999999999988</v>
      </c>
    </row>
    <row r="156" spans="1:9" x14ac:dyDescent="0.3">
      <c r="A156" t="s">
        <v>21</v>
      </c>
      <c r="B156" t="s">
        <v>9</v>
      </c>
      <c r="C156" t="s">
        <v>44</v>
      </c>
      <c r="D156">
        <v>9</v>
      </c>
      <c r="E156">
        <v>65</v>
      </c>
      <c r="F156" s="2">
        <v>10</v>
      </c>
      <c r="G156">
        <v>2.8</v>
      </c>
      <c r="H156" s="2">
        <v>1.96</v>
      </c>
      <c r="I156">
        <f t="shared" si="4"/>
        <v>0.83999999999999986</v>
      </c>
    </row>
    <row r="157" spans="1:9" x14ac:dyDescent="0.3">
      <c r="A157" t="s">
        <v>22</v>
      </c>
      <c r="B157" t="s">
        <v>5</v>
      </c>
      <c r="C157" t="s">
        <v>44</v>
      </c>
      <c r="D157">
        <v>9</v>
      </c>
      <c r="E157">
        <v>66</v>
      </c>
      <c r="F157" s="2">
        <v>10</v>
      </c>
      <c r="G157" s="2">
        <f>H157+I157</f>
        <v>2.4279999999999999</v>
      </c>
      <c r="H157" s="2">
        <v>2.012</v>
      </c>
      <c r="I157">
        <v>0.41599999999999998</v>
      </c>
    </row>
    <row r="158" spans="1:9" x14ac:dyDescent="0.3">
      <c r="A158" t="s">
        <v>22</v>
      </c>
      <c r="B158" t="s">
        <v>6</v>
      </c>
      <c r="C158" t="s">
        <v>44</v>
      </c>
      <c r="D158">
        <v>9</v>
      </c>
      <c r="E158">
        <v>67</v>
      </c>
      <c r="F158" s="2">
        <v>10</v>
      </c>
      <c r="G158">
        <v>2.431</v>
      </c>
      <c r="H158" s="2">
        <v>2.008</v>
      </c>
      <c r="I158">
        <f t="shared" si="4"/>
        <v>0.42300000000000004</v>
      </c>
    </row>
    <row r="159" spans="1:9" x14ac:dyDescent="0.3">
      <c r="A159" t="s">
        <v>22</v>
      </c>
      <c r="B159" t="s">
        <v>7</v>
      </c>
      <c r="C159" t="s">
        <v>44</v>
      </c>
      <c r="D159">
        <v>9</v>
      </c>
      <c r="E159">
        <v>68</v>
      </c>
      <c r="F159" s="2">
        <v>10</v>
      </c>
      <c r="G159">
        <v>2.5129999999999999</v>
      </c>
      <c r="H159" s="2">
        <v>2.0670000000000002</v>
      </c>
      <c r="I159">
        <f t="shared" si="4"/>
        <v>0.44599999999999973</v>
      </c>
    </row>
    <row r="160" spans="1:9" x14ac:dyDescent="0.3">
      <c r="A160" t="s">
        <v>22</v>
      </c>
      <c r="B160" t="s">
        <v>8</v>
      </c>
      <c r="C160" t="s">
        <v>44</v>
      </c>
      <c r="D160">
        <v>9</v>
      </c>
      <c r="E160">
        <v>69</v>
      </c>
      <c r="F160" s="2">
        <v>10</v>
      </c>
      <c r="G160">
        <v>2.605</v>
      </c>
      <c r="H160" s="2">
        <v>1.76</v>
      </c>
      <c r="I160">
        <f t="shared" si="4"/>
        <v>0.84499999999999997</v>
      </c>
    </row>
    <row r="161" spans="1:9" x14ac:dyDescent="0.3">
      <c r="A161" t="s">
        <v>22</v>
      </c>
      <c r="B161" t="s">
        <v>9</v>
      </c>
      <c r="C161" t="s">
        <v>44</v>
      </c>
      <c r="D161">
        <v>9</v>
      </c>
      <c r="E161">
        <v>70</v>
      </c>
      <c r="F161" s="2">
        <v>10</v>
      </c>
      <c r="G161">
        <v>2.4289999999999998</v>
      </c>
      <c r="H161" s="2">
        <v>2.0379999999999998</v>
      </c>
      <c r="I161">
        <f t="shared" si="4"/>
        <v>0.39100000000000001</v>
      </c>
    </row>
    <row r="162" spans="1:9" x14ac:dyDescent="0.3">
      <c r="A162" t="s">
        <v>23</v>
      </c>
      <c r="B162" t="s">
        <v>5</v>
      </c>
      <c r="C162" t="s">
        <v>44</v>
      </c>
      <c r="D162">
        <v>9</v>
      </c>
      <c r="E162">
        <v>71</v>
      </c>
      <c r="F162" s="2">
        <v>10</v>
      </c>
      <c r="G162">
        <v>2.3439999999999999</v>
      </c>
      <c r="H162" s="2">
        <v>1.8380000000000001</v>
      </c>
      <c r="I162">
        <f t="shared" si="4"/>
        <v>0.50599999999999978</v>
      </c>
    </row>
    <row r="163" spans="1:9" x14ac:dyDescent="0.3">
      <c r="A163" t="s">
        <v>23</v>
      </c>
      <c r="B163" t="s">
        <v>6</v>
      </c>
      <c r="C163" t="s">
        <v>44</v>
      </c>
      <c r="D163">
        <v>9</v>
      </c>
      <c r="E163">
        <v>72</v>
      </c>
      <c r="F163" s="2">
        <v>10</v>
      </c>
      <c r="G163">
        <v>2.359</v>
      </c>
      <c r="H163" s="2">
        <v>1.821</v>
      </c>
      <c r="I163">
        <f t="shared" si="4"/>
        <v>0.53800000000000003</v>
      </c>
    </row>
    <row r="164" spans="1:9" x14ac:dyDescent="0.3">
      <c r="A164" t="s">
        <v>23</v>
      </c>
      <c r="B164" t="s">
        <v>7</v>
      </c>
      <c r="C164" t="s">
        <v>44</v>
      </c>
      <c r="D164">
        <v>9</v>
      </c>
      <c r="E164">
        <v>73</v>
      </c>
      <c r="F164" s="2">
        <v>10</v>
      </c>
      <c r="G164">
        <v>2.3149999999999999</v>
      </c>
      <c r="H164" s="2">
        <v>1.7430000000000001</v>
      </c>
      <c r="I164">
        <f t="shared" si="4"/>
        <v>0.57199999999999984</v>
      </c>
    </row>
    <row r="165" spans="1:9" x14ac:dyDescent="0.3">
      <c r="A165" t="s">
        <v>23</v>
      </c>
      <c r="B165" t="s">
        <v>8</v>
      </c>
      <c r="C165" t="s">
        <v>44</v>
      </c>
      <c r="D165">
        <v>9</v>
      </c>
      <c r="E165">
        <v>74</v>
      </c>
      <c r="F165" s="2">
        <v>10</v>
      </c>
      <c r="G165">
        <v>2.137</v>
      </c>
      <c r="H165" s="2">
        <v>1.5960000000000001</v>
      </c>
      <c r="I165">
        <f t="shared" si="4"/>
        <v>0.54099999999999993</v>
      </c>
    </row>
    <row r="166" spans="1:9" x14ac:dyDescent="0.3">
      <c r="A166" t="s">
        <v>23</v>
      </c>
      <c r="B166" t="s">
        <v>9</v>
      </c>
      <c r="C166" t="s">
        <v>44</v>
      </c>
      <c r="D166">
        <v>9</v>
      </c>
      <c r="E166">
        <v>75</v>
      </c>
      <c r="F166" s="2">
        <v>10</v>
      </c>
      <c r="G166">
        <v>2.2400000000000002</v>
      </c>
      <c r="H166" s="2">
        <v>1.84</v>
      </c>
      <c r="I166">
        <f t="shared" si="4"/>
        <v>0.40000000000000013</v>
      </c>
    </row>
    <row r="167" spans="1:9" x14ac:dyDescent="0.3">
      <c r="A167" t="s">
        <v>24</v>
      </c>
      <c r="B167" t="s">
        <v>5</v>
      </c>
      <c r="C167" t="s">
        <v>44</v>
      </c>
      <c r="D167">
        <v>9</v>
      </c>
      <c r="E167">
        <v>76</v>
      </c>
      <c r="F167" s="2">
        <v>10</v>
      </c>
      <c r="G167">
        <v>2.629</v>
      </c>
      <c r="H167" s="2">
        <v>1.798</v>
      </c>
      <c r="I167">
        <f t="shared" si="4"/>
        <v>0.83099999999999996</v>
      </c>
    </row>
    <row r="168" spans="1:9" x14ac:dyDescent="0.3">
      <c r="A168" t="s">
        <v>24</v>
      </c>
      <c r="B168" t="s">
        <v>6</v>
      </c>
      <c r="C168" t="s">
        <v>44</v>
      </c>
      <c r="D168">
        <v>9</v>
      </c>
      <c r="E168">
        <v>77</v>
      </c>
      <c r="F168" s="2">
        <v>10</v>
      </c>
      <c r="G168">
        <v>2.6110000000000002</v>
      </c>
      <c r="H168" s="2">
        <v>1.7290000000000001</v>
      </c>
      <c r="I168">
        <f t="shared" si="4"/>
        <v>0.88200000000000012</v>
      </c>
    </row>
    <row r="169" spans="1:9" x14ac:dyDescent="0.3">
      <c r="A169" t="s">
        <v>24</v>
      </c>
      <c r="B169" t="s">
        <v>7</v>
      </c>
      <c r="C169" t="s">
        <v>44</v>
      </c>
      <c r="D169">
        <v>9</v>
      </c>
      <c r="E169">
        <v>78</v>
      </c>
      <c r="F169" s="2">
        <v>10</v>
      </c>
      <c r="G169">
        <v>2.6459999999999999</v>
      </c>
      <c r="H169" s="2">
        <v>1.7789999999999999</v>
      </c>
      <c r="I169">
        <f t="shared" si="4"/>
        <v>0.86699999999999999</v>
      </c>
    </row>
    <row r="170" spans="1:9" x14ac:dyDescent="0.3">
      <c r="A170" t="s">
        <v>24</v>
      </c>
      <c r="B170" t="s">
        <v>8</v>
      </c>
      <c r="C170" t="s">
        <v>44</v>
      </c>
      <c r="D170">
        <v>9</v>
      </c>
      <c r="E170">
        <v>79</v>
      </c>
      <c r="F170" s="2">
        <v>10</v>
      </c>
      <c r="G170">
        <v>2.339</v>
      </c>
      <c r="H170" s="2">
        <v>1.7330000000000001</v>
      </c>
      <c r="I170">
        <f t="shared" si="4"/>
        <v>0.60599999999999987</v>
      </c>
    </row>
    <row r="171" spans="1:9" x14ac:dyDescent="0.3">
      <c r="A171" t="s">
        <v>24</v>
      </c>
      <c r="B171" t="s">
        <v>9</v>
      </c>
      <c r="C171" t="s">
        <v>44</v>
      </c>
      <c r="D171">
        <v>9</v>
      </c>
      <c r="E171">
        <v>80</v>
      </c>
      <c r="F171" s="2">
        <v>10</v>
      </c>
      <c r="G171">
        <v>2.2599999999999998</v>
      </c>
      <c r="H171" s="2">
        <v>1.7989999999999999</v>
      </c>
      <c r="I171">
        <f t="shared" si="4"/>
        <v>0.46099999999999985</v>
      </c>
    </row>
    <row r="172" spans="1:9" x14ac:dyDescent="0.3">
      <c r="A172" t="s">
        <v>25</v>
      </c>
      <c r="B172" t="s">
        <v>5</v>
      </c>
      <c r="C172" t="s">
        <v>44</v>
      </c>
      <c r="D172">
        <v>10</v>
      </c>
      <c r="E172">
        <v>81</v>
      </c>
      <c r="F172" s="2">
        <v>10</v>
      </c>
      <c r="G172">
        <v>2.0960000000000001</v>
      </c>
      <c r="H172" s="2">
        <v>1.8029999999999999</v>
      </c>
      <c r="I172">
        <f t="shared" si="4"/>
        <v>0.29300000000000015</v>
      </c>
    </row>
    <row r="173" spans="1:9" x14ac:dyDescent="0.3">
      <c r="A173" t="s">
        <v>25</v>
      </c>
      <c r="B173" t="s">
        <v>6</v>
      </c>
      <c r="C173" t="s">
        <v>44</v>
      </c>
      <c r="D173">
        <v>10</v>
      </c>
      <c r="E173">
        <v>82</v>
      </c>
      <c r="F173" s="2">
        <v>10</v>
      </c>
      <c r="G173">
        <v>2.1800000000000002</v>
      </c>
      <c r="H173" s="2">
        <v>1.583</v>
      </c>
      <c r="I173">
        <f t="shared" si="4"/>
        <v>0.5970000000000002</v>
      </c>
    </row>
    <row r="174" spans="1:9" x14ac:dyDescent="0.3">
      <c r="A174" t="s">
        <v>25</v>
      </c>
      <c r="B174" t="s">
        <v>7</v>
      </c>
      <c r="C174" t="s">
        <v>44</v>
      </c>
      <c r="D174">
        <v>10</v>
      </c>
      <c r="E174">
        <v>83</v>
      </c>
      <c r="F174" s="2">
        <v>10</v>
      </c>
      <c r="G174">
        <f>2.218-0.028</f>
        <v>2.19</v>
      </c>
      <c r="H174" s="2">
        <v>1.7270000000000001</v>
      </c>
      <c r="I174">
        <f t="shared" si="4"/>
        <v>0.46299999999999986</v>
      </c>
    </row>
    <row r="175" spans="1:9" x14ac:dyDescent="0.3">
      <c r="A175" t="s">
        <v>25</v>
      </c>
      <c r="B175" t="s">
        <v>8</v>
      </c>
      <c r="C175" t="s">
        <v>44</v>
      </c>
      <c r="D175">
        <v>10</v>
      </c>
      <c r="E175">
        <v>84</v>
      </c>
      <c r="F175" s="2">
        <v>10</v>
      </c>
      <c r="G175">
        <v>2.532</v>
      </c>
      <c r="H175" s="2">
        <v>2.036</v>
      </c>
      <c r="I175">
        <f t="shared" si="4"/>
        <v>0.496</v>
      </c>
    </row>
    <row r="176" spans="1:9" x14ac:dyDescent="0.3">
      <c r="A176" t="s">
        <v>25</v>
      </c>
      <c r="B176" t="s">
        <v>9</v>
      </c>
      <c r="C176" t="s">
        <v>44</v>
      </c>
      <c r="D176">
        <v>10</v>
      </c>
      <c r="E176">
        <v>85</v>
      </c>
      <c r="F176" s="2">
        <v>10</v>
      </c>
      <c r="G176">
        <v>2.4009999999999998</v>
      </c>
      <c r="H176" s="2">
        <v>1.823</v>
      </c>
      <c r="I176">
        <f t="shared" ref="I176:I181" si="5">G176-H176</f>
        <v>0.57799999999999985</v>
      </c>
    </row>
    <row r="177" spans="1:9" x14ac:dyDescent="0.3">
      <c r="A177" t="s">
        <v>26</v>
      </c>
      <c r="B177" t="s">
        <v>5</v>
      </c>
      <c r="C177" t="s">
        <v>44</v>
      </c>
      <c r="D177">
        <v>10</v>
      </c>
      <c r="E177">
        <v>86</v>
      </c>
      <c r="F177" s="2">
        <v>10</v>
      </c>
      <c r="G177">
        <v>2.4209999999999998</v>
      </c>
      <c r="H177" s="2">
        <v>1.7430000000000001</v>
      </c>
      <c r="I177">
        <f t="shared" si="5"/>
        <v>0.67799999999999971</v>
      </c>
    </row>
    <row r="178" spans="1:9" x14ac:dyDescent="0.3">
      <c r="A178" t="s">
        <v>26</v>
      </c>
      <c r="B178" t="s">
        <v>6</v>
      </c>
      <c r="C178" t="s">
        <v>44</v>
      </c>
      <c r="D178">
        <v>10</v>
      </c>
      <c r="E178">
        <v>87</v>
      </c>
      <c r="F178" s="2">
        <v>10</v>
      </c>
      <c r="G178">
        <v>2.5990000000000002</v>
      </c>
      <c r="H178" s="2">
        <v>1.966</v>
      </c>
      <c r="I178">
        <f t="shared" si="5"/>
        <v>0.63300000000000023</v>
      </c>
    </row>
    <row r="179" spans="1:9" x14ac:dyDescent="0.3">
      <c r="A179" t="s">
        <v>26</v>
      </c>
      <c r="B179" t="s">
        <v>7</v>
      </c>
      <c r="C179" t="s">
        <v>44</v>
      </c>
      <c r="D179">
        <v>10</v>
      </c>
      <c r="E179">
        <v>88</v>
      </c>
      <c r="F179" s="2">
        <v>10</v>
      </c>
      <c r="G179">
        <v>2.2650000000000001</v>
      </c>
      <c r="H179" s="2">
        <v>1.722</v>
      </c>
      <c r="I179">
        <f t="shared" si="5"/>
        <v>0.54300000000000015</v>
      </c>
    </row>
    <row r="180" spans="1:9" x14ac:dyDescent="0.3">
      <c r="A180" t="s">
        <v>26</v>
      </c>
      <c r="B180" t="s">
        <v>8</v>
      </c>
      <c r="C180" t="s">
        <v>44</v>
      </c>
      <c r="D180">
        <v>10</v>
      </c>
      <c r="E180">
        <v>89</v>
      </c>
      <c r="F180" s="2">
        <v>10</v>
      </c>
      <c r="G180" s="2">
        <f>H180+I180</f>
        <v>2.3650000000000002</v>
      </c>
      <c r="H180" s="2">
        <v>1.901</v>
      </c>
      <c r="I180">
        <v>0.46400000000000002</v>
      </c>
    </row>
    <row r="181" spans="1:9" x14ac:dyDescent="0.3">
      <c r="A181" t="s">
        <v>26</v>
      </c>
      <c r="B181" t="s">
        <v>9</v>
      </c>
      <c r="C181" t="s">
        <v>44</v>
      </c>
      <c r="D181">
        <v>10</v>
      </c>
      <c r="E181">
        <v>90</v>
      </c>
      <c r="F181" s="2">
        <v>10</v>
      </c>
      <c r="G181">
        <v>2.2749999999999999</v>
      </c>
      <c r="H181" s="2">
        <v>1.7150000000000001</v>
      </c>
      <c r="I181">
        <f t="shared" si="5"/>
        <v>0.55999999999999983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55B9-B4B3-4C93-AC80-56C8EC603028}">
  <dimension ref="A1:M12"/>
  <sheetViews>
    <sheetView zoomScale="108" workbookViewId="0">
      <selection activeCell="J13" sqref="J13"/>
    </sheetView>
  </sheetViews>
  <sheetFormatPr defaultRowHeight="14.4" x14ac:dyDescent="0.3"/>
  <cols>
    <col min="2" max="2" width="16.88671875" customWidth="1"/>
    <col min="3" max="3" width="10.33203125" bestFit="1" customWidth="1"/>
    <col min="4" max="4" width="15" customWidth="1"/>
    <col min="5" max="5" width="14.6640625" bestFit="1" customWidth="1"/>
    <col min="7" max="7" width="13.6640625" bestFit="1" customWidth="1"/>
    <col min="8" max="8" width="12.88671875" bestFit="1" customWidth="1"/>
    <col min="9" max="9" width="12.33203125" bestFit="1" customWidth="1"/>
    <col min="10" max="10" width="18.109375" bestFit="1" customWidth="1"/>
    <col min="11" max="11" width="12.33203125" bestFit="1" customWidth="1"/>
    <col min="12" max="12" width="13.44140625" bestFit="1" customWidth="1"/>
  </cols>
  <sheetData>
    <row r="1" spans="1:13" x14ac:dyDescent="0.3">
      <c r="G1" t="s">
        <v>35</v>
      </c>
      <c r="J1" t="s">
        <v>38</v>
      </c>
    </row>
    <row r="2" spans="1:13" x14ac:dyDescent="0.3">
      <c r="A2" t="s">
        <v>27</v>
      </c>
      <c r="B2" t="s">
        <v>31</v>
      </c>
      <c r="C2" t="s">
        <v>30</v>
      </c>
      <c r="D2" t="s">
        <v>28</v>
      </c>
      <c r="E2" t="s">
        <v>29</v>
      </c>
      <c r="F2" t="s">
        <v>45</v>
      </c>
      <c r="G2" t="s">
        <v>39</v>
      </c>
      <c r="H2" t="s">
        <v>37</v>
      </c>
      <c r="I2" t="s">
        <v>36</v>
      </c>
      <c r="J2" t="s">
        <v>39</v>
      </c>
      <c r="K2" t="s">
        <v>37</v>
      </c>
      <c r="L2" t="s">
        <v>36</v>
      </c>
      <c r="M2" t="s">
        <v>48</v>
      </c>
    </row>
    <row r="3" spans="1:13" x14ac:dyDescent="0.3">
      <c r="A3">
        <v>1</v>
      </c>
      <c r="B3" s="3">
        <v>45379.708333333336</v>
      </c>
      <c r="C3" s="4">
        <v>45380</v>
      </c>
      <c r="D3" s="3">
        <v>45383.71875</v>
      </c>
      <c r="E3" s="4">
        <v>45384</v>
      </c>
      <c r="F3" t="s">
        <v>46</v>
      </c>
      <c r="I3">
        <v>1.4</v>
      </c>
      <c r="L3">
        <v>1.1599999999999999</v>
      </c>
      <c r="M3">
        <v>10</v>
      </c>
    </row>
    <row r="4" spans="1:13" x14ac:dyDescent="0.3">
      <c r="A4">
        <v>2</v>
      </c>
      <c r="B4" s="3">
        <v>45384.708333333336</v>
      </c>
      <c r="C4" s="4">
        <v>45385</v>
      </c>
      <c r="D4" s="3">
        <v>45387.5625</v>
      </c>
      <c r="E4" s="3">
        <v>45392.46875</v>
      </c>
      <c r="F4" t="s">
        <v>46</v>
      </c>
      <c r="G4">
        <v>3.59</v>
      </c>
      <c r="H4">
        <v>1.8</v>
      </c>
      <c r="I4">
        <f t="shared" ref="I4:I12" si="0">G4-H4</f>
        <v>1.7899999999999998</v>
      </c>
      <c r="J4">
        <v>3.31</v>
      </c>
      <c r="K4">
        <v>2.02</v>
      </c>
      <c r="L4">
        <f t="shared" ref="L4:L12" si="1">J4-K4</f>
        <v>1.29</v>
      </c>
      <c r="M4">
        <v>10</v>
      </c>
    </row>
    <row r="5" spans="1:13" x14ac:dyDescent="0.3">
      <c r="A5">
        <v>3</v>
      </c>
      <c r="B5" s="3">
        <v>45384.708333333336</v>
      </c>
      <c r="C5" s="4">
        <v>45385</v>
      </c>
      <c r="D5" s="3">
        <v>45391.743055555555</v>
      </c>
      <c r="E5" s="3">
        <v>45757.743055555555</v>
      </c>
      <c r="F5" t="s">
        <v>46</v>
      </c>
      <c r="G5">
        <v>3.72</v>
      </c>
      <c r="H5">
        <v>2.08</v>
      </c>
      <c r="I5">
        <f t="shared" si="0"/>
        <v>1.6400000000000001</v>
      </c>
      <c r="J5">
        <v>3.42</v>
      </c>
      <c r="K5">
        <v>1.97</v>
      </c>
      <c r="L5">
        <f t="shared" si="1"/>
        <v>1.45</v>
      </c>
      <c r="M5">
        <v>10</v>
      </c>
    </row>
    <row r="6" spans="1:13" x14ac:dyDescent="0.3">
      <c r="A6">
        <v>4</v>
      </c>
      <c r="B6" s="3">
        <v>45391.75</v>
      </c>
      <c r="C6" s="4">
        <v>45392</v>
      </c>
      <c r="D6" s="3">
        <v>45392.6875</v>
      </c>
      <c r="E6" s="3">
        <v>45398.458333333336</v>
      </c>
      <c r="F6" t="s">
        <v>46</v>
      </c>
      <c r="G6">
        <v>2.92</v>
      </c>
      <c r="H6">
        <v>1.6</v>
      </c>
      <c r="I6">
        <f t="shared" si="0"/>
        <v>1.3199999999999998</v>
      </c>
      <c r="J6">
        <v>3.17</v>
      </c>
      <c r="K6">
        <v>1.77</v>
      </c>
      <c r="L6">
        <f t="shared" si="1"/>
        <v>1.4</v>
      </c>
      <c r="M6">
        <v>10</v>
      </c>
    </row>
    <row r="7" spans="1:13" x14ac:dyDescent="0.3">
      <c r="A7">
        <v>5</v>
      </c>
      <c r="B7" s="3">
        <v>45398.694444444445</v>
      </c>
      <c r="C7" s="4">
        <v>45399</v>
      </c>
      <c r="D7" s="3">
        <v>45400.590277777781</v>
      </c>
      <c r="E7" s="3">
        <v>45404.604166666664</v>
      </c>
      <c r="F7" t="s">
        <v>46</v>
      </c>
      <c r="G7">
        <v>3.11</v>
      </c>
      <c r="H7">
        <v>1.93</v>
      </c>
      <c r="I7">
        <f t="shared" si="0"/>
        <v>1.18</v>
      </c>
      <c r="J7">
        <v>3.04</v>
      </c>
      <c r="K7">
        <v>1.91</v>
      </c>
      <c r="L7">
        <f t="shared" si="1"/>
        <v>1.1300000000000001</v>
      </c>
      <c r="M7">
        <v>10</v>
      </c>
    </row>
    <row r="8" spans="1:13" x14ac:dyDescent="0.3">
      <c r="A8">
        <v>6</v>
      </c>
      <c r="B8" s="4">
        <v>45408</v>
      </c>
      <c r="C8" s="4">
        <v>45411</v>
      </c>
      <c r="D8" s="4">
        <v>45414.666666666664</v>
      </c>
      <c r="E8" s="4">
        <v>45422</v>
      </c>
      <c r="F8" t="s">
        <v>46</v>
      </c>
      <c r="G8">
        <v>3.23</v>
      </c>
      <c r="H8">
        <v>1.77</v>
      </c>
      <c r="I8">
        <f t="shared" si="0"/>
        <v>1.46</v>
      </c>
      <c r="J8">
        <v>2.97</v>
      </c>
      <c r="K8">
        <v>1.74</v>
      </c>
      <c r="L8">
        <f t="shared" si="1"/>
        <v>1.2300000000000002</v>
      </c>
      <c r="M8">
        <v>10</v>
      </c>
    </row>
    <row r="9" spans="1:13" x14ac:dyDescent="0.3">
      <c r="A9">
        <v>7</v>
      </c>
      <c r="B9" s="4">
        <v>45413</v>
      </c>
      <c r="C9" s="4">
        <v>45415</v>
      </c>
      <c r="D9" s="3">
        <v>45418.708333333336</v>
      </c>
      <c r="E9" s="4">
        <v>45422</v>
      </c>
      <c r="F9" t="s">
        <v>46</v>
      </c>
      <c r="G9">
        <v>3.13</v>
      </c>
      <c r="H9">
        <v>1.82</v>
      </c>
      <c r="I9">
        <f t="shared" si="0"/>
        <v>1.3099999999999998</v>
      </c>
      <c r="J9">
        <v>2.96</v>
      </c>
      <c r="K9">
        <v>1.76</v>
      </c>
      <c r="L9">
        <f t="shared" si="1"/>
        <v>1.2</v>
      </c>
      <c r="M9">
        <v>10</v>
      </c>
    </row>
    <row r="10" spans="1:13" x14ac:dyDescent="0.3">
      <c r="A10">
        <v>8</v>
      </c>
      <c r="B10" s="4">
        <v>45415</v>
      </c>
      <c r="C10" s="4">
        <v>45418</v>
      </c>
      <c r="D10" s="4">
        <v>45420</v>
      </c>
      <c r="E10" s="4">
        <v>45422</v>
      </c>
      <c r="F10" t="s">
        <v>46</v>
      </c>
      <c r="G10">
        <v>3.02</v>
      </c>
      <c r="H10">
        <v>1.82</v>
      </c>
      <c r="I10">
        <f t="shared" si="0"/>
        <v>1.2</v>
      </c>
      <c r="J10">
        <v>3.06</v>
      </c>
      <c r="K10">
        <v>1.72</v>
      </c>
      <c r="L10">
        <f t="shared" si="1"/>
        <v>1.34</v>
      </c>
      <c r="M10">
        <v>10</v>
      </c>
    </row>
    <row r="11" spans="1:13" x14ac:dyDescent="0.3">
      <c r="A11">
        <v>9</v>
      </c>
      <c r="B11" s="4">
        <v>45425</v>
      </c>
      <c r="C11" s="4">
        <v>45426</v>
      </c>
      <c r="D11" s="3">
        <v>45427.625</v>
      </c>
      <c r="E11" s="3">
        <v>45428.625</v>
      </c>
      <c r="F11" t="s">
        <v>46</v>
      </c>
      <c r="G11">
        <v>3.101</v>
      </c>
      <c r="H11" s="2">
        <v>1.7689999999999999</v>
      </c>
      <c r="I11">
        <f t="shared" si="0"/>
        <v>1.3320000000000001</v>
      </c>
      <c r="J11">
        <v>3.036</v>
      </c>
      <c r="K11" s="2">
        <v>1.825</v>
      </c>
      <c r="L11">
        <f t="shared" si="1"/>
        <v>1.2110000000000001</v>
      </c>
      <c r="M11">
        <v>10</v>
      </c>
    </row>
    <row r="12" spans="1:13" x14ac:dyDescent="0.3">
      <c r="A12">
        <v>10</v>
      </c>
      <c r="B12" s="4">
        <v>45425</v>
      </c>
      <c r="C12" s="4">
        <v>45426</v>
      </c>
      <c r="D12" s="3">
        <v>45428.552083333336</v>
      </c>
      <c r="E12" s="3">
        <v>45429.5625</v>
      </c>
      <c r="F12" t="s">
        <v>46</v>
      </c>
      <c r="G12">
        <v>3.3119999999999998</v>
      </c>
      <c r="H12" s="2">
        <v>2.1059999999999999</v>
      </c>
      <c r="I12">
        <f t="shared" si="0"/>
        <v>1.206</v>
      </c>
      <c r="J12">
        <v>2.9580000000000002</v>
      </c>
      <c r="K12" s="2">
        <v>1.7210000000000001</v>
      </c>
      <c r="L12">
        <f t="shared" si="1"/>
        <v>1.2370000000000001</v>
      </c>
      <c r="M1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E4457-4588-4702-9427-590989DE131C}">
  <dimension ref="A1:K1"/>
  <sheetViews>
    <sheetView workbookViewId="0">
      <selection sqref="A1:K1"/>
    </sheetView>
  </sheetViews>
  <sheetFormatPr defaultRowHeight="14.4" x14ac:dyDescent="0.3"/>
  <sheetData>
    <row r="1" spans="1:11" x14ac:dyDescent="0.3">
      <c r="A1" t="s">
        <v>21</v>
      </c>
      <c r="B1" t="s">
        <v>9</v>
      </c>
      <c r="C1" t="s">
        <v>43</v>
      </c>
      <c r="D1">
        <v>1</v>
      </c>
      <c r="E1">
        <v>10</v>
      </c>
      <c r="F1" s="2">
        <v>10</v>
      </c>
      <c r="I1">
        <v>2.33</v>
      </c>
      <c r="J1">
        <v>2.37</v>
      </c>
      <c r="K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Controls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Chelsea Marie Peterson</dc:creator>
  <cp:lastModifiedBy>Peterson, Chelsea Marie</cp:lastModifiedBy>
  <dcterms:created xsi:type="dcterms:W3CDTF">2024-03-26T18:08:10Z</dcterms:created>
  <dcterms:modified xsi:type="dcterms:W3CDTF">2024-05-17T21:38:04Z</dcterms:modified>
</cp:coreProperties>
</file>