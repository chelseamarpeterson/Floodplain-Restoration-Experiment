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Ch1/SoilData/"/>
    </mc:Choice>
  </mc:AlternateContent>
  <xr:revisionPtr revIDLastSave="1806" documentId="11_0479CFFDF84875F5279AB37530E5ADCE81A7F336" xr6:coauthVersionLast="47" xr6:coauthVersionMax="47" xr10:uidLastSave="{93A2C036-B4C5-4761-8418-DD7895FCBFE5}"/>
  <bookViews>
    <workbookView xWindow="-28920" yWindow="-120" windowWidth="29040" windowHeight="15990" firstSheet="5" activeTab="11" xr2:uid="{00000000-000D-0000-FFFF-FFFF00000000}"/>
  </bookViews>
  <sheets>
    <sheet name="Bulk TC masses, one depth" sheetId="13" r:id="rId1"/>
    <sheet name="Bulk TC masses, both depths" sheetId="12" r:id="rId2"/>
    <sheet name="Aggregate sample masses" sheetId="1" r:id="rId3"/>
    <sheet name="Waypoint sample masses" sheetId="2" r:id="rId4"/>
    <sheet name="Waypoint sample numbers" sheetId="3" state="hidden" r:id="rId5"/>
    <sheet name="Waypoint results" sheetId="4" r:id="rId6"/>
    <sheet name="Texture results" sheetId="5" r:id="rId7"/>
    <sheet name="Bulk density" sheetId="6" r:id="rId8"/>
    <sheet name="Soil Temperature" sheetId="7" r:id="rId9"/>
    <sheet name="Note for Soil Temp" sheetId="8" r:id="rId10"/>
    <sheet name="Woody Plots" sheetId="9" r:id="rId11"/>
    <sheet name="CWD" sheetId="10" r:id="rId12"/>
    <sheet name="Note for WP &amp; CWD" sheetId="1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2" i="13"/>
  <c r="J48" i="1"/>
  <c r="F48" i="1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63" i="13"/>
  <c r="E56" i="13"/>
  <c r="E57" i="13"/>
  <c r="E58" i="13"/>
  <c r="E59" i="13"/>
  <c r="E60" i="13"/>
  <c r="E61" i="13"/>
  <c r="E62" i="13"/>
  <c r="E55" i="13"/>
  <c r="E54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2" i="13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36" i="12"/>
  <c r="F37" i="12"/>
  <c r="F38" i="12"/>
  <c r="F39" i="12"/>
  <c r="F28" i="12"/>
  <c r="F29" i="12"/>
  <c r="F30" i="12"/>
  <c r="F31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32" i="12"/>
  <c r="F33" i="12"/>
  <c r="F34" i="12"/>
  <c r="F35" i="12"/>
  <c r="F2" i="1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2" i="1"/>
  <c r="F503" i="1"/>
  <c r="F502" i="1"/>
  <c r="J530" i="1"/>
  <c r="J531" i="1"/>
  <c r="J532" i="1"/>
  <c r="J533" i="1"/>
  <c r="J529" i="1"/>
  <c r="J524" i="1"/>
  <c r="J525" i="1"/>
  <c r="J526" i="1"/>
  <c r="J527" i="1"/>
  <c r="J523" i="1"/>
  <c r="J518" i="1"/>
  <c r="J519" i="1"/>
  <c r="J520" i="1"/>
  <c r="J521" i="1"/>
  <c r="J516" i="1" s="1"/>
  <c r="J517" i="1"/>
  <c r="J512" i="1"/>
  <c r="J513" i="1"/>
  <c r="J514" i="1"/>
  <c r="J515" i="1"/>
  <c r="J511" i="1"/>
  <c r="J506" i="1"/>
  <c r="J507" i="1"/>
  <c r="J508" i="1"/>
  <c r="J509" i="1"/>
  <c r="J505" i="1"/>
  <c r="J500" i="1"/>
  <c r="J501" i="1"/>
  <c r="J502" i="1"/>
  <c r="J503" i="1"/>
  <c r="J499" i="1"/>
  <c r="J494" i="1"/>
  <c r="J495" i="1"/>
  <c r="J496" i="1"/>
  <c r="J497" i="1"/>
  <c r="J493" i="1"/>
  <c r="J488" i="1"/>
  <c r="J489" i="1"/>
  <c r="J490" i="1"/>
  <c r="J491" i="1"/>
  <c r="J487" i="1"/>
  <c r="J482" i="1"/>
  <c r="J483" i="1"/>
  <c r="J484" i="1"/>
  <c r="J485" i="1"/>
  <c r="J481" i="1"/>
  <c r="J476" i="1"/>
  <c r="J477" i="1"/>
  <c r="J478" i="1"/>
  <c r="J479" i="1"/>
  <c r="J475" i="1"/>
  <c r="J470" i="1"/>
  <c r="J471" i="1"/>
  <c r="J472" i="1"/>
  <c r="J473" i="1"/>
  <c r="J469" i="1"/>
  <c r="J464" i="1"/>
  <c r="J465" i="1"/>
  <c r="J466" i="1"/>
  <c r="J467" i="1"/>
  <c r="J463" i="1"/>
  <c r="J458" i="1"/>
  <c r="J459" i="1"/>
  <c r="J460" i="1"/>
  <c r="J461" i="1"/>
  <c r="J457" i="1"/>
  <c r="J452" i="1"/>
  <c r="J453" i="1"/>
  <c r="J454" i="1"/>
  <c r="J455" i="1"/>
  <c r="J451" i="1"/>
  <c r="J446" i="1"/>
  <c r="J447" i="1"/>
  <c r="J448" i="1"/>
  <c r="J449" i="1"/>
  <c r="J445" i="1"/>
  <c r="J440" i="1"/>
  <c r="J441" i="1"/>
  <c r="J442" i="1"/>
  <c r="J443" i="1"/>
  <c r="J434" i="1"/>
  <c r="J435" i="1"/>
  <c r="J436" i="1"/>
  <c r="J437" i="1"/>
  <c r="J433" i="1"/>
  <c r="J428" i="1"/>
  <c r="J429" i="1"/>
  <c r="J430" i="1"/>
  <c r="J431" i="1"/>
  <c r="J422" i="1"/>
  <c r="J423" i="1"/>
  <c r="J424" i="1"/>
  <c r="J425" i="1"/>
  <c r="J416" i="1"/>
  <c r="J417" i="1"/>
  <c r="J418" i="1"/>
  <c r="J419" i="1"/>
  <c r="J410" i="1"/>
  <c r="J411" i="1"/>
  <c r="J412" i="1"/>
  <c r="J413" i="1"/>
  <c r="J409" i="1"/>
  <c r="J404" i="1"/>
  <c r="J405" i="1"/>
  <c r="J406" i="1"/>
  <c r="J407" i="1"/>
  <c r="J403" i="1"/>
  <c r="J398" i="1"/>
  <c r="J399" i="1"/>
  <c r="J400" i="1"/>
  <c r="J401" i="1"/>
  <c r="J397" i="1"/>
  <c r="J392" i="1"/>
  <c r="J393" i="1"/>
  <c r="J394" i="1"/>
  <c r="J395" i="1"/>
  <c r="J391" i="1"/>
  <c r="J386" i="1"/>
  <c r="J387" i="1"/>
  <c r="J388" i="1"/>
  <c r="J389" i="1"/>
  <c r="J385" i="1"/>
  <c r="J380" i="1"/>
  <c r="J381" i="1"/>
  <c r="J382" i="1"/>
  <c r="J383" i="1"/>
  <c r="J379" i="1"/>
  <c r="J374" i="1"/>
  <c r="J375" i="1"/>
  <c r="J376" i="1"/>
  <c r="J377" i="1"/>
  <c r="J373" i="1"/>
  <c r="J368" i="1"/>
  <c r="J369" i="1"/>
  <c r="J370" i="1"/>
  <c r="J371" i="1"/>
  <c r="J367" i="1"/>
  <c r="J362" i="1"/>
  <c r="J363" i="1"/>
  <c r="J364" i="1"/>
  <c r="J365" i="1"/>
  <c r="J356" i="1"/>
  <c r="J357" i="1"/>
  <c r="J358" i="1"/>
  <c r="J359" i="1"/>
  <c r="J355" i="1"/>
  <c r="J350" i="1"/>
  <c r="J351" i="1"/>
  <c r="J352" i="1"/>
  <c r="J353" i="1"/>
  <c r="J349" i="1"/>
  <c r="J344" i="1"/>
  <c r="J345" i="1"/>
  <c r="J346" i="1"/>
  <c r="J347" i="1"/>
  <c r="J338" i="1"/>
  <c r="J339" i="1"/>
  <c r="J340" i="1"/>
  <c r="J341" i="1"/>
  <c r="J332" i="1"/>
  <c r="J333" i="1"/>
  <c r="J334" i="1"/>
  <c r="J335" i="1"/>
  <c r="J331" i="1"/>
  <c r="J326" i="1"/>
  <c r="J327" i="1"/>
  <c r="J328" i="1"/>
  <c r="J329" i="1"/>
  <c r="J325" i="1"/>
  <c r="J320" i="1"/>
  <c r="J321" i="1"/>
  <c r="J322" i="1"/>
  <c r="J323" i="1"/>
  <c r="J319" i="1"/>
  <c r="J314" i="1"/>
  <c r="J315" i="1"/>
  <c r="J316" i="1"/>
  <c r="J317" i="1"/>
  <c r="J313" i="1"/>
  <c r="J308" i="1"/>
  <c r="J309" i="1"/>
  <c r="J310" i="1"/>
  <c r="J311" i="1"/>
  <c r="J307" i="1"/>
  <c r="J302" i="1"/>
  <c r="J303" i="1"/>
  <c r="J304" i="1"/>
  <c r="J305" i="1"/>
  <c r="J301" i="1"/>
  <c r="J296" i="1"/>
  <c r="J297" i="1"/>
  <c r="J298" i="1"/>
  <c r="J299" i="1"/>
  <c r="J295" i="1"/>
  <c r="J290" i="1"/>
  <c r="J291" i="1"/>
  <c r="J292" i="1"/>
  <c r="J293" i="1"/>
  <c r="J289" i="1"/>
  <c r="J284" i="1"/>
  <c r="J285" i="1"/>
  <c r="J286" i="1"/>
  <c r="J287" i="1"/>
  <c r="J283" i="1"/>
  <c r="J278" i="1"/>
  <c r="J279" i="1"/>
  <c r="J280" i="1"/>
  <c r="J281" i="1"/>
  <c r="J277" i="1"/>
  <c r="J272" i="1"/>
  <c r="J273" i="1"/>
  <c r="J274" i="1"/>
  <c r="J275" i="1"/>
  <c r="J266" i="1"/>
  <c r="J267" i="1"/>
  <c r="J268" i="1"/>
  <c r="J269" i="1"/>
  <c r="J260" i="1"/>
  <c r="J261" i="1"/>
  <c r="J262" i="1"/>
  <c r="J263" i="1"/>
  <c r="J254" i="1"/>
  <c r="J255" i="1"/>
  <c r="J256" i="1"/>
  <c r="J257" i="1"/>
  <c r="J248" i="1"/>
  <c r="J249" i="1"/>
  <c r="J250" i="1"/>
  <c r="J251" i="1"/>
  <c r="J242" i="1"/>
  <c r="J243" i="1"/>
  <c r="J244" i="1"/>
  <c r="J245" i="1"/>
  <c r="J236" i="1"/>
  <c r="J237" i="1"/>
  <c r="J238" i="1"/>
  <c r="J239" i="1"/>
  <c r="J230" i="1"/>
  <c r="J231" i="1"/>
  <c r="J232" i="1"/>
  <c r="J233" i="1"/>
  <c r="J224" i="1"/>
  <c r="J225" i="1"/>
  <c r="J226" i="1"/>
  <c r="J227" i="1"/>
  <c r="J218" i="1"/>
  <c r="J219" i="1"/>
  <c r="J220" i="1"/>
  <c r="J221" i="1"/>
  <c r="J212" i="1"/>
  <c r="J213" i="1"/>
  <c r="J214" i="1"/>
  <c r="J215" i="1"/>
  <c r="J206" i="1"/>
  <c r="J207" i="1"/>
  <c r="J208" i="1"/>
  <c r="J209" i="1"/>
  <c r="J200" i="1"/>
  <c r="J201" i="1"/>
  <c r="J202" i="1"/>
  <c r="J203" i="1"/>
  <c r="J194" i="1"/>
  <c r="J195" i="1"/>
  <c r="J196" i="1"/>
  <c r="J197" i="1"/>
  <c r="J188" i="1"/>
  <c r="J189" i="1"/>
  <c r="J190" i="1"/>
  <c r="J191" i="1"/>
  <c r="J182" i="1"/>
  <c r="J183" i="1"/>
  <c r="J184" i="1"/>
  <c r="J185" i="1"/>
  <c r="J176" i="1"/>
  <c r="J177" i="1"/>
  <c r="J178" i="1"/>
  <c r="J179" i="1"/>
  <c r="J170" i="1"/>
  <c r="J171" i="1"/>
  <c r="J172" i="1"/>
  <c r="J173" i="1"/>
  <c r="J164" i="1"/>
  <c r="J165" i="1"/>
  <c r="J166" i="1"/>
  <c r="J167" i="1"/>
  <c r="J158" i="1"/>
  <c r="J159" i="1"/>
  <c r="J160" i="1"/>
  <c r="J161" i="1"/>
  <c r="J152" i="1"/>
  <c r="J153" i="1"/>
  <c r="J154" i="1"/>
  <c r="J155" i="1"/>
  <c r="J146" i="1"/>
  <c r="J147" i="1"/>
  <c r="J148" i="1"/>
  <c r="J149" i="1"/>
  <c r="J140" i="1"/>
  <c r="J141" i="1"/>
  <c r="J142" i="1"/>
  <c r="J143" i="1"/>
  <c r="J134" i="1"/>
  <c r="J135" i="1"/>
  <c r="J136" i="1"/>
  <c r="J137" i="1"/>
  <c r="J128" i="1"/>
  <c r="J129" i="1"/>
  <c r="J130" i="1"/>
  <c r="J131" i="1"/>
  <c r="J122" i="1"/>
  <c r="J123" i="1"/>
  <c r="J124" i="1"/>
  <c r="J125" i="1"/>
  <c r="J116" i="1"/>
  <c r="J117" i="1"/>
  <c r="J118" i="1"/>
  <c r="J119" i="1"/>
  <c r="J110" i="1"/>
  <c r="J111" i="1"/>
  <c r="J112" i="1"/>
  <c r="J113" i="1"/>
  <c r="J104" i="1"/>
  <c r="J105" i="1"/>
  <c r="J106" i="1"/>
  <c r="J107" i="1"/>
  <c r="J103" i="1"/>
  <c r="J98" i="1"/>
  <c r="J99" i="1"/>
  <c r="J100" i="1"/>
  <c r="J101" i="1"/>
  <c r="J92" i="1"/>
  <c r="J93" i="1"/>
  <c r="J94" i="1"/>
  <c r="J95" i="1"/>
  <c r="J86" i="1"/>
  <c r="J87" i="1"/>
  <c r="J88" i="1"/>
  <c r="J89" i="1"/>
  <c r="J80" i="1"/>
  <c r="J81" i="1"/>
  <c r="J82" i="1"/>
  <c r="J83" i="1"/>
  <c r="J74" i="1"/>
  <c r="J75" i="1"/>
  <c r="J76" i="1"/>
  <c r="J77" i="1"/>
  <c r="J68" i="1"/>
  <c r="J69" i="1"/>
  <c r="J70" i="1"/>
  <c r="J71" i="1"/>
  <c r="J67" i="1"/>
  <c r="J62" i="1"/>
  <c r="J63" i="1"/>
  <c r="J64" i="1"/>
  <c r="J65" i="1"/>
  <c r="J61" i="1"/>
  <c r="J56" i="1"/>
  <c r="J57" i="1"/>
  <c r="J58" i="1"/>
  <c r="J59" i="1"/>
  <c r="J50" i="1"/>
  <c r="J51" i="1"/>
  <c r="J52" i="1"/>
  <c r="J53" i="1"/>
  <c r="J44" i="1"/>
  <c r="J45" i="1"/>
  <c r="J46" i="1"/>
  <c r="J47" i="1"/>
  <c r="J39" i="1"/>
  <c r="J40" i="1"/>
  <c r="J41" i="1"/>
  <c r="J55" i="1"/>
  <c r="J49" i="1"/>
  <c r="J43" i="1"/>
  <c r="J38" i="1"/>
  <c r="J34" i="1"/>
  <c r="J35" i="1"/>
  <c r="J36" i="1"/>
  <c r="J33" i="1"/>
  <c r="J29" i="1"/>
  <c r="J30" i="1"/>
  <c r="J31" i="1"/>
  <c r="J28" i="1"/>
  <c r="J27" i="1" s="1"/>
  <c r="J24" i="1"/>
  <c r="J25" i="1"/>
  <c r="J26" i="1"/>
  <c r="J23" i="1"/>
  <c r="J19" i="1"/>
  <c r="J20" i="1"/>
  <c r="J21" i="1"/>
  <c r="J14" i="1"/>
  <c r="J15" i="1"/>
  <c r="J16" i="1"/>
  <c r="J13" i="1"/>
  <c r="J9" i="1"/>
  <c r="J10" i="1"/>
  <c r="J11" i="1"/>
  <c r="J8" i="1"/>
  <c r="J4" i="1"/>
  <c r="J5" i="1"/>
  <c r="J6" i="1"/>
  <c r="J3" i="1"/>
  <c r="J121" i="1"/>
  <c r="J361" i="1"/>
  <c r="J109" i="1"/>
  <c r="J343" i="1"/>
  <c r="J115" i="1"/>
  <c r="J265" i="1"/>
  <c r="J271" i="1"/>
  <c r="J337" i="1"/>
  <c r="J223" i="1"/>
  <c r="J229" i="1"/>
  <c r="J247" i="1"/>
  <c r="J235" i="1"/>
  <c r="J175" i="1"/>
  <c r="J241" i="1"/>
  <c r="J253" i="1"/>
  <c r="J259" i="1"/>
  <c r="J181" i="1"/>
  <c r="J187" i="1"/>
  <c r="J193" i="1"/>
  <c r="J199" i="1"/>
  <c r="J205" i="1"/>
  <c r="J211" i="1"/>
  <c r="J217" i="1"/>
  <c r="J169" i="1"/>
  <c r="J163" i="1"/>
  <c r="J157" i="1"/>
  <c r="J151" i="1"/>
  <c r="J145" i="1"/>
  <c r="J139" i="1"/>
  <c r="J133" i="1"/>
  <c r="J127" i="1"/>
  <c r="J97" i="1"/>
  <c r="J91" i="1"/>
  <c r="J85" i="1"/>
  <c r="J79" i="1"/>
  <c r="J73" i="1"/>
  <c r="J18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J439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J427" i="1"/>
  <c r="F427" i="1"/>
  <c r="F426" i="1"/>
  <c r="F425" i="1"/>
  <c r="F424" i="1"/>
  <c r="F423" i="1"/>
  <c r="F422" i="1"/>
  <c r="J421" i="1"/>
  <c r="F421" i="1"/>
  <c r="F420" i="1"/>
  <c r="F419" i="1"/>
  <c r="F418" i="1"/>
  <c r="F417" i="1"/>
  <c r="F416" i="1"/>
  <c r="J415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49" i="1"/>
  <c r="F43" i="1"/>
  <c r="F53" i="1"/>
  <c r="F52" i="1"/>
  <c r="F51" i="1"/>
  <c r="F50" i="1"/>
  <c r="F47" i="1"/>
  <c r="F46" i="1"/>
  <c r="F45" i="1"/>
  <c r="F44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J108" i="1" l="1"/>
  <c r="J180" i="1"/>
  <c r="J312" i="1"/>
  <c r="J336" i="1"/>
  <c r="J276" i="1"/>
  <c r="J396" i="1"/>
  <c r="J2" i="1"/>
  <c r="J12" i="1"/>
  <c r="J7" i="1"/>
  <c r="J17" i="1"/>
  <c r="J480" i="1"/>
  <c r="J78" i="1"/>
  <c r="J114" i="1"/>
  <c r="J126" i="1"/>
  <c r="J138" i="1"/>
  <c r="J150" i="1"/>
  <c r="J162" i="1"/>
  <c r="J174" i="1"/>
  <c r="J186" i="1"/>
  <c r="J234" i="1"/>
  <c r="J510" i="1"/>
  <c r="J528" i="1"/>
  <c r="J390" i="1"/>
  <c r="J450" i="1"/>
  <c r="J474" i="1"/>
  <c r="J492" i="1"/>
  <c r="J372" i="1"/>
  <c r="J432" i="1"/>
  <c r="J22" i="1"/>
  <c r="J354" i="1"/>
  <c r="J384" i="1"/>
  <c r="J402" i="1"/>
  <c r="J414" i="1"/>
  <c r="J330" i="1"/>
  <c r="J306" i="1"/>
  <c r="J438" i="1"/>
  <c r="J486" i="1"/>
  <c r="J72" i="1"/>
  <c r="J84" i="1"/>
  <c r="J198" i="1"/>
  <c r="J210" i="1"/>
  <c r="J222" i="1"/>
  <c r="J246" i="1"/>
  <c r="J258" i="1"/>
  <c r="J270" i="1"/>
  <c r="J420" i="1"/>
  <c r="J42" i="1"/>
  <c r="J54" i="1"/>
  <c r="J96" i="1"/>
  <c r="J378" i="1"/>
  <c r="J360" i="1"/>
  <c r="J32" i="1"/>
  <c r="J60" i="1"/>
  <c r="J144" i="1"/>
  <c r="J168" i="1"/>
  <c r="J324" i="1"/>
  <c r="J456" i="1"/>
  <c r="J342" i="1"/>
  <c r="J288" i="1"/>
  <c r="J408" i="1"/>
  <c r="J120" i="1"/>
  <c r="J132" i="1"/>
  <c r="J156" i="1"/>
  <c r="J192" i="1"/>
  <c r="J282" i="1"/>
  <c r="J300" i="1"/>
  <c r="J318" i="1"/>
  <c r="J468" i="1"/>
  <c r="J504" i="1"/>
  <c r="J522" i="1"/>
  <c r="J37" i="1"/>
  <c r="J66" i="1"/>
  <c r="J90" i="1"/>
  <c r="J204" i="1"/>
  <c r="J216" i="1"/>
  <c r="J228" i="1"/>
  <c r="J240" i="1"/>
  <c r="J252" i="1"/>
  <c r="J264" i="1"/>
  <c r="J102" i="1"/>
  <c r="J444" i="1"/>
  <c r="J462" i="1"/>
  <c r="J294" i="1"/>
  <c r="J348" i="1"/>
  <c r="J366" i="1"/>
  <c r="J426" i="1"/>
  <c r="J498" i="1"/>
</calcChain>
</file>

<file path=xl/sharedStrings.xml><?xml version="1.0" encoding="utf-8"?>
<sst xmlns="http://schemas.openxmlformats.org/spreadsheetml/2006/main" count="4968" uniqueCount="762">
  <si>
    <t>Boat number</t>
  </si>
  <si>
    <t>Size class</t>
  </si>
  <si>
    <t>Sample number</t>
  </si>
  <si>
    <t>Mass of boat (g)</t>
  </si>
  <si>
    <t>Mass of boat + sample (g)</t>
  </si>
  <si>
    <t>Mass of sample (g)</t>
  </si>
  <si>
    <t>Sieve date</t>
  </si>
  <si>
    <t>Mass of tin (g)</t>
  </si>
  <si>
    <t>Mass of tin + fragments (g)</t>
  </si>
  <si>
    <t>Mass of fragments (g)</t>
  </si>
  <si>
    <t>Mass of sample w/o fragments (g)</t>
  </si>
  <si>
    <t>Start dry time</t>
  </si>
  <si>
    <t>All water evaporated time</t>
  </si>
  <si>
    <t>Removed from oven time</t>
  </si>
  <si>
    <t>Notes</t>
  </si>
  <si>
    <t>1-1</t>
  </si>
  <si>
    <t>Full</t>
  </si>
  <si>
    <t>R1 Q1</t>
  </si>
  <si>
    <t>2-1</t>
  </si>
  <si>
    <t>&gt;4.75 mm</t>
  </si>
  <si>
    <t>&gt;2 mm</t>
  </si>
  <si>
    <t>&gt;250 um</t>
  </si>
  <si>
    <t>&gt;53 um</t>
  </si>
  <si>
    <t>R1 Q2</t>
  </si>
  <si>
    <t>R2 Q1</t>
  </si>
  <si>
    <t>13-1</t>
  </si>
  <si>
    <t>14-1</t>
  </si>
  <si>
    <t>15-1</t>
  </si>
  <si>
    <t>16-1</t>
  </si>
  <si>
    <t>R2 Q2</t>
  </si>
  <si>
    <t>17-1</t>
  </si>
  <si>
    <t>18-1</t>
  </si>
  <si>
    <t>19-1</t>
  </si>
  <si>
    <t>20-1</t>
  </si>
  <si>
    <t>21-1</t>
  </si>
  <si>
    <t>R2 Q5</t>
  </si>
  <si>
    <t>22-1</t>
  </si>
  <si>
    <t>23-1</t>
  </si>
  <si>
    <t>24-1</t>
  </si>
  <si>
    <t>25-1</t>
  </si>
  <si>
    <t>26-1</t>
  </si>
  <si>
    <t>R3 Q2</t>
  </si>
  <si>
    <t>27-1</t>
  </si>
  <si>
    <t>28-1</t>
  </si>
  <si>
    <t>29-1</t>
  </si>
  <si>
    <t>30-1</t>
  </si>
  <si>
    <t>31-1</t>
  </si>
  <si>
    <t>R1 Q5</t>
  </si>
  <si>
    <t>32-1</t>
  </si>
  <si>
    <t>33-1</t>
  </si>
  <si>
    <t>34-1</t>
  </si>
  <si>
    <t>35-1</t>
  </si>
  <si>
    <t>36-1</t>
  </si>
  <si>
    <t>E3 Q2</t>
  </si>
  <si>
    <t>37-1</t>
  </si>
  <si>
    <t>38-1</t>
  </si>
  <si>
    <t>39-1</t>
  </si>
  <si>
    <t>40-1</t>
  </si>
  <si>
    <t>41-1</t>
  </si>
  <si>
    <t>E3 Q3</t>
  </si>
  <si>
    <t>42-1</t>
  </si>
  <si>
    <t>43-1</t>
  </si>
  <si>
    <t>44-1</t>
  </si>
  <si>
    <t>45-1</t>
  </si>
  <si>
    <t>46-1</t>
  </si>
  <si>
    <t>E3 Q5</t>
  </si>
  <si>
    <t>47-1</t>
  </si>
  <si>
    <t>48-1</t>
  </si>
  <si>
    <t>49-1</t>
  </si>
  <si>
    <t>50-1</t>
  </si>
  <si>
    <t>51-1</t>
  </si>
  <si>
    <t>fPOM</t>
  </si>
  <si>
    <t>52-1</t>
  </si>
  <si>
    <t>53-1</t>
  </si>
  <si>
    <t>D2 Q5</t>
  </si>
  <si>
    <t>54-1</t>
  </si>
  <si>
    <t>55-1</t>
  </si>
  <si>
    <t>56-1</t>
  </si>
  <si>
    <t>57-1</t>
  </si>
  <si>
    <t>58-1</t>
  </si>
  <si>
    <t>59-1</t>
  </si>
  <si>
    <t>E2 Q4</t>
  </si>
  <si>
    <t>60-1</t>
  </si>
  <si>
    <t>61-1</t>
  </si>
  <si>
    <t>62-1</t>
  </si>
  <si>
    <t>63-1</t>
  </si>
  <si>
    <t>64-1</t>
  </si>
  <si>
    <t>65-1</t>
  </si>
  <si>
    <t>B3 Q5</t>
  </si>
  <si>
    <t>66-1</t>
  </si>
  <si>
    <t>67-1</t>
  </si>
  <si>
    <t>68-1</t>
  </si>
  <si>
    <t>69-1</t>
  </si>
  <si>
    <t>70-1</t>
  </si>
  <si>
    <t>71-1</t>
  </si>
  <si>
    <t>C3 Q3</t>
  </si>
  <si>
    <t>72-1</t>
  </si>
  <si>
    <t>73-1</t>
  </si>
  <si>
    <t>74-1</t>
  </si>
  <si>
    <t>75-1</t>
  </si>
  <si>
    <t>76-1</t>
  </si>
  <si>
    <t>77-1</t>
  </si>
  <si>
    <t>B1 Q4</t>
  </si>
  <si>
    <t>78-1</t>
  </si>
  <si>
    <t>79-1</t>
  </si>
  <si>
    <t>80-1</t>
  </si>
  <si>
    <t>81-1</t>
  </si>
  <si>
    <t>82-1</t>
  </si>
  <si>
    <t>83-1</t>
  </si>
  <si>
    <t>D2 Q2</t>
  </si>
  <si>
    <t>84-1</t>
  </si>
  <si>
    <t>85-1</t>
  </si>
  <si>
    <t>86-1</t>
  </si>
  <si>
    <t>87-1</t>
  </si>
  <si>
    <t>88-1</t>
  </si>
  <si>
    <t>A3 Q1</t>
  </si>
  <si>
    <t>1.5-2</t>
  </si>
  <si>
    <t>A2 Q2</t>
  </si>
  <si>
    <t>6.5-2</t>
  </si>
  <si>
    <t>Did not record mass on day removed; had to transfer to new tin and re-mass</t>
  </si>
  <si>
    <t>D2 Q4</t>
  </si>
  <si>
    <t>11.5-2</t>
  </si>
  <si>
    <t>13-2</t>
  </si>
  <si>
    <t>14-2</t>
  </si>
  <si>
    <t>15-2</t>
  </si>
  <si>
    <t>16-2</t>
  </si>
  <si>
    <t>E2 Q3</t>
  </si>
  <si>
    <t>16.5-2</t>
  </si>
  <si>
    <t>17-2</t>
  </si>
  <si>
    <t>18-2</t>
  </si>
  <si>
    <t>19-2</t>
  </si>
  <si>
    <t>20-2</t>
  </si>
  <si>
    <t>21-2</t>
  </si>
  <si>
    <t>E2 Q2</t>
  </si>
  <si>
    <t>Accidently switched top and bottom sieve, tried to re-do, but had issue with water film resisting</t>
  </si>
  <si>
    <t>21.5-2</t>
  </si>
  <si>
    <t>22-2</t>
  </si>
  <si>
    <t>23-2</t>
  </si>
  <si>
    <t>24-2</t>
  </si>
  <si>
    <t>25-2</t>
  </si>
  <si>
    <t>26-2</t>
  </si>
  <si>
    <t>B3 Q2</t>
  </si>
  <si>
    <t>26.5-2</t>
  </si>
  <si>
    <t>27-2</t>
  </si>
  <si>
    <t>28-2</t>
  </si>
  <si>
    <t>29-2</t>
  </si>
  <si>
    <t>30-2</t>
  </si>
  <si>
    <t>31-2</t>
  </si>
  <si>
    <t>B1 Q1</t>
  </si>
  <si>
    <t>31.5-2</t>
  </si>
  <si>
    <t>32-2</t>
  </si>
  <si>
    <t>33-2</t>
  </si>
  <si>
    <t>34-2</t>
  </si>
  <si>
    <t>35-2</t>
  </si>
  <si>
    <t>36-2</t>
  </si>
  <si>
    <t>D3 Q1</t>
  </si>
  <si>
    <t>36.5-2</t>
  </si>
  <si>
    <t>37-2</t>
  </si>
  <si>
    <t>38-2</t>
  </si>
  <si>
    <t>39-2</t>
  </si>
  <si>
    <t>40-2</t>
  </si>
  <si>
    <t>41-2</t>
  </si>
  <si>
    <t>D3 Q5</t>
  </si>
  <si>
    <t>41.5-2</t>
  </si>
  <si>
    <t>42-2</t>
  </si>
  <si>
    <t>43-2</t>
  </si>
  <si>
    <t>44-2</t>
  </si>
  <si>
    <t>45-2</t>
  </si>
  <si>
    <t>46-2</t>
  </si>
  <si>
    <t>E1 Q4</t>
  </si>
  <si>
    <t>46.5-2</t>
  </si>
  <si>
    <t>47-2</t>
  </si>
  <si>
    <t>48-2</t>
  </si>
  <si>
    <t>49-2</t>
  </si>
  <si>
    <t>50-2</t>
  </si>
  <si>
    <t>51-2</t>
  </si>
  <si>
    <t>E2 Q1</t>
  </si>
  <si>
    <t>51.5-2</t>
  </si>
  <si>
    <t>52-2</t>
  </si>
  <si>
    <t>53-2</t>
  </si>
  <si>
    <t>54-2</t>
  </si>
  <si>
    <t>55-2</t>
  </si>
  <si>
    <t>56-2</t>
  </si>
  <si>
    <t>R1 Q3</t>
  </si>
  <si>
    <t>56.5-2</t>
  </si>
  <si>
    <t>57-2</t>
  </si>
  <si>
    <t>58-2</t>
  </si>
  <si>
    <t>59-2</t>
  </si>
  <si>
    <t>60-2</t>
  </si>
  <si>
    <t>61-2</t>
  </si>
  <si>
    <t>E2 Q5</t>
  </si>
  <si>
    <t>61.5-2</t>
  </si>
  <si>
    <t>62-2</t>
  </si>
  <si>
    <t>63-2</t>
  </si>
  <si>
    <t>64-2</t>
  </si>
  <si>
    <t>65-2</t>
  </si>
  <si>
    <t>66-2</t>
  </si>
  <si>
    <t>D2 Q1</t>
  </si>
  <si>
    <t>66.5-2</t>
  </si>
  <si>
    <t>67-2</t>
  </si>
  <si>
    <t>68-2</t>
  </si>
  <si>
    <t>69-2</t>
  </si>
  <si>
    <t>70-2</t>
  </si>
  <si>
    <t>71-2</t>
  </si>
  <si>
    <t>E1 Q1</t>
  </si>
  <si>
    <t>71.5-2</t>
  </si>
  <si>
    <t>72-2</t>
  </si>
  <si>
    <t>Had to re-weigh in small tin</t>
  </si>
  <si>
    <t>73-2</t>
  </si>
  <si>
    <t>74-2</t>
  </si>
  <si>
    <t>75-2</t>
  </si>
  <si>
    <t>76-2</t>
  </si>
  <si>
    <t>D1 Q1</t>
  </si>
  <si>
    <t>76.5-2</t>
  </si>
  <si>
    <t>77-2</t>
  </si>
  <si>
    <t>78-2</t>
  </si>
  <si>
    <t>79-2</t>
  </si>
  <si>
    <t>80-2</t>
  </si>
  <si>
    <t>81-2</t>
  </si>
  <si>
    <t>D3 Q2</t>
  </si>
  <si>
    <t>81.5-2</t>
  </si>
  <si>
    <t>82-2</t>
  </si>
  <si>
    <t>83-2</t>
  </si>
  <si>
    <t>84-2</t>
  </si>
  <si>
    <t>85-2</t>
  </si>
  <si>
    <t>86-2</t>
  </si>
  <si>
    <t>R3 Q3</t>
  </si>
  <si>
    <t>86.5-2</t>
  </si>
  <si>
    <t>87-2</t>
  </si>
  <si>
    <t>88-2</t>
  </si>
  <si>
    <t>89-2</t>
  </si>
  <si>
    <t>90-2</t>
  </si>
  <si>
    <t>91-2</t>
  </si>
  <si>
    <t>R1 Q4</t>
  </si>
  <si>
    <t>91.5-2</t>
  </si>
  <si>
    <t>92-2</t>
  </si>
  <si>
    <t>93-2</t>
  </si>
  <si>
    <t>94-2</t>
  </si>
  <si>
    <t>95-2</t>
  </si>
  <si>
    <t>96-2</t>
  </si>
  <si>
    <t>D1 Q4</t>
  </si>
  <si>
    <t>96.5-3</t>
  </si>
  <si>
    <t>97-2</t>
  </si>
  <si>
    <t>98-2</t>
  </si>
  <si>
    <t>99-2</t>
  </si>
  <si>
    <t>100-2</t>
  </si>
  <si>
    <t>101-2</t>
  </si>
  <si>
    <t>E1 Q2</t>
  </si>
  <si>
    <t>101.5-2</t>
  </si>
  <si>
    <t>102-2</t>
  </si>
  <si>
    <t>103-2</t>
  </si>
  <si>
    <t>104-2</t>
  </si>
  <si>
    <t>105-2</t>
  </si>
  <si>
    <t>106-2</t>
  </si>
  <si>
    <t>D3 Q3</t>
  </si>
  <si>
    <t>106.5-2</t>
  </si>
  <si>
    <t>107-2</t>
  </si>
  <si>
    <t>108-2</t>
  </si>
  <si>
    <t>109-2</t>
  </si>
  <si>
    <t>110-2</t>
  </si>
  <si>
    <t>111-2</t>
  </si>
  <si>
    <t>D1 Q3</t>
  </si>
  <si>
    <t>111.5-2</t>
  </si>
  <si>
    <t>112-2</t>
  </si>
  <si>
    <t>113-2</t>
  </si>
  <si>
    <t>114-2</t>
  </si>
  <si>
    <t>115-2</t>
  </si>
  <si>
    <t>116-2</t>
  </si>
  <si>
    <t>E1 Q3</t>
  </si>
  <si>
    <t>116.5-2</t>
  </si>
  <si>
    <t>117-2</t>
  </si>
  <si>
    <t>118-2</t>
  </si>
  <si>
    <t>119-2</t>
  </si>
  <si>
    <t>120-2</t>
  </si>
  <si>
    <t>121-2</t>
  </si>
  <si>
    <t>C3 Q4</t>
  </si>
  <si>
    <t>121.5-2</t>
  </si>
  <si>
    <t>122-2</t>
  </si>
  <si>
    <t>123-2</t>
  </si>
  <si>
    <t>124-2</t>
  </si>
  <si>
    <t>125-2</t>
  </si>
  <si>
    <t>126-2</t>
  </si>
  <si>
    <t>R3 Q5</t>
  </si>
  <si>
    <t>126.5-2</t>
  </si>
  <si>
    <t>127-2</t>
  </si>
  <si>
    <t>128-2</t>
  </si>
  <si>
    <t>129-2</t>
  </si>
  <si>
    <t>130-2</t>
  </si>
  <si>
    <t>131-2</t>
  </si>
  <si>
    <t>A3 Q5</t>
  </si>
  <si>
    <t>131.5-2</t>
  </si>
  <si>
    <t>132-2</t>
  </si>
  <si>
    <t>133-2</t>
  </si>
  <si>
    <t>134-2</t>
  </si>
  <si>
    <t>135-2</t>
  </si>
  <si>
    <t>136-2</t>
  </si>
  <si>
    <t>D3 Q4</t>
  </si>
  <si>
    <t>136.5-2</t>
  </si>
  <si>
    <t>137-2</t>
  </si>
  <si>
    <t>138-2</t>
  </si>
  <si>
    <t>139-2</t>
  </si>
  <si>
    <t>140-2</t>
  </si>
  <si>
    <t>141-2</t>
  </si>
  <si>
    <t>R3 Q4</t>
  </si>
  <si>
    <t>141.5-2</t>
  </si>
  <si>
    <t>142-2</t>
  </si>
  <si>
    <t>143-2</t>
  </si>
  <si>
    <t>144-2</t>
  </si>
  <si>
    <t>145-2</t>
  </si>
  <si>
    <t>R2 Q3</t>
  </si>
  <si>
    <t>1.5-3</t>
  </si>
  <si>
    <t>A3 Q2</t>
  </si>
  <si>
    <t>6.5-3</t>
  </si>
  <si>
    <t>C3 Q2</t>
  </si>
  <si>
    <t>11.5-3</t>
  </si>
  <si>
    <t>13-3</t>
  </si>
  <si>
    <t>14-3</t>
  </si>
  <si>
    <t>15-3</t>
  </si>
  <si>
    <t>16-3</t>
  </si>
  <si>
    <t>A1 Q5</t>
  </si>
  <si>
    <t>16.5-3</t>
  </si>
  <si>
    <t>17-3</t>
  </si>
  <si>
    <t>18-3</t>
  </si>
  <si>
    <t>19-3</t>
  </si>
  <si>
    <t>20-3</t>
  </si>
  <si>
    <t>21-3</t>
  </si>
  <si>
    <t>E3 Q1</t>
  </si>
  <si>
    <t>21.5-3</t>
  </si>
  <si>
    <t>22-3</t>
  </si>
  <si>
    <t>23-3</t>
  </si>
  <si>
    <t>24-3</t>
  </si>
  <si>
    <t>25-3</t>
  </si>
  <si>
    <t>26-3</t>
  </si>
  <si>
    <t>A3 Q3</t>
  </si>
  <si>
    <t>26.5-3</t>
  </si>
  <si>
    <t>27-3</t>
  </si>
  <si>
    <t>28-3</t>
  </si>
  <si>
    <t>29-3</t>
  </si>
  <si>
    <t>30-3</t>
  </si>
  <si>
    <t>31-3</t>
  </si>
  <si>
    <t>D1 Q2</t>
  </si>
  <si>
    <t>31.5-3</t>
  </si>
  <si>
    <t>32-3</t>
  </si>
  <si>
    <t>33-3</t>
  </si>
  <si>
    <t>34-3</t>
  </si>
  <si>
    <t>35-3</t>
  </si>
  <si>
    <t>36-3</t>
  </si>
  <si>
    <t>C1 Q2</t>
  </si>
  <si>
    <t>36.5-3</t>
  </si>
  <si>
    <t>37-3</t>
  </si>
  <si>
    <t>38-3</t>
  </si>
  <si>
    <t>39-3</t>
  </si>
  <si>
    <t>40-3</t>
  </si>
  <si>
    <t>41-3</t>
  </si>
  <si>
    <t>R2 Q4</t>
  </si>
  <si>
    <t>41.5-3</t>
  </si>
  <si>
    <t>42-3</t>
  </si>
  <si>
    <t>43-3</t>
  </si>
  <si>
    <t>44-3</t>
  </si>
  <si>
    <t>45-3</t>
  </si>
  <si>
    <t>46-3</t>
  </si>
  <si>
    <t>E1 Q5</t>
  </si>
  <si>
    <t>46.5-3</t>
  </si>
  <si>
    <t>47-3</t>
  </si>
  <si>
    <t>48-3</t>
  </si>
  <si>
    <t>49-3</t>
  </si>
  <si>
    <t>50-3</t>
  </si>
  <si>
    <t>51-3</t>
  </si>
  <si>
    <t>A3 Q4</t>
  </si>
  <si>
    <t>51.5-3</t>
  </si>
  <si>
    <t>52-3</t>
  </si>
  <si>
    <t>53-3</t>
  </si>
  <si>
    <t>54-3</t>
  </si>
  <si>
    <t>55-3</t>
  </si>
  <si>
    <t>56-3</t>
  </si>
  <si>
    <t>A1 Q2</t>
  </si>
  <si>
    <t>56.5-3</t>
  </si>
  <si>
    <t>57-3</t>
  </si>
  <si>
    <t>58-3</t>
  </si>
  <si>
    <t>59-3</t>
  </si>
  <si>
    <t>60-3</t>
  </si>
  <si>
    <t>61-3</t>
  </si>
  <si>
    <t>D1 Q5</t>
  </si>
  <si>
    <t>61.5-3</t>
  </si>
  <si>
    <t>62-3</t>
  </si>
  <si>
    <t>63-3</t>
  </si>
  <si>
    <t>64-3</t>
  </si>
  <si>
    <t>65-3</t>
  </si>
  <si>
    <t>66-3</t>
  </si>
  <si>
    <t>A2 Q5</t>
  </si>
  <si>
    <t>66.5-3</t>
  </si>
  <si>
    <t>67-3</t>
  </si>
  <si>
    <t>68-3</t>
  </si>
  <si>
    <t>69-3</t>
  </si>
  <si>
    <t>70-3</t>
  </si>
  <si>
    <t>71-3</t>
  </si>
  <si>
    <t>R3 Q1</t>
  </si>
  <si>
    <t>71.5-3</t>
  </si>
  <si>
    <t>72-3</t>
  </si>
  <si>
    <t>73-3</t>
  </si>
  <si>
    <t>74-3</t>
  </si>
  <si>
    <t>75-5</t>
  </si>
  <si>
    <t>76-3</t>
  </si>
  <si>
    <t>C1 Q3</t>
  </si>
  <si>
    <t>76.5-3</t>
  </si>
  <si>
    <t>77-3</t>
  </si>
  <si>
    <t>78-3</t>
  </si>
  <si>
    <t>79-3</t>
  </si>
  <si>
    <t>80-3</t>
  </si>
  <si>
    <t>81-3</t>
  </si>
  <si>
    <t>C1 Q1</t>
  </si>
  <si>
    <t>81.5-3</t>
  </si>
  <si>
    <t>82-3</t>
  </si>
  <si>
    <t>83-3</t>
  </si>
  <si>
    <t>84-3</t>
  </si>
  <si>
    <t>85-3</t>
  </si>
  <si>
    <t>86-3</t>
  </si>
  <si>
    <t>B2 Q5</t>
  </si>
  <si>
    <t>86.5-3</t>
  </si>
  <si>
    <t>87-3</t>
  </si>
  <si>
    <t>88-3</t>
  </si>
  <si>
    <t>89-3</t>
  </si>
  <si>
    <t>90-3</t>
  </si>
  <si>
    <t>91-3</t>
  </si>
  <si>
    <t>C2 Q5</t>
  </si>
  <si>
    <t>91.5-3</t>
  </si>
  <si>
    <t>92-3</t>
  </si>
  <si>
    <t>93-3</t>
  </si>
  <si>
    <t>94-3</t>
  </si>
  <si>
    <t>95-3</t>
  </si>
  <si>
    <t>96-3</t>
  </si>
  <si>
    <t>B2 Q3</t>
  </si>
  <si>
    <t>97-3</t>
  </si>
  <si>
    <t>98-3</t>
  </si>
  <si>
    <t>99-3</t>
  </si>
  <si>
    <t>100-3</t>
  </si>
  <si>
    <t>101-3</t>
  </si>
  <si>
    <t>B1 Q5</t>
  </si>
  <si>
    <t>101.5-3</t>
  </si>
  <si>
    <t>102-3</t>
  </si>
  <si>
    <t>103-3</t>
  </si>
  <si>
    <t>104-3</t>
  </si>
  <si>
    <t>leak when washing soil into tin container</t>
  </si>
  <si>
    <t>105-3</t>
  </si>
  <si>
    <t>106-3</t>
  </si>
  <si>
    <t>C2 Q2</t>
  </si>
  <si>
    <t>106.5-3</t>
  </si>
  <si>
    <t>107-3</t>
  </si>
  <si>
    <t>108-3</t>
  </si>
  <si>
    <t>109-3</t>
  </si>
  <si>
    <t>110-3</t>
  </si>
  <si>
    <t>111-3</t>
  </si>
  <si>
    <t>D2 Q3</t>
  </si>
  <si>
    <t>111.5-3</t>
  </si>
  <si>
    <t>112-3</t>
  </si>
  <si>
    <t>113-3</t>
  </si>
  <si>
    <t>114-3</t>
  </si>
  <si>
    <t>115-3</t>
  </si>
  <si>
    <t>116-3</t>
  </si>
  <si>
    <t>C3 Q5</t>
  </si>
  <si>
    <t>116.5-3</t>
  </si>
  <si>
    <t>117-3</t>
  </si>
  <si>
    <t>118-3</t>
  </si>
  <si>
    <t>119-3</t>
  </si>
  <si>
    <t>120-3</t>
  </si>
  <si>
    <t>121-3</t>
  </si>
  <si>
    <t>C3 Q1</t>
  </si>
  <si>
    <t>121.5-3</t>
  </si>
  <si>
    <t>122-3</t>
  </si>
  <si>
    <t>123-3</t>
  </si>
  <si>
    <t>124-3</t>
  </si>
  <si>
    <t>125-3</t>
  </si>
  <si>
    <t>126-3</t>
  </si>
  <si>
    <t>B2 Q4</t>
  </si>
  <si>
    <t>126.5-3</t>
  </si>
  <si>
    <t>127-3</t>
  </si>
  <si>
    <t>128-3</t>
  </si>
  <si>
    <t>129-3</t>
  </si>
  <si>
    <t>130-3</t>
  </si>
  <si>
    <t>131-3</t>
  </si>
  <si>
    <t>E3 Q4</t>
  </si>
  <si>
    <t>131.5-3</t>
  </si>
  <si>
    <t>132-3</t>
  </si>
  <si>
    <t>133-3</t>
  </si>
  <si>
    <t>134-3</t>
  </si>
  <si>
    <t>135-3</t>
  </si>
  <si>
    <t>136-3</t>
  </si>
  <si>
    <t>A2 Q1</t>
  </si>
  <si>
    <t>136.5-3</t>
  </si>
  <si>
    <t>137-3</t>
  </si>
  <si>
    <t>138-3</t>
  </si>
  <si>
    <t>139-3</t>
  </si>
  <si>
    <t>140-3</t>
  </si>
  <si>
    <t>141-3</t>
  </si>
  <si>
    <t>B1 Q2</t>
  </si>
  <si>
    <t>141.5-3</t>
  </si>
  <si>
    <t>142-3</t>
  </si>
  <si>
    <t>143-3</t>
  </si>
  <si>
    <t>144-3</t>
  </si>
  <si>
    <t>145-3</t>
  </si>
  <si>
    <t>146-3</t>
  </si>
  <si>
    <t>A1 Q3</t>
  </si>
  <si>
    <t>146.5-3</t>
  </si>
  <si>
    <t>147-3</t>
  </si>
  <si>
    <t>148-3</t>
  </si>
  <si>
    <t>149-3</t>
  </si>
  <si>
    <t>150-3</t>
  </si>
  <si>
    <t>151-3</t>
  </si>
  <si>
    <t>C1 Q5</t>
  </si>
  <si>
    <t>151.5-3</t>
  </si>
  <si>
    <t>152-3</t>
  </si>
  <si>
    <t>153-3</t>
  </si>
  <si>
    <t>154-3</t>
  </si>
  <si>
    <t>155-3</t>
  </si>
  <si>
    <t>156-3</t>
  </si>
  <si>
    <t>A1 Q4</t>
  </si>
  <si>
    <t>156.5-3</t>
  </si>
  <si>
    <t>157-3</t>
  </si>
  <si>
    <t>158-3</t>
  </si>
  <si>
    <t>159-3</t>
  </si>
  <si>
    <t>160-3</t>
  </si>
  <si>
    <t>161-3</t>
  </si>
  <si>
    <t>C2 Q3</t>
  </si>
  <si>
    <t>161.5-3</t>
  </si>
  <si>
    <t>162-3</t>
  </si>
  <si>
    <t>163-3</t>
  </si>
  <si>
    <t>164-3</t>
  </si>
  <si>
    <t>165-3</t>
  </si>
  <si>
    <t>166-5</t>
  </si>
  <si>
    <t>A2 Q3</t>
  </si>
  <si>
    <t>166.5-3</t>
  </si>
  <si>
    <t>167-3</t>
  </si>
  <si>
    <t>168-3</t>
  </si>
  <si>
    <t>169-3</t>
  </si>
  <si>
    <t>170-3</t>
  </si>
  <si>
    <t>171-3</t>
  </si>
  <si>
    <t>A2 Q4</t>
  </si>
  <si>
    <t>171.5-3</t>
  </si>
  <si>
    <t>172-3</t>
  </si>
  <si>
    <t>173-3</t>
  </si>
  <si>
    <t>174-3</t>
  </si>
  <si>
    <t>175-3</t>
  </si>
  <si>
    <t>176-3</t>
  </si>
  <si>
    <t>B1 Q3</t>
  </si>
  <si>
    <t>176.5-3</t>
  </si>
  <si>
    <t>177-3</t>
  </si>
  <si>
    <t>178-3</t>
  </si>
  <si>
    <t>179-3</t>
  </si>
  <si>
    <t>180-3</t>
  </si>
  <si>
    <t>181-3</t>
  </si>
  <si>
    <t>B3 Q3</t>
  </si>
  <si>
    <t>181.5-3</t>
  </si>
  <si>
    <t>182-3</t>
  </si>
  <si>
    <t>183-3</t>
  </si>
  <si>
    <t>184-3</t>
  </si>
  <si>
    <t>185-3</t>
  </si>
  <si>
    <t>186-3</t>
  </si>
  <si>
    <t>C1 Q4</t>
  </si>
  <si>
    <t>186.5-3</t>
  </si>
  <si>
    <t>187-3</t>
  </si>
  <si>
    <t>188-3</t>
  </si>
  <si>
    <t>189-3</t>
  </si>
  <si>
    <t>190-3</t>
  </si>
  <si>
    <t>191-3</t>
  </si>
  <si>
    <t>C2 Q1</t>
  </si>
  <si>
    <t>191.5-3</t>
  </si>
  <si>
    <t>192-3</t>
  </si>
  <si>
    <t>193-3</t>
  </si>
  <si>
    <t>194-3</t>
  </si>
  <si>
    <t>195-3</t>
  </si>
  <si>
    <t>196-3</t>
  </si>
  <si>
    <t>B3 Q1</t>
  </si>
  <si>
    <t>196.5-3</t>
  </si>
  <si>
    <t>197-3</t>
  </si>
  <si>
    <t>198-3</t>
  </si>
  <si>
    <t>199-3</t>
  </si>
  <si>
    <t>200-3</t>
  </si>
  <si>
    <t>201-3</t>
  </si>
  <si>
    <t>A1 Q1</t>
  </si>
  <si>
    <t>201.5-3</t>
  </si>
  <si>
    <t>202-3</t>
  </si>
  <si>
    <t>203-3</t>
  </si>
  <si>
    <t>204-3</t>
  </si>
  <si>
    <t>205-3</t>
  </si>
  <si>
    <t>206-3</t>
  </si>
  <si>
    <t>B2 Q2</t>
  </si>
  <si>
    <t>206.5-3</t>
  </si>
  <si>
    <t>207-3</t>
  </si>
  <si>
    <t>208-3</t>
  </si>
  <si>
    <t>209-3</t>
  </si>
  <si>
    <t>210-3</t>
  </si>
  <si>
    <t>211-3</t>
  </si>
  <si>
    <t>B2 Q1</t>
  </si>
  <si>
    <t>211.5-3</t>
  </si>
  <si>
    <t>212-3</t>
  </si>
  <si>
    <t>213-3</t>
  </si>
  <si>
    <t>214-3</t>
  </si>
  <si>
    <t>215-3</t>
  </si>
  <si>
    <t>216-3</t>
  </si>
  <si>
    <t>C2 Q4</t>
  </si>
  <si>
    <t>216.5-3</t>
  </si>
  <si>
    <t>217-3</t>
  </si>
  <si>
    <t>218-3</t>
  </si>
  <si>
    <t>219-3</t>
  </si>
  <si>
    <t>220-3</t>
  </si>
  <si>
    <t>221-3</t>
  </si>
  <si>
    <t>B3 Q4</t>
  </si>
  <si>
    <t>221.5-3</t>
  </si>
  <si>
    <t>222-3</t>
  </si>
  <si>
    <t>223-3</t>
  </si>
  <si>
    <t>224-3</t>
  </si>
  <si>
    <t>225-3</t>
  </si>
  <si>
    <t>Date</t>
  </si>
  <si>
    <t>Number</t>
  </si>
  <si>
    <t>Plot</t>
  </si>
  <si>
    <t>Quadrat</t>
  </si>
  <si>
    <t>Weight of boat (g)</t>
  </si>
  <si>
    <t>Weight of boat + soil + roots (g)</t>
  </si>
  <si>
    <t>Weight of boat + soil (g)</t>
  </si>
  <si>
    <t>Weight of soil for texture (g)</t>
  </si>
  <si>
    <t>Start dry date</t>
  </si>
  <si>
    <t>Bag weight (g)</t>
  </si>
  <si>
    <t>Weight of bag + fraction &gt; 8mm (g)</t>
  </si>
  <si>
    <t>Weight of fraction &gt; 8mm (g)</t>
  </si>
  <si>
    <t>Weight of fraction &lt; 8mm (g)</t>
  </si>
  <si>
    <t>A1</t>
  </si>
  <si>
    <t>Q1</t>
  </si>
  <si>
    <t>Q2</t>
  </si>
  <si>
    <t>Q3</t>
  </si>
  <si>
    <t>Q4</t>
  </si>
  <si>
    <t>Q5</t>
  </si>
  <si>
    <t>A2</t>
  </si>
  <si>
    <t>A3</t>
  </si>
  <si>
    <t>B1</t>
  </si>
  <si>
    <t>B2</t>
  </si>
  <si>
    <t>B3</t>
  </si>
  <si>
    <t>C1</t>
  </si>
  <si>
    <t>C2</t>
  </si>
  <si>
    <t>C3</t>
  </si>
  <si>
    <t>Ran into root, so could not collect soil to 30 cm</t>
  </si>
  <si>
    <t>D1</t>
  </si>
  <si>
    <t>D2</t>
  </si>
  <si>
    <t>large bag</t>
  </si>
  <si>
    <t>D3</t>
  </si>
  <si>
    <t>E1</t>
  </si>
  <si>
    <t>E2</t>
  </si>
  <si>
    <t>E3</t>
  </si>
  <si>
    <t>R1</t>
  </si>
  <si>
    <t>R2</t>
  </si>
  <si>
    <t>R3</t>
  </si>
  <si>
    <t>Quad</t>
  </si>
  <si>
    <t>Sand</t>
  </si>
  <si>
    <t>Silt</t>
  </si>
  <si>
    <t>Clay</t>
  </si>
  <si>
    <t>Textural Classification</t>
  </si>
  <si>
    <t>pH</t>
  </si>
  <si>
    <t>P (ppm)</t>
  </si>
  <si>
    <t>K (ppm)</t>
  </si>
  <si>
    <t>Ca (ppm)</t>
  </si>
  <si>
    <t>Mg (ppm)</t>
  </si>
  <si>
    <t>SOM%</t>
  </si>
  <si>
    <t>N Release</t>
  </si>
  <si>
    <t>Nitrate (ppm)</t>
  </si>
  <si>
    <t>Ammonium (ppm)</t>
  </si>
  <si>
    <t>CEC (meq/100g)</t>
  </si>
  <si>
    <t>K %sat</t>
  </si>
  <si>
    <t>Mg %sat</t>
  </si>
  <si>
    <t>H %sat</t>
  </si>
  <si>
    <t>K meq</t>
  </si>
  <si>
    <t>Ca meq</t>
  </si>
  <si>
    <t>Mg meq</t>
  </si>
  <si>
    <t>H meq</t>
  </si>
  <si>
    <t>Note</t>
  </si>
  <si>
    <t>Loam</t>
  </si>
  <si>
    <t>CEC &amp; saturation may not be accurate</t>
  </si>
  <si>
    <t>Silt Loam</t>
  </si>
  <si>
    <t>Sandy Loam</t>
  </si>
  <si>
    <t>Depth range (cm)</t>
  </si>
  <si>
    <t>Mass of boat + wet soil + coarse rocks/roots (g)</t>
  </si>
  <si>
    <t>Mass of boat + dry soil + coarse rocks/roots (g)</t>
  </si>
  <si>
    <t>Mass of water (g)</t>
  </si>
  <si>
    <t>Mass of dry soil + coarse rocks/roots (g)</t>
  </si>
  <si>
    <t>Mass of coarse roots/rocks (g)</t>
  </si>
  <si>
    <t>Mass of dry soil (g)</t>
  </si>
  <si>
    <t>Start volume (mL)</t>
  </si>
  <si>
    <t>End volume (mL)</t>
  </si>
  <si>
    <t>Volume of coarse rocks/roots/debris (mL)</t>
  </si>
  <si>
    <t>Volume soil core (cm3)</t>
  </si>
  <si>
    <t>Corrected volume (cm3)</t>
  </si>
  <si>
    <t>Gravimetric moistue (%)</t>
  </si>
  <si>
    <t>Volumetric moisture (g/cm3)</t>
  </si>
  <si>
    <t>Bulk density (g/cm3)</t>
  </si>
  <si>
    <t>0-15</t>
  </si>
  <si>
    <t>15-30</t>
  </si>
  <si>
    <t>0-15 #1</t>
  </si>
  <si>
    <t>0-15 #2</t>
  </si>
  <si>
    <t>Temp (°C)</t>
  </si>
  <si>
    <t>BD15 Starting Depth</t>
  </si>
  <si>
    <t>6/13/2023</t>
  </si>
  <si>
    <t>`</t>
  </si>
  <si>
    <t>6/14/2023</t>
  </si>
  <si>
    <t>*Empty BD15 = 15 or ignored</t>
  </si>
  <si>
    <t>Note for Date</t>
  </si>
  <si>
    <t>Re-do</t>
  </si>
  <si>
    <t>Live or dead</t>
  </si>
  <si>
    <t>Species</t>
  </si>
  <si>
    <t>Stem count &lt; 2.5 cm</t>
  </si>
  <si>
    <t>Y</t>
  </si>
  <si>
    <t>Platanus occidentalis</t>
  </si>
  <si>
    <t>L</t>
  </si>
  <si>
    <t>D</t>
  </si>
  <si>
    <t xml:space="preserve">Fraxinus pennsylvanica </t>
  </si>
  <si>
    <t>Acer saccharinum</t>
  </si>
  <si>
    <t>Quercus bicolor</t>
  </si>
  <si>
    <t>Morus alba</t>
  </si>
  <si>
    <t>Unkown</t>
  </si>
  <si>
    <t>Ulmus americana</t>
  </si>
  <si>
    <t>Zanthoxylum americanum</t>
  </si>
  <si>
    <t>N</t>
  </si>
  <si>
    <t>Unknown</t>
  </si>
  <si>
    <t>Salix spp.</t>
  </si>
  <si>
    <t>Salix nigra</t>
  </si>
  <si>
    <t xml:space="preserve">Carya illinoiensis </t>
  </si>
  <si>
    <t>Betula nigra</t>
  </si>
  <si>
    <t>Salix interior</t>
  </si>
  <si>
    <t xml:space="preserve">Quercus palustris </t>
  </si>
  <si>
    <t>Transect Position (cm)</t>
  </si>
  <si>
    <t>Intersection Diameter (&gt;=7.6cm)</t>
  </si>
  <si>
    <t>Species (if known)</t>
  </si>
  <si>
    <t>Stem Count (2.5 - 7.5 cm)</t>
  </si>
  <si>
    <t xml:space="preserve">Populus deltoides </t>
  </si>
  <si>
    <t>Redo Plots</t>
  </si>
  <si>
    <t>Species Key</t>
  </si>
  <si>
    <t>PO</t>
  </si>
  <si>
    <t>FP</t>
  </si>
  <si>
    <t>AS</t>
  </si>
  <si>
    <t>QB</t>
  </si>
  <si>
    <t>MA</t>
  </si>
  <si>
    <t>UA</t>
  </si>
  <si>
    <t>ZA</t>
  </si>
  <si>
    <t>UN</t>
  </si>
  <si>
    <t>SI</t>
  </si>
  <si>
    <t>SN</t>
  </si>
  <si>
    <t>CI</t>
  </si>
  <si>
    <t>BN</t>
  </si>
  <si>
    <t>QP</t>
  </si>
  <si>
    <t>PD</t>
  </si>
  <si>
    <t>Mass of  boat (g)</t>
  </si>
  <si>
    <t>Mass of soil + boat (g)</t>
  </si>
  <si>
    <t>Mass of soil (g)</t>
  </si>
  <si>
    <t>Mass of tin + coarse rocks/roots (g)</t>
  </si>
  <si>
    <t>Mass of soil &amp; fragments (g)</t>
  </si>
  <si>
    <t>Mass of boat + soil &amp; fragments (g)</t>
  </si>
  <si>
    <t>Mass of boat + soil (g)</t>
  </si>
  <si>
    <t>Mass of tube (g)</t>
  </si>
  <si>
    <t>Mass of tube + soil (g)</t>
  </si>
  <si>
    <t>Ca %sat</t>
  </si>
  <si>
    <t>DBH &gt;= 2.5 cm</t>
  </si>
  <si>
    <t>Fraxinus pennsylvanica</t>
  </si>
  <si>
    <t>Carya illinoiensis</t>
  </si>
  <si>
    <t>Quercus palustris</t>
  </si>
  <si>
    <t>Populus deltoides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</si>
</sst>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m\-d"/>
    <numFmt numFmtId="166" formatCode="m/d/yyyy\ h:mm\ AM/PM"/>
    <numFmt numFmtId="167" formatCode="mm/dd/yyyy\ h:mm\ AM/PM"/>
    <numFmt numFmtId="168" formatCode="0.0"/>
    <numFmt numFmtId="169" formatCode="#,##0.0000"/>
    <numFmt numFmtId="170" formatCode="d/m/yyyy"/>
    <numFmt numFmtId="171" formatCode="m/d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000000"/>
      <name val="&quot;Arial&quot;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49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 applyAlignment="1">
      <alignment horizontal="right"/>
    </xf>
    <xf numFmtId="166" fontId="2" fillId="0" borderId="0" xfId="0" applyNumberFormat="1" applyFont="1"/>
    <xf numFmtId="166" fontId="3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168" fontId="2" fillId="0" borderId="0" xfId="0" applyNumberFormat="1" applyFont="1"/>
    <xf numFmtId="169" fontId="5" fillId="0" borderId="0" xfId="0" applyNumberFormat="1" applyFont="1" applyAlignment="1">
      <alignment horizontal="right"/>
    </xf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70" fontId="2" fillId="0" borderId="0" xfId="0" applyNumberFormat="1" applyFont="1" applyAlignment="1">
      <alignment horizontal="left"/>
    </xf>
    <xf numFmtId="171" fontId="1" fillId="0" borderId="0" xfId="0" applyNumberFormat="1" applyFont="1"/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1C98-DB23-4B60-819F-8087B24D2D7B}">
  <dimension ref="A1:I1000"/>
  <sheetViews>
    <sheetView topLeftCell="A63" zoomScale="118" zoomScaleNormal="40" workbookViewId="0">
      <selection activeCell="H83" sqref="H83:I83"/>
    </sheetView>
  </sheetViews>
  <sheetFormatPr defaultRowHeight="12.75" x14ac:dyDescent="0.2"/>
  <cols>
    <col min="1" max="1" width="4.5703125" bestFit="1" customWidth="1"/>
    <col min="2" max="2" width="8.140625" bestFit="1" customWidth="1"/>
    <col min="3" max="3" width="15.7109375" customWidth="1"/>
    <col min="4" max="4" width="33.7109375" bestFit="1" customWidth="1"/>
    <col min="5" max="5" width="26.28515625" bestFit="1" customWidth="1"/>
    <col min="6" max="6" width="21.5703125" bestFit="1" customWidth="1"/>
    <col min="7" max="7" width="15.140625" bestFit="1" customWidth="1"/>
    <col min="8" max="8" width="16.5703125" customWidth="1"/>
    <col min="9" max="9" width="18.5703125" bestFit="1" customWidth="1"/>
  </cols>
  <sheetData>
    <row r="1" spans="1:9" ht="15" x14ac:dyDescent="0.25">
      <c r="A1" s="13" t="s">
        <v>614</v>
      </c>
      <c r="B1" s="13" t="s">
        <v>615</v>
      </c>
      <c r="C1" s="13" t="s">
        <v>747</v>
      </c>
      <c r="D1" s="27" t="s">
        <v>752</v>
      </c>
      <c r="E1" s="28" t="s">
        <v>751</v>
      </c>
      <c r="F1" s="27" t="s">
        <v>753</v>
      </c>
      <c r="G1" s="27" t="s">
        <v>749</v>
      </c>
      <c r="H1" s="27" t="s">
        <v>754</v>
      </c>
      <c r="I1" s="27" t="s">
        <v>755</v>
      </c>
    </row>
    <row r="2" spans="1:9" ht="15" x14ac:dyDescent="0.25">
      <c r="A2" s="14" t="s">
        <v>625</v>
      </c>
      <c r="B2" s="14" t="s">
        <v>626</v>
      </c>
      <c r="C2" s="16">
        <v>2.2999999999999998</v>
      </c>
      <c r="D2">
        <v>27.5</v>
      </c>
      <c r="E2">
        <f>D2-C2</f>
        <v>25.2</v>
      </c>
      <c r="F2">
        <v>27.2</v>
      </c>
      <c r="G2">
        <f>F2-C2</f>
        <v>24.9</v>
      </c>
      <c r="H2">
        <v>1.2</v>
      </c>
      <c r="I2">
        <v>2.2000000000000002</v>
      </c>
    </row>
    <row r="3" spans="1:9" ht="15" x14ac:dyDescent="0.25">
      <c r="A3" s="14" t="s">
        <v>625</v>
      </c>
      <c r="B3" s="14" t="s">
        <v>627</v>
      </c>
      <c r="C3" s="16">
        <v>2.2999999999999998</v>
      </c>
      <c r="D3">
        <v>27.6</v>
      </c>
      <c r="E3">
        <f t="shared" ref="E3:E53" si="0">D3-C3</f>
        <v>25.3</v>
      </c>
      <c r="F3">
        <v>27.3</v>
      </c>
      <c r="G3">
        <f t="shared" ref="G3:G66" si="1">F3-C3</f>
        <v>25</v>
      </c>
      <c r="H3">
        <v>1.2</v>
      </c>
      <c r="I3">
        <v>2.2000000000000002</v>
      </c>
    </row>
    <row r="4" spans="1:9" ht="15" x14ac:dyDescent="0.25">
      <c r="A4" s="14" t="s">
        <v>625</v>
      </c>
      <c r="B4" s="14" t="s">
        <v>628</v>
      </c>
      <c r="C4" s="16">
        <v>2.2999999999999998</v>
      </c>
      <c r="D4">
        <v>27.5</v>
      </c>
      <c r="E4">
        <f t="shared" si="0"/>
        <v>25.2</v>
      </c>
      <c r="F4">
        <v>27.2</v>
      </c>
      <c r="G4">
        <f t="shared" si="1"/>
        <v>24.9</v>
      </c>
      <c r="H4">
        <v>1.2</v>
      </c>
      <c r="I4">
        <v>2.2000000000000002</v>
      </c>
    </row>
    <row r="5" spans="1:9" ht="15" x14ac:dyDescent="0.25">
      <c r="A5" s="14" t="s">
        <v>625</v>
      </c>
      <c r="B5" s="14" t="s">
        <v>629</v>
      </c>
      <c r="C5" s="16">
        <v>2.2999999999999998</v>
      </c>
      <c r="D5">
        <v>27.5</v>
      </c>
      <c r="E5">
        <f t="shared" si="0"/>
        <v>25.2</v>
      </c>
      <c r="F5">
        <v>27.2</v>
      </c>
      <c r="G5">
        <f t="shared" si="1"/>
        <v>24.9</v>
      </c>
      <c r="H5">
        <v>1.2</v>
      </c>
      <c r="I5">
        <v>2.2000000000000002</v>
      </c>
    </row>
    <row r="6" spans="1:9" ht="15" x14ac:dyDescent="0.25">
      <c r="A6" s="14" t="s">
        <v>625</v>
      </c>
      <c r="B6" s="14" t="s">
        <v>630</v>
      </c>
      <c r="C6" s="16">
        <v>2.2999999999999998</v>
      </c>
      <c r="D6">
        <v>27.4</v>
      </c>
      <c r="E6">
        <f t="shared" si="0"/>
        <v>25.099999999999998</v>
      </c>
      <c r="F6">
        <v>27.1</v>
      </c>
      <c r="G6">
        <f t="shared" si="1"/>
        <v>24.8</v>
      </c>
      <c r="H6">
        <v>1.2</v>
      </c>
      <c r="I6">
        <v>2.2000000000000002</v>
      </c>
    </row>
    <row r="7" spans="1:9" ht="15" x14ac:dyDescent="0.25">
      <c r="A7" s="14" t="s">
        <v>631</v>
      </c>
      <c r="B7" s="14" t="s">
        <v>626</v>
      </c>
      <c r="C7" s="16">
        <v>2.2999999999999998</v>
      </c>
      <c r="D7">
        <v>27.7</v>
      </c>
      <c r="E7">
        <f t="shared" si="0"/>
        <v>25.4</v>
      </c>
      <c r="F7">
        <v>27.5</v>
      </c>
      <c r="G7">
        <f t="shared" si="1"/>
        <v>25.2</v>
      </c>
      <c r="H7">
        <v>1.2</v>
      </c>
      <c r="I7">
        <v>2.2000000000000002</v>
      </c>
    </row>
    <row r="8" spans="1:9" ht="15" x14ac:dyDescent="0.25">
      <c r="A8" s="14" t="s">
        <v>631</v>
      </c>
      <c r="B8" s="14" t="s">
        <v>627</v>
      </c>
      <c r="C8" s="16">
        <v>2.2999999999999998</v>
      </c>
      <c r="D8">
        <v>27.4</v>
      </c>
      <c r="E8">
        <f t="shared" si="0"/>
        <v>25.099999999999998</v>
      </c>
      <c r="F8">
        <v>27.1</v>
      </c>
      <c r="G8">
        <f t="shared" si="1"/>
        <v>24.8</v>
      </c>
      <c r="H8">
        <v>1.2</v>
      </c>
      <c r="I8">
        <v>2.2000000000000002</v>
      </c>
    </row>
    <row r="9" spans="1:9" ht="15" x14ac:dyDescent="0.25">
      <c r="A9" s="14" t="s">
        <v>631</v>
      </c>
      <c r="B9" s="14" t="s">
        <v>628</v>
      </c>
      <c r="C9" s="16">
        <v>2.2999999999999998</v>
      </c>
      <c r="D9">
        <v>27.6</v>
      </c>
      <c r="E9">
        <f t="shared" si="0"/>
        <v>25.3</v>
      </c>
      <c r="F9">
        <v>27.3</v>
      </c>
      <c r="G9">
        <f t="shared" si="1"/>
        <v>25</v>
      </c>
      <c r="H9">
        <v>1.2</v>
      </c>
      <c r="I9">
        <v>2.2000000000000002</v>
      </c>
    </row>
    <row r="10" spans="1:9" ht="15" x14ac:dyDescent="0.25">
      <c r="A10" s="14" t="s">
        <v>631</v>
      </c>
      <c r="B10" s="14" t="s">
        <v>629</v>
      </c>
      <c r="C10" s="16">
        <v>2.2999999999999998</v>
      </c>
      <c r="D10">
        <v>27.6</v>
      </c>
      <c r="E10">
        <f t="shared" si="0"/>
        <v>25.3</v>
      </c>
      <c r="F10">
        <v>27.3</v>
      </c>
      <c r="G10">
        <f t="shared" si="1"/>
        <v>25</v>
      </c>
      <c r="H10">
        <v>1.2</v>
      </c>
      <c r="I10">
        <v>2.2000000000000002</v>
      </c>
    </row>
    <row r="11" spans="1:9" ht="15" x14ac:dyDescent="0.25">
      <c r="A11" s="14" t="s">
        <v>631</v>
      </c>
      <c r="B11" s="14" t="s">
        <v>630</v>
      </c>
      <c r="C11" s="16">
        <v>2.2999999999999998</v>
      </c>
      <c r="D11">
        <v>27.4</v>
      </c>
      <c r="E11">
        <f t="shared" si="0"/>
        <v>25.099999999999998</v>
      </c>
      <c r="F11">
        <v>27.1</v>
      </c>
      <c r="G11">
        <f t="shared" si="1"/>
        <v>24.8</v>
      </c>
      <c r="H11">
        <v>1.2</v>
      </c>
      <c r="I11">
        <v>2.2000000000000002</v>
      </c>
    </row>
    <row r="12" spans="1:9" ht="15" x14ac:dyDescent="0.25">
      <c r="A12" s="14" t="s">
        <v>632</v>
      </c>
      <c r="B12" s="14" t="s">
        <v>626</v>
      </c>
      <c r="C12" s="16">
        <v>2.2999999999999998</v>
      </c>
      <c r="D12">
        <v>27.4</v>
      </c>
      <c r="E12">
        <f t="shared" si="0"/>
        <v>25.099999999999998</v>
      </c>
      <c r="F12">
        <v>27.1</v>
      </c>
      <c r="G12">
        <f t="shared" si="1"/>
        <v>24.8</v>
      </c>
      <c r="H12">
        <v>1.2</v>
      </c>
      <c r="I12">
        <v>2.2000000000000002</v>
      </c>
    </row>
    <row r="13" spans="1:9" ht="15" x14ac:dyDescent="0.25">
      <c r="A13" s="14" t="s">
        <v>632</v>
      </c>
      <c r="B13" s="14" t="s">
        <v>627</v>
      </c>
      <c r="C13" s="16">
        <v>2.2999999999999998</v>
      </c>
      <c r="D13">
        <v>28</v>
      </c>
      <c r="E13">
        <f t="shared" si="0"/>
        <v>25.7</v>
      </c>
      <c r="F13">
        <v>27.7</v>
      </c>
      <c r="G13">
        <f t="shared" si="1"/>
        <v>25.4</v>
      </c>
      <c r="H13">
        <v>1.2</v>
      </c>
      <c r="I13">
        <v>2.2000000000000002</v>
      </c>
    </row>
    <row r="14" spans="1:9" ht="15" x14ac:dyDescent="0.25">
      <c r="A14" s="14" t="s">
        <v>632</v>
      </c>
      <c r="B14" s="14" t="s">
        <v>628</v>
      </c>
      <c r="C14" s="16">
        <v>2.2999999999999998</v>
      </c>
      <c r="D14">
        <v>27.4</v>
      </c>
      <c r="E14">
        <f t="shared" si="0"/>
        <v>25.099999999999998</v>
      </c>
      <c r="F14">
        <v>27.1</v>
      </c>
      <c r="G14">
        <f t="shared" si="1"/>
        <v>24.8</v>
      </c>
      <c r="H14">
        <v>1.2</v>
      </c>
      <c r="I14">
        <v>2.2000000000000002</v>
      </c>
    </row>
    <row r="15" spans="1:9" ht="15" x14ac:dyDescent="0.25">
      <c r="A15" s="14" t="s">
        <v>632</v>
      </c>
      <c r="B15" s="14" t="s">
        <v>629</v>
      </c>
      <c r="C15" s="16">
        <v>2.2000000000000002</v>
      </c>
      <c r="D15">
        <v>27.6</v>
      </c>
      <c r="E15">
        <f t="shared" si="0"/>
        <v>25.400000000000002</v>
      </c>
      <c r="F15">
        <v>27.3</v>
      </c>
      <c r="G15">
        <f t="shared" si="1"/>
        <v>25.1</v>
      </c>
      <c r="H15">
        <v>1.2</v>
      </c>
      <c r="I15">
        <v>2.2000000000000002</v>
      </c>
    </row>
    <row r="16" spans="1:9" ht="15" x14ac:dyDescent="0.25">
      <c r="A16" s="14" t="s">
        <v>632</v>
      </c>
      <c r="B16" s="14" t="s">
        <v>630</v>
      </c>
      <c r="C16" s="16">
        <v>2.2999999999999998</v>
      </c>
      <c r="D16">
        <v>27.4</v>
      </c>
      <c r="E16">
        <f t="shared" si="0"/>
        <v>25.099999999999998</v>
      </c>
      <c r="F16">
        <v>27.1</v>
      </c>
      <c r="G16">
        <f t="shared" si="1"/>
        <v>24.8</v>
      </c>
      <c r="H16">
        <v>1.2</v>
      </c>
      <c r="I16">
        <v>2.2000000000000002</v>
      </c>
    </row>
    <row r="17" spans="1:9" ht="15" x14ac:dyDescent="0.25">
      <c r="A17" s="14" t="s">
        <v>633</v>
      </c>
      <c r="B17" s="14" t="s">
        <v>626</v>
      </c>
      <c r="C17" s="16">
        <v>2.2999999999999998</v>
      </c>
      <c r="D17">
        <v>27.9</v>
      </c>
      <c r="E17">
        <f t="shared" si="0"/>
        <v>25.599999999999998</v>
      </c>
      <c r="F17">
        <v>27.8</v>
      </c>
      <c r="G17">
        <f t="shared" si="1"/>
        <v>25.5</v>
      </c>
      <c r="H17">
        <v>1.2</v>
      </c>
      <c r="I17">
        <v>2.2000000000000002</v>
      </c>
    </row>
    <row r="18" spans="1:9" ht="15" x14ac:dyDescent="0.25">
      <c r="A18" s="14" t="s">
        <v>633</v>
      </c>
      <c r="B18" s="14" t="s">
        <v>627</v>
      </c>
      <c r="C18" s="16">
        <v>2.2999999999999998</v>
      </c>
      <c r="D18">
        <v>27.5</v>
      </c>
      <c r="E18">
        <f t="shared" si="0"/>
        <v>25.2</v>
      </c>
      <c r="F18">
        <v>27.2</v>
      </c>
      <c r="G18">
        <f t="shared" si="1"/>
        <v>24.9</v>
      </c>
      <c r="H18">
        <v>1.2</v>
      </c>
      <c r="I18">
        <v>2.2000000000000002</v>
      </c>
    </row>
    <row r="19" spans="1:9" ht="15" x14ac:dyDescent="0.25">
      <c r="A19" s="14" t="s">
        <v>633</v>
      </c>
      <c r="B19" s="14" t="s">
        <v>628</v>
      </c>
      <c r="C19" s="16">
        <v>2.2999999999999998</v>
      </c>
      <c r="D19">
        <v>27.4</v>
      </c>
      <c r="E19">
        <f t="shared" si="0"/>
        <v>25.099999999999998</v>
      </c>
      <c r="F19">
        <v>27</v>
      </c>
      <c r="G19">
        <f t="shared" si="1"/>
        <v>24.7</v>
      </c>
      <c r="H19">
        <v>1.2</v>
      </c>
      <c r="I19">
        <v>2.2000000000000002</v>
      </c>
    </row>
    <row r="20" spans="1:9" ht="15" x14ac:dyDescent="0.25">
      <c r="A20" s="14" t="s">
        <v>633</v>
      </c>
      <c r="B20" s="14" t="s">
        <v>629</v>
      </c>
      <c r="C20" s="16">
        <v>2.2999999999999998</v>
      </c>
      <c r="D20">
        <v>27.4</v>
      </c>
      <c r="E20">
        <f t="shared" si="0"/>
        <v>25.099999999999998</v>
      </c>
      <c r="F20">
        <v>27.2</v>
      </c>
      <c r="G20">
        <f t="shared" si="1"/>
        <v>24.9</v>
      </c>
      <c r="H20">
        <v>1.2</v>
      </c>
      <c r="I20">
        <v>2.2000000000000002</v>
      </c>
    </row>
    <row r="21" spans="1:9" ht="15" x14ac:dyDescent="0.25">
      <c r="A21" s="14" t="s">
        <v>633</v>
      </c>
      <c r="B21" s="14" t="s">
        <v>630</v>
      </c>
      <c r="C21" s="16">
        <v>2.2999999999999998</v>
      </c>
      <c r="D21">
        <v>27.3</v>
      </c>
      <c r="E21">
        <f t="shared" si="0"/>
        <v>25</v>
      </c>
      <c r="F21">
        <v>27</v>
      </c>
      <c r="G21">
        <f t="shared" si="1"/>
        <v>24.7</v>
      </c>
      <c r="H21">
        <v>1.2</v>
      </c>
      <c r="I21">
        <v>2.2000000000000002</v>
      </c>
    </row>
    <row r="22" spans="1:9" ht="15" x14ac:dyDescent="0.25">
      <c r="A22" s="14" t="s">
        <v>634</v>
      </c>
      <c r="B22" s="14" t="s">
        <v>626</v>
      </c>
      <c r="C22" s="16">
        <v>2.2999999999999998</v>
      </c>
      <c r="D22">
        <v>27.3</v>
      </c>
      <c r="E22">
        <f t="shared" si="0"/>
        <v>25</v>
      </c>
      <c r="F22">
        <v>27</v>
      </c>
      <c r="G22">
        <f t="shared" si="1"/>
        <v>24.7</v>
      </c>
      <c r="H22">
        <v>1.2</v>
      </c>
      <c r="I22">
        <v>2.2000000000000002</v>
      </c>
    </row>
    <row r="23" spans="1:9" ht="15" x14ac:dyDescent="0.25">
      <c r="A23" s="14" t="s">
        <v>634</v>
      </c>
      <c r="B23" s="14" t="s">
        <v>627</v>
      </c>
      <c r="C23" s="16">
        <v>2.2999999999999998</v>
      </c>
      <c r="D23">
        <v>27.4</v>
      </c>
      <c r="E23">
        <f t="shared" si="0"/>
        <v>25.099999999999998</v>
      </c>
      <c r="F23">
        <v>27</v>
      </c>
      <c r="G23">
        <f t="shared" si="1"/>
        <v>24.7</v>
      </c>
      <c r="H23">
        <v>1.2</v>
      </c>
      <c r="I23">
        <v>2.2000000000000002</v>
      </c>
    </row>
    <row r="24" spans="1:9" ht="15" x14ac:dyDescent="0.25">
      <c r="A24" s="14" t="s">
        <v>634</v>
      </c>
      <c r="B24" s="14" t="s">
        <v>628</v>
      </c>
      <c r="C24" s="16">
        <v>2.2999999999999998</v>
      </c>
      <c r="D24">
        <v>27.7</v>
      </c>
      <c r="E24">
        <f t="shared" si="0"/>
        <v>25.4</v>
      </c>
      <c r="F24">
        <v>27.6</v>
      </c>
      <c r="G24">
        <f t="shared" si="1"/>
        <v>25.3</v>
      </c>
      <c r="H24">
        <v>1.2</v>
      </c>
      <c r="I24">
        <v>2.2000000000000002</v>
      </c>
    </row>
    <row r="25" spans="1:9" ht="15" x14ac:dyDescent="0.25">
      <c r="A25" s="14" t="s">
        <v>634</v>
      </c>
      <c r="B25" s="14" t="s">
        <v>629</v>
      </c>
      <c r="C25" s="16">
        <v>2.2999999999999998</v>
      </c>
      <c r="D25">
        <v>28.2</v>
      </c>
      <c r="E25">
        <f t="shared" si="0"/>
        <v>25.9</v>
      </c>
      <c r="F25">
        <v>28</v>
      </c>
      <c r="G25">
        <f t="shared" si="1"/>
        <v>25.7</v>
      </c>
      <c r="H25">
        <v>1.2</v>
      </c>
      <c r="I25">
        <v>2.2000000000000002</v>
      </c>
    </row>
    <row r="26" spans="1:9" ht="15" x14ac:dyDescent="0.25">
      <c r="A26" s="14" t="s">
        <v>634</v>
      </c>
      <c r="B26" s="14" t="s">
        <v>630</v>
      </c>
      <c r="C26" s="16">
        <v>2.2999999999999998</v>
      </c>
      <c r="D26">
        <v>27.5</v>
      </c>
      <c r="E26">
        <f t="shared" si="0"/>
        <v>25.2</v>
      </c>
      <c r="F26">
        <v>27.2</v>
      </c>
      <c r="G26">
        <f t="shared" si="1"/>
        <v>24.9</v>
      </c>
      <c r="H26">
        <v>1.2</v>
      </c>
      <c r="I26">
        <v>2.2000000000000002</v>
      </c>
    </row>
    <row r="27" spans="1:9" ht="15" x14ac:dyDescent="0.25">
      <c r="A27" s="14" t="s">
        <v>635</v>
      </c>
      <c r="B27" s="14" t="s">
        <v>626</v>
      </c>
      <c r="C27" s="16">
        <v>2.2999999999999998</v>
      </c>
      <c r="D27">
        <v>27.7</v>
      </c>
      <c r="E27">
        <f t="shared" si="0"/>
        <v>25.4</v>
      </c>
      <c r="F27">
        <v>27.5</v>
      </c>
      <c r="G27">
        <f t="shared" si="1"/>
        <v>25.2</v>
      </c>
      <c r="H27">
        <v>1.2</v>
      </c>
      <c r="I27">
        <v>2.2000000000000002</v>
      </c>
    </row>
    <row r="28" spans="1:9" ht="15" x14ac:dyDescent="0.25">
      <c r="A28" s="14" t="s">
        <v>635</v>
      </c>
      <c r="B28" s="14" t="s">
        <v>627</v>
      </c>
      <c r="C28" s="16">
        <v>2.2999999999999998</v>
      </c>
      <c r="D28">
        <v>27.4</v>
      </c>
      <c r="E28">
        <f t="shared" si="0"/>
        <v>25.099999999999998</v>
      </c>
      <c r="F28">
        <v>27.1</v>
      </c>
      <c r="G28">
        <f t="shared" si="1"/>
        <v>24.8</v>
      </c>
      <c r="H28">
        <v>1.2</v>
      </c>
      <c r="I28">
        <v>2.2000000000000002</v>
      </c>
    </row>
    <row r="29" spans="1:9" ht="15" x14ac:dyDescent="0.25">
      <c r="A29" s="14" t="s">
        <v>635</v>
      </c>
      <c r="B29" s="14" t="s">
        <v>628</v>
      </c>
      <c r="C29" s="16">
        <v>2.2999999999999998</v>
      </c>
      <c r="D29">
        <v>27.4</v>
      </c>
      <c r="E29">
        <f t="shared" si="0"/>
        <v>25.099999999999998</v>
      </c>
      <c r="F29">
        <v>27.1</v>
      </c>
      <c r="G29">
        <f t="shared" si="1"/>
        <v>24.8</v>
      </c>
      <c r="H29">
        <v>1.2</v>
      </c>
      <c r="I29">
        <v>2.2000000000000002</v>
      </c>
    </row>
    <row r="30" spans="1:9" ht="15" x14ac:dyDescent="0.25">
      <c r="A30" s="14" t="s">
        <v>635</v>
      </c>
      <c r="B30" s="14" t="s">
        <v>629</v>
      </c>
      <c r="C30" s="16">
        <v>2.2999999999999998</v>
      </c>
      <c r="D30">
        <v>27.5</v>
      </c>
      <c r="E30">
        <f t="shared" si="0"/>
        <v>25.2</v>
      </c>
      <c r="F30">
        <v>27.2</v>
      </c>
      <c r="G30">
        <f t="shared" si="1"/>
        <v>24.9</v>
      </c>
      <c r="H30">
        <v>1.2</v>
      </c>
      <c r="I30">
        <v>2.2000000000000002</v>
      </c>
    </row>
    <row r="31" spans="1:9" ht="15" x14ac:dyDescent="0.25">
      <c r="A31" s="14" t="s">
        <v>635</v>
      </c>
      <c r="B31" s="14" t="s">
        <v>630</v>
      </c>
      <c r="C31" s="16">
        <v>2.2999999999999998</v>
      </c>
      <c r="D31">
        <v>27.3</v>
      </c>
      <c r="E31">
        <f t="shared" si="0"/>
        <v>25</v>
      </c>
      <c r="F31">
        <v>27</v>
      </c>
      <c r="G31">
        <f t="shared" si="1"/>
        <v>24.7</v>
      </c>
      <c r="H31">
        <v>1.2</v>
      </c>
      <c r="I31">
        <v>2.2000000000000002</v>
      </c>
    </row>
    <row r="32" spans="1:9" ht="15" x14ac:dyDescent="0.25">
      <c r="A32" s="14" t="s">
        <v>636</v>
      </c>
      <c r="B32" s="14" t="s">
        <v>626</v>
      </c>
      <c r="C32" s="16">
        <v>2.2999999999999998</v>
      </c>
      <c r="D32">
        <v>27.9</v>
      </c>
      <c r="E32">
        <f t="shared" si="0"/>
        <v>25.599999999999998</v>
      </c>
      <c r="F32">
        <v>27.8</v>
      </c>
      <c r="G32">
        <f t="shared" si="1"/>
        <v>25.5</v>
      </c>
      <c r="H32">
        <v>1.2</v>
      </c>
      <c r="I32">
        <v>2.2000000000000002</v>
      </c>
    </row>
    <row r="33" spans="1:9" ht="15" x14ac:dyDescent="0.25">
      <c r="A33" s="14" t="s">
        <v>636</v>
      </c>
      <c r="B33" s="14" t="s">
        <v>627</v>
      </c>
      <c r="C33" s="16">
        <v>2.2999999999999998</v>
      </c>
      <c r="D33">
        <v>27.8</v>
      </c>
      <c r="E33">
        <f t="shared" si="0"/>
        <v>25.5</v>
      </c>
      <c r="F33">
        <v>27.5</v>
      </c>
      <c r="G33">
        <f t="shared" si="1"/>
        <v>25.2</v>
      </c>
      <c r="H33">
        <v>1.2</v>
      </c>
      <c r="I33">
        <v>2.2000000000000002</v>
      </c>
    </row>
    <row r="34" spans="1:9" ht="15" x14ac:dyDescent="0.25">
      <c r="A34" s="14" t="s">
        <v>636</v>
      </c>
      <c r="B34" s="14" t="s">
        <v>628</v>
      </c>
      <c r="C34" s="16">
        <v>2.2999999999999998</v>
      </c>
      <c r="D34">
        <v>27.9</v>
      </c>
      <c r="E34">
        <f t="shared" si="0"/>
        <v>25.599999999999998</v>
      </c>
      <c r="F34">
        <v>27.9</v>
      </c>
      <c r="G34">
        <f t="shared" si="1"/>
        <v>25.599999999999998</v>
      </c>
      <c r="H34">
        <v>1.2</v>
      </c>
      <c r="I34">
        <v>2.2000000000000002</v>
      </c>
    </row>
    <row r="35" spans="1:9" ht="15" x14ac:dyDescent="0.25">
      <c r="A35" s="14" t="s">
        <v>636</v>
      </c>
      <c r="B35" s="14" t="s">
        <v>629</v>
      </c>
      <c r="C35" s="16">
        <v>2.2999999999999998</v>
      </c>
      <c r="D35">
        <v>27.9</v>
      </c>
      <c r="E35">
        <f t="shared" si="0"/>
        <v>25.599999999999998</v>
      </c>
      <c r="F35">
        <v>27.6</v>
      </c>
      <c r="G35">
        <f t="shared" si="1"/>
        <v>25.3</v>
      </c>
      <c r="H35">
        <v>1.2</v>
      </c>
      <c r="I35">
        <v>2.2000000000000002</v>
      </c>
    </row>
    <row r="36" spans="1:9" ht="15" x14ac:dyDescent="0.25">
      <c r="A36" s="14" t="s">
        <v>636</v>
      </c>
      <c r="B36" s="14" t="s">
        <v>630</v>
      </c>
      <c r="C36" s="16">
        <v>2.2000000000000002</v>
      </c>
      <c r="D36">
        <v>27.4</v>
      </c>
      <c r="E36">
        <f t="shared" si="0"/>
        <v>25.2</v>
      </c>
      <c r="F36">
        <v>27.4</v>
      </c>
      <c r="G36">
        <f t="shared" si="1"/>
        <v>25.2</v>
      </c>
      <c r="H36">
        <v>1.2</v>
      </c>
      <c r="I36">
        <v>2.2000000000000002</v>
      </c>
    </row>
    <row r="37" spans="1:9" ht="15" x14ac:dyDescent="0.25">
      <c r="A37" s="14" t="s">
        <v>637</v>
      </c>
      <c r="B37" s="14" t="s">
        <v>626</v>
      </c>
      <c r="C37" s="16">
        <v>2.2999999999999998</v>
      </c>
      <c r="D37">
        <v>28</v>
      </c>
      <c r="E37">
        <f t="shared" si="0"/>
        <v>25.7</v>
      </c>
      <c r="F37">
        <v>27.7</v>
      </c>
      <c r="G37">
        <f t="shared" si="1"/>
        <v>25.4</v>
      </c>
      <c r="H37">
        <v>1.2</v>
      </c>
      <c r="I37">
        <v>2.2000000000000002</v>
      </c>
    </row>
    <row r="38" spans="1:9" ht="15" x14ac:dyDescent="0.25">
      <c r="A38" s="14" t="s">
        <v>637</v>
      </c>
      <c r="B38" s="14" t="s">
        <v>627</v>
      </c>
      <c r="C38" s="16">
        <v>2.2999999999999998</v>
      </c>
      <c r="D38">
        <v>27.6</v>
      </c>
      <c r="E38">
        <f t="shared" si="0"/>
        <v>25.3</v>
      </c>
      <c r="F38">
        <v>27.4</v>
      </c>
      <c r="G38">
        <f t="shared" si="1"/>
        <v>25.099999999999998</v>
      </c>
      <c r="H38">
        <v>1.1000000000000001</v>
      </c>
      <c r="I38">
        <v>2.1</v>
      </c>
    </row>
    <row r="39" spans="1:9" ht="15" x14ac:dyDescent="0.25">
      <c r="A39" s="14" t="s">
        <v>637</v>
      </c>
      <c r="B39" s="14" t="s">
        <v>628</v>
      </c>
      <c r="C39" s="16">
        <v>2.2999999999999998</v>
      </c>
      <c r="D39">
        <v>27.8</v>
      </c>
      <c r="E39">
        <f t="shared" si="0"/>
        <v>25.5</v>
      </c>
      <c r="F39">
        <v>27.5</v>
      </c>
      <c r="G39">
        <f t="shared" si="1"/>
        <v>25.2</v>
      </c>
      <c r="H39">
        <v>1.2</v>
      </c>
      <c r="I39">
        <v>2.2000000000000002</v>
      </c>
    </row>
    <row r="40" spans="1:9" ht="15" x14ac:dyDescent="0.25">
      <c r="A40" s="14" t="s">
        <v>637</v>
      </c>
      <c r="B40" s="14" t="s">
        <v>629</v>
      </c>
      <c r="C40" s="16">
        <v>2.2999999999999998</v>
      </c>
      <c r="D40">
        <v>27.5</v>
      </c>
      <c r="E40">
        <f t="shared" si="0"/>
        <v>25.2</v>
      </c>
      <c r="F40">
        <v>27.3</v>
      </c>
      <c r="G40">
        <f t="shared" si="1"/>
        <v>25</v>
      </c>
      <c r="H40">
        <v>1.2</v>
      </c>
      <c r="I40">
        <v>2.2000000000000002</v>
      </c>
    </row>
    <row r="41" spans="1:9" ht="15" x14ac:dyDescent="0.25">
      <c r="A41" s="14" t="s">
        <v>637</v>
      </c>
      <c r="B41" s="14" t="s">
        <v>630</v>
      </c>
      <c r="C41" s="16">
        <v>2.2999999999999998</v>
      </c>
      <c r="D41">
        <v>27.2</v>
      </c>
      <c r="E41">
        <f t="shared" si="0"/>
        <v>24.9</v>
      </c>
      <c r="F41">
        <v>27</v>
      </c>
      <c r="G41">
        <f t="shared" si="1"/>
        <v>24.7</v>
      </c>
      <c r="H41">
        <v>1.2</v>
      </c>
      <c r="I41">
        <v>2.2000000000000002</v>
      </c>
    </row>
    <row r="42" spans="1:9" ht="15" x14ac:dyDescent="0.25">
      <c r="A42" s="14" t="s">
        <v>638</v>
      </c>
      <c r="B42" s="14" t="s">
        <v>626</v>
      </c>
      <c r="C42" s="16">
        <v>2.2999999999999998</v>
      </c>
      <c r="D42">
        <v>27.3</v>
      </c>
      <c r="E42">
        <f t="shared" si="0"/>
        <v>25</v>
      </c>
      <c r="F42">
        <v>27.1</v>
      </c>
      <c r="G42">
        <f t="shared" si="1"/>
        <v>24.8</v>
      </c>
      <c r="H42">
        <v>1.2</v>
      </c>
      <c r="I42">
        <v>2.2000000000000002</v>
      </c>
    </row>
    <row r="43" spans="1:9" ht="15" x14ac:dyDescent="0.25">
      <c r="A43" s="14" t="s">
        <v>638</v>
      </c>
      <c r="B43" s="14" t="s">
        <v>627</v>
      </c>
      <c r="C43" s="16">
        <v>2.2999999999999998</v>
      </c>
      <c r="D43">
        <v>27.5</v>
      </c>
      <c r="E43">
        <f t="shared" si="0"/>
        <v>25.2</v>
      </c>
      <c r="F43">
        <v>27.2</v>
      </c>
      <c r="G43">
        <f t="shared" si="1"/>
        <v>24.9</v>
      </c>
      <c r="H43">
        <v>1.2</v>
      </c>
      <c r="I43">
        <v>2.2000000000000002</v>
      </c>
    </row>
    <row r="44" spans="1:9" ht="15" x14ac:dyDescent="0.25">
      <c r="A44" s="14" t="s">
        <v>638</v>
      </c>
      <c r="B44" s="14" t="s">
        <v>628</v>
      </c>
      <c r="C44" s="16">
        <v>2.2000000000000002</v>
      </c>
      <c r="D44">
        <v>27.7</v>
      </c>
      <c r="E44">
        <f t="shared" si="0"/>
        <v>25.5</v>
      </c>
      <c r="F44">
        <v>27.7</v>
      </c>
      <c r="G44">
        <f t="shared" si="1"/>
        <v>25.5</v>
      </c>
      <c r="H44">
        <v>1.2</v>
      </c>
      <c r="I44">
        <v>2.2000000000000002</v>
      </c>
    </row>
    <row r="45" spans="1:9" ht="15" x14ac:dyDescent="0.25">
      <c r="A45" s="14" t="s">
        <v>638</v>
      </c>
      <c r="B45" s="14" t="s">
        <v>629</v>
      </c>
      <c r="C45" s="16">
        <v>2.2999999999999998</v>
      </c>
      <c r="D45">
        <v>27.6</v>
      </c>
      <c r="E45">
        <f t="shared" si="0"/>
        <v>25.3</v>
      </c>
      <c r="F45">
        <v>27.4</v>
      </c>
      <c r="G45">
        <f t="shared" si="1"/>
        <v>25.099999999999998</v>
      </c>
      <c r="H45">
        <v>1.2</v>
      </c>
      <c r="I45">
        <v>2.2000000000000002</v>
      </c>
    </row>
    <row r="46" spans="1:9" ht="15" x14ac:dyDescent="0.25">
      <c r="A46" s="14" t="s">
        <v>638</v>
      </c>
      <c r="B46" s="14" t="s">
        <v>630</v>
      </c>
      <c r="C46" s="16">
        <v>2.2999999999999998</v>
      </c>
      <c r="D46">
        <v>27.9</v>
      </c>
      <c r="E46">
        <f t="shared" si="0"/>
        <v>25.599999999999998</v>
      </c>
      <c r="F46">
        <v>27.7</v>
      </c>
      <c r="G46">
        <f t="shared" si="1"/>
        <v>25.4</v>
      </c>
      <c r="H46">
        <v>1.2</v>
      </c>
      <c r="I46">
        <v>2.2000000000000002</v>
      </c>
    </row>
    <row r="47" spans="1:9" ht="15" x14ac:dyDescent="0.25">
      <c r="A47" s="14" t="s">
        <v>640</v>
      </c>
      <c r="B47" s="14" t="s">
        <v>626</v>
      </c>
      <c r="C47" s="16">
        <v>2.2000000000000002</v>
      </c>
      <c r="D47">
        <v>27.4</v>
      </c>
      <c r="E47">
        <f t="shared" si="0"/>
        <v>25.2</v>
      </c>
      <c r="F47">
        <v>27.1</v>
      </c>
      <c r="G47">
        <f t="shared" si="1"/>
        <v>24.900000000000002</v>
      </c>
      <c r="H47">
        <v>1.2</v>
      </c>
      <c r="I47">
        <v>2.2000000000000002</v>
      </c>
    </row>
    <row r="48" spans="1:9" ht="15" x14ac:dyDescent="0.25">
      <c r="A48" s="14" t="s">
        <v>640</v>
      </c>
      <c r="B48" s="14" t="s">
        <v>627</v>
      </c>
      <c r="C48" s="16">
        <v>2.2999999999999998</v>
      </c>
      <c r="D48">
        <v>27.9</v>
      </c>
      <c r="E48">
        <f t="shared" si="0"/>
        <v>25.599999999999998</v>
      </c>
      <c r="F48">
        <v>27.8</v>
      </c>
      <c r="G48">
        <f t="shared" si="1"/>
        <v>25.5</v>
      </c>
      <c r="H48">
        <v>1.2</v>
      </c>
      <c r="I48">
        <v>2.2000000000000002</v>
      </c>
    </row>
    <row r="49" spans="1:9" ht="15" x14ac:dyDescent="0.25">
      <c r="A49" s="14" t="s">
        <v>640</v>
      </c>
      <c r="B49" s="14" t="s">
        <v>628</v>
      </c>
      <c r="C49" s="16">
        <v>2.2999999999999998</v>
      </c>
      <c r="D49">
        <v>27.6</v>
      </c>
      <c r="E49">
        <f t="shared" si="0"/>
        <v>25.3</v>
      </c>
      <c r="F49">
        <v>27.3</v>
      </c>
      <c r="G49">
        <f t="shared" si="1"/>
        <v>25</v>
      </c>
      <c r="H49">
        <v>1.2</v>
      </c>
      <c r="I49">
        <v>2.2000000000000002</v>
      </c>
    </row>
    <row r="50" spans="1:9" ht="15" x14ac:dyDescent="0.25">
      <c r="A50" s="14" t="s">
        <v>640</v>
      </c>
      <c r="B50" s="14" t="s">
        <v>629</v>
      </c>
      <c r="C50" s="16">
        <v>2.2000000000000002</v>
      </c>
      <c r="D50">
        <v>27.9</v>
      </c>
      <c r="E50">
        <f t="shared" si="0"/>
        <v>25.7</v>
      </c>
      <c r="F50">
        <v>27.8</v>
      </c>
      <c r="G50">
        <f t="shared" si="1"/>
        <v>25.6</v>
      </c>
      <c r="H50">
        <v>1.2</v>
      </c>
      <c r="I50">
        <v>2.2000000000000002</v>
      </c>
    </row>
    <row r="51" spans="1:9" ht="15" x14ac:dyDescent="0.25">
      <c r="A51" s="14" t="s">
        <v>640</v>
      </c>
      <c r="B51" s="14" t="s">
        <v>630</v>
      </c>
      <c r="C51" s="16">
        <v>2.2999999999999998</v>
      </c>
      <c r="D51">
        <v>27.7</v>
      </c>
      <c r="E51">
        <f t="shared" si="0"/>
        <v>25.4</v>
      </c>
      <c r="F51">
        <v>27.5</v>
      </c>
      <c r="G51">
        <f t="shared" si="1"/>
        <v>25.2</v>
      </c>
      <c r="H51">
        <v>1.2</v>
      </c>
      <c r="I51">
        <v>2.2000000000000002</v>
      </c>
    </row>
    <row r="52" spans="1:9" ht="15" x14ac:dyDescent="0.25">
      <c r="A52" s="14" t="s">
        <v>641</v>
      </c>
      <c r="B52" s="14" t="s">
        <v>626</v>
      </c>
      <c r="C52" s="16">
        <v>2.2999999999999998</v>
      </c>
      <c r="D52">
        <v>27.8</v>
      </c>
      <c r="E52">
        <f t="shared" si="0"/>
        <v>25.5</v>
      </c>
      <c r="F52">
        <v>27.7</v>
      </c>
      <c r="G52">
        <f t="shared" si="1"/>
        <v>25.4</v>
      </c>
      <c r="H52">
        <v>1.2</v>
      </c>
      <c r="I52">
        <v>2.2000000000000002</v>
      </c>
    </row>
    <row r="53" spans="1:9" ht="15" x14ac:dyDescent="0.25">
      <c r="A53" s="14" t="s">
        <v>641</v>
      </c>
      <c r="B53" s="14" t="s">
        <v>627</v>
      </c>
      <c r="C53" s="16">
        <v>2.2999999999999998</v>
      </c>
      <c r="D53">
        <v>27.9</v>
      </c>
      <c r="E53">
        <f t="shared" si="0"/>
        <v>25.599999999999998</v>
      </c>
      <c r="F53">
        <v>27.9</v>
      </c>
      <c r="G53">
        <f t="shared" si="1"/>
        <v>25.599999999999998</v>
      </c>
      <c r="H53">
        <v>1.1000000000000001</v>
      </c>
      <c r="I53">
        <v>2.1</v>
      </c>
    </row>
    <row r="54" spans="1:9" ht="15" x14ac:dyDescent="0.25">
      <c r="A54" s="14" t="s">
        <v>641</v>
      </c>
      <c r="B54" s="14" t="s">
        <v>628</v>
      </c>
      <c r="C54" s="16">
        <v>2.2999999999999998</v>
      </c>
      <c r="D54">
        <v>27.7</v>
      </c>
      <c r="E54">
        <f>D54-C54</f>
        <v>25.4</v>
      </c>
      <c r="F54">
        <v>27.6</v>
      </c>
      <c r="G54">
        <f t="shared" si="1"/>
        <v>25.3</v>
      </c>
      <c r="H54">
        <v>1.2</v>
      </c>
      <c r="I54">
        <v>2.2000000000000002</v>
      </c>
    </row>
    <row r="55" spans="1:9" ht="15" x14ac:dyDescent="0.25">
      <c r="A55" s="14" t="s">
        <v>641</v>
      </c>
      <c r="B55" s="14" t="s">
        <v>629</v>
      </c>
      <c r="C55" s="16">
        <v>2.2999999999999998</v>
      </c>
      <c r="D55">
        <v>28</v>
      </c>
      <c r="E55">
        <f>D55-C55</f>
        <v>25.7</v>
      </c>
      <c r="F55">
        <v>27.9</v>
      </c>
      <c r="G55">
        <f t="shared" si="1"/>
        <v>25.599999999999998</v>
      </c>
      <c r="H55">
        <v>1.2</v>
      </c>
      <c r="I55">
        <v>2.2000000000000002</v>
      </c>
    </row>
    <row r="56" spans="1:9" ht="15" x14ac:dyDescent="0.25">
      <c r="A56" s="14" t="s">
        <v>641</v>
      </c>
      <c r="B56" s="14" t="s">
        <v>630</v>
      </c>
      <c r="C56" s="16">
        <v>2.2999999999999998</v>
      </c>
      <c r="D56">
        <v>27.8</v>
      </c>
      <c r="E56">
        <f t="shared" ref="E56:E62" si="2">D56-C56</f>
        <v>25.5</v>
      </c>
      <c r="F56">
        <v>27.7</v>
      </c>
      <c r="G56">
        <f t="shared" si="1"/>
        <v>25.4</v>
      </c>
      <c r="H56">
        <v>1.1000000000000001</v>
      </c>
      <c r="I56">
        <v>2.1</v>
      </c>
    </row>
    <row r="57" spans="1:9" ht="15" x14ac:dyDescent="0.25">
      <c r="A57" s="14" t="s">
        <v>643</v>
      </c>
      <c r="B57" s="14" t="s">
        <v>626</v>
      </c>
      <c r="C57" s="16">
        <v>2.2999999999999998</v>
      </c>
      <c r="D57">
        <v>27.9</v>
      </c>
      <c r="E57">
        <f t="shared" si="2"/>
        <v>25.599999999999998</v>
      </c>
      <c r="F57">
        <v>27.8</v>
      </c>
      <c r="G57">
        <f t="shared" si="1"/>
        <v>25.5</v>
      </c>
      <c r="H57">
        <v>1.2</v>
      </c>
      <c r="I57">
        <v>2.2000000000000002</v>
      </c>
    </row>
    <row r="58" spans="1:9" ht="15" x14ac:dyDescent="0.25">
      <c r="A58" s="14" t="s">
        <v>643</v>
      </c>
      <c r="B58" s="14" t="s">
        <v>627</v>
      </c>
      <c r="C58" s="16">
        <v>2.2999999999999998</v>
      </c>
      <c r="D58">
        <v>27.8</v>
      </c>
      <c r="E58">
        <f t="shared" si="2"/>
        <v>25.5</v>
      </c>
      <c r="F58">
        <v>27.5</v>
      </c>
      <c r="G58">
        <f t="shared" si="1"/>
        <v>25.2</v>
      </c>
      <c r="H58">
        <v>1.2</v>
      </c>
      <c r="I58">
        <v>2.2000000000000002</v>
      </c>
    </row>
    <row r="59" spans="1:9" ht="15" x14ac:dyDescent="0.25">
      <c r="A59" s="14" t="s">
        <v>643</v>
      </c>
      <c r="B59" s="14" t="s">
        <v>628</v>
      </c>
      <c r="C59" s="16">
        <v>2.2999999999999998</v>
      </c>
      <c r="D59">
        <v>27.8</v>
      </c>
      <c r="E59">
        <f t="shared" si="2"/>
        <v>25.5</v>
      </c>
      <c r="F59">
        <v>27.6</v>
      </c>
      <c r="G59">
        <f t="shared" si="1"/>
        <v>25.3</v>
      </c>
      <c r="H59">
        <v>1.2</v>
      </c>
      <c r="I59">
        <v>2.2000000000000002</v>
      </c>
    </row>
    <row r="60" spans="1:9" ht="15" x14ac:dyDescent="0.25">
      <c r="A60" s="14" t="s">
        <v>643</v>
      </c>
      <c r="B60" s="14" t="s">
        <v>629</v>
      </c>
      <c r="C60" s="16">
        <v>2.2999999999999998</v>
      </c>
      <c r="D60">
        <v>27.9</v>
      </c>
      <c r="E60">
        <f t="shared" si="2"/>
        <v>25.599999999999998</v>
      </c>
      <c r="F60">
        <v>27.8</v>
      </c>
      <c r="G60">
        <f t="shared" si="1"/>
        <v>25.5</v>
      </c>
      <c r="H60">
        <v>1.2</v>
      </c>
      <c r="I60">
        <v>2.2000000000000002</v>
      </c>
    </row>
    <row r="61" spans="1:9" ht="15" x14ac:dyDescent="0.25">
      <c r="A61" s="14" t="s">
        <v>643</v>
      </c>
      <c r="B61" s="14" t="s">
        <v>630</v>
      </c>
      <c r="C61" s="16">
        <v>2.2999999999999998</v>
      </c>
      <c r="D61">
        <v>27.6</v>
      </c>
      <c r="E61">
        <f t="shared" si="2"/>
        <v>25.3</v>
      </c>
      <c r="F61">
        <v>27.5</v>
      </c>
      <c r="G61">
        <f t="shared" si="1"/>
        <v>25.2</v>
      </c>
      <c r="H61">
        <v>1.2</v>
      </c>
      <c r="I61">
        <v>2.2000000000000002</v>
      </c>
    </row>
    <row r="62" spans="1:9" ht="15" x14ac:dyDescent="0.25">
      <c r="A62" s="14" t="s">
        <v>644</v>
      </c>
      <c r="B62" s="14" t="s">
        <v>626</v>
      </c>
      <c r="C62" s="16">
        <v>2.2999999999999998</v>
      </c>
      <c r="D62">
        <v>27.5</v>
      </c>
      <c r="E62">
        <f t="shared" si="2"/>
        <v>25.2</v>
      </c>
      <c r="F62">
        <v>27.2</v>
      </c>
      <c r="G62">
        <f t="shared" si="1"/>
        <v>24.9</v>
      </c>
      <c r="H62">
        <v>1.2</v>
      </c>
      <c r="I62">
        <v>2.2000000000000002</v>
      </c>
    </row>
    <row r="63" spans="1:9" ht="15" x14ac:dyDescent="0.25">
      <c r="A63" s="14" t="s">
        <v>644</v>
      </c>
      <c r="B63" s="14" t="s">
        <v>627</v>
      </c>
      <c r="C63" s="16">
        <v>2.2000000000000002</v>
      </c>
      <c r="D63">
        <v>27.9</v>
      </c>
      <c r="E63">
        <f>D63-C63</f>
        <v>25.7</v>
      </c>
      <c r="F63">
        <v>27.8</v>
      </c>
      <c r="G63">
        <f t="shared" si="1"/>
        <v>25.6</v>
      </c>
      <c r="H63">
        <v>1.2</v>
      </c>
      <c r="I63">
        <v>2.2000000000000002</v>
      </c>
    </row>
    <row r="64" spans="1:9" ht="15" x14ac:dyDescent="0.25">
      <c r="A64" s="14" t="s">
        <v>644</v>
      </c>
      <c r="B64" s="14" t="s">
        <v>628</v>
      </c>
      <c r="C64" s="16">
        <v>2.2999999999999998</v>
      </c>
      <c r="D64">
        <v>27.9</v>
      </c>
      <c r="E64">
        <f t="shared" ref="E64:E77" si="3">D64-C64</f>
        <v>25.599999999999998</v>
      </c>
      <c r="F64">
        <v>27.8</v>
      </c>
      <c r="G64">
        <f t="shared" si="1"/>
        <v>25.5</v>
      </c>
      <c r="H64">
        <v>1.2</v>
      </c>
      <c r="I64">
        <v>2.2000000000000002</v>
      </c>
    </row>
    <row r="65" spans="1:9" ht="15" x14ac:dyDescent="0.25">
      <c r="A65" s="14" t="s">
        <v>644</v>
      </c>
      <c r="B65" s="14" t="s">
        <v>629</v>
      </c>
      <c r="C65" s="16">
        <v>2.2999999999999998</v>
      </c>
      <c r="D65">
        <v>27.6</v>
      </c>
      <c r="E65">
        <f t="shared" si="3"/>
        <v>25.3</v>
      </c>
      <c r="F65">
        <v>27.3</v>
      </c>
      <c r="G65">
        <f t="shared" si="1"/>
        <v>25</v>
      </c>
      <c r="H65">
        <v>1.2</v>
      </c>
      <c r="I65">
        <v>2.2000000000000002</v>
      </c>
    </row>
    <row r="66" spans="1:9" ht="15" x14ac:dyDescent="0.25">
      <c r="A66" s="14" t="s">
        <v>644</v>
      </c>
      <c r="B66" s="14" t="s">
        <v>630</v>
      </c>
      <c r="C66" s="16">
        <v>2.2000000000000002</v>
      </c>
      <c r="D66">
        <v>27.7</v>
      </c>
      <c r="E66">
        <f t="shared" si="3"/>
        <v>25.5</v>
      </c>
      <c r="F66">
        <v>27.4</v>
      </c>
      <c r="G66">
        <f t="shared" si="1"/>
        <v>25.2</v>
      </c>
      <c r="H66">
        <v>1.2</v>
      </c>
      <c r="I66">
        <v>2.2000000000000002</v>
      </c>
    </row>
    <row r="67" spans="1:9" ht="15" x14ac:dyDescent="0.25">
      <c r="A67" s="14" t="s">
        <v>645</v>
      </c>
      <c r="B67" s="14" t="s">
        <v>626</v>
      </c>
      <c r="C67" s="16">
        <v>2.2999999999999998</v>
      </c>
      <c r="D67">
        <v>27.8</v>
      </c>
      <c r="E67">
        <f t="shared" si="3"/>
        <v>25.5</v>
      </c>
      <c r="F67">
        <v>27.6</v>
      </c>
      <c r="G67">
        <f t="shared" ref="G67:G91" si="4">F67-C67</f>
        <v>25.3</v>
      </c>
      <c r="H67">
        <v>1.2</v>
      </c>
      <c r="I67">
        <v>2.2000000000000002</v>
      </c>
    </row>
    <row r="68" spans="1:9" ht="15" x14ac:dyDescent="0.25">
      <c r="A68" s="14" t="s">
        <v>645</v>
      </c>
      <c r="B68" s="14" t="s">
        <v>627</v>
      </c>
      <c r="C68" s="16">
        <v>2.2999999999999998</v>
      </c>
      <c r="D68">
        <v>27.3</v>
      </c>
      <c r="E68">
        <f t="shared" si="3"/>
        <v>25</v>
      </c>
      <c r="F68">
        <v>27.1</v>
      </c>
      <c r="G68">
        <f t="shared" si="4"/>
        <v>24.8</v>
      </c>
      <c r="H68">
        <v>1.2</v>
      </c>
      <c r="I68">
        <v>2.2000000000000002</v>
      </c>
    </row>
    <row r="69" spans="1:9" ht="15" x14ac:dyDescent="0.25">
      <c r="A69" s="14" t="s">
        <v>645</v>
      </c>
      <c r="B69" s="14" t="s">
        <v>628</v>
      </c>
      <c r="C69" s="16">
        <v>2.2999999999999998</v>
      </c>
      <c r="D69">
        <v>27.7</v>
      </c>
      <c r="E69">
        <f t="shared" si="3"/>
        <v>25.4</v>
      </c>
      <c r="F69">
        <v>27.7</v>
      </c>
      <c r="G69">
        <f t="shared" si="4"/>
        <v>25.4</v>
      </c>
      <c r="H69">
        <v>1.2</v>
      </c>
      <c r="I69">
        <v>2.2000000000000002</v>
      </c>
    </row>
    <row r="70" spans="1:9" ht="15" x14ac:dyDescent="0.25">
      <c r="A70" s="14" t="s">
        <v>645</v>
      </c>
      <c r="B70" s="14" t="s">
        <v>629</v>
      </c>
      <c r="C70" s="16">
        <v>2.2999999999999998</v>
      </c>
      <c r="D70">
        <v>27.9</v>
      </c>
      <c r="E70">
        <f t="shared" si="3"/>
        <v>25.599999999999998</v>
      </c>
      <c r="F70">
        <v>27.8</v>
      </c>
      <c r="G70">
        <f t="shared" si="4"/>
        <v>25.5</v>
      </c>
      <c r="H70">
        <v>1.2</v>
      </c>
      <c r="I70">
        <v>2.2000000000000002</v>
      </c>
    </row>
    <row r="71" spans="1:9" ht="15" x14ac:dyDescent="0.25">
      <c r="A71" s="14" t="s">
        <v>645</v>
      </c>
      <c r="B71" s="14" t="s">
        <v>630</v>
      </c>
      <c r="C71" s="16">
        <v>2.2999999999999998</v>
      </c>
      <c r="D71">
        <v>27.4</v>
      </c>
      <c r="E71">
        <f t="shared" si="3"/>
        <v>25.099999999999998</v>
      </c>
      <c r="F71">
        <v>27.2</v>
      </c>
      <c r="G71">
        <f t="shared" si="4"/>
        <v>24.9</v>
      </c>
      <c r="H71">
        <v>1.2</v>
      </c>
      <c r="I71">
        <v>2.2000000000000002</v>
      </c>
    </row>
    <row r="72" spans="1:9" ht="15" x14ac:dyDescent="0.25">
      <c r="A72" s="14" t="s">
        <v>646</v>
      </c>
      <c r="B72" s="14" t="s">
        <v>626</v>
      </c>
      <c r="C72" s="16">
        <v>2.2999999999999998</v>
      </c>
      <c r="D72">
        <v>27.9</v>
      </c>
      <c r="E72">
        <f t="shared" si="3"/>
        <v>25.599999999999998</v>
      </c>
      <c r="F72">
        <v>27.8</v>
      </c>
      <c r="G72">
        <f t="shared" si="4"/>
        <v>25.5</v>
      </c>
      <c r="H72">
        <v>1.2</v>
      </c>
      <c r="I72">
        <v>2.2000000000000002</v>
      </c>
    </row>
    <row r="73" spans="1:9" ht="15" x14ac:dyDescent="0.25">
      <c r="A73" s="14" t="s">
        <v>646</v>
      </c>
      <c r="B73" s="14" t="s">
        <v>627</v>
      </c>
      <c r="C73" s="16">
        <v>2.2999999999999998</v>
      </c>
      <c r="D73">
        <v>27.5</v>
      </c>
      <c r="E73">
        <f t="shared" si="3"/>
        <v>25.2</v>
      </c>
      <c r="F73">
        <v>26.5</v>
      </c>
      <c r="G73">
        <f t="shared" si="4"/>
        <v>24.2</v>
      </c>
      <c r="H73">
        <v>1.2</v>
      </c>
      <c r="I73">
        <v>2.2000000000000002</v>
      </c>
    </row>
    <row r="74" spans="1:9" ht="15" x14ac:dyDescent="0.25">
      <c r="A74" s="14" t="s">
        <v>646</v>
      </c>
      <c r="B74" s="14" t="s">
        <v>628</v>
      </c>
      <c r="C74" s="16">
        <v>2.2999999999999998</v>
      </c>
      <c r="D74">
        <v>27.8</v>
      </c>
      <c r="E74">
        <f t="shared" si="3"/>
        <v>25.5</v>
      </c>
      <c r="F74">
        <v>27.6</v>
      </c>
      <c r="G74">
        <f t="shared" si="4"/>
        <v>25.3</v>
      </c>
      <c r="H74">
        <v>1.2</v>
      </c>
      <c r="I74">
        <v>2.2000000000000002</v>
      </c>
    </row>
    <row r="75" spans="1:9" ht="15" x14ac:dyDescent="0.25">
      <c r="A75" s="14" t="s">
        <v>646</v>
      </c>
      <c r="B75" s="14" t="s">
        <v>629</v>
      </c>
      <c r="C75" s="16">
        <v>2.2999999999999998</v>
      </c>
      <c r="D75">
        <v>27.9</v>
      </c>
      <c r="E75">
        <f t="shared" si="3"/>
        <v>25.599999999999998</v>
      </c>
      <c r="F75">
        <v>27.8</v>
      </c>
      <c r="G75">
        <f t="shared" si="4"/>
        <v>25.5</v>
      </c>
      <c r="H75">
        <v>1.2</v>
      </c>
      <c r="I75">
        <v>2.2000000000000002</v>
      </c>
    </row>
    <row r="76" spans="1:9" ht="15" x14ac:dyDescent="0.25">
      <c r="A76" s="14" t="s">
        <v>646</v>
      </c>
      <c r="B76" s="14" t="s">
        <v>630</v>
      </c>
      <c r="C76" s="16">
        <v>2.2999999999999998</v>
      </c>
      <c r="D76">
        <v>27.9</v>
      </c>
      <c r="E76">
        <f t="shared" si="3"/>
        <v>25.599999999999998</v>
      </c>
      <c r="F76">
        <v>27.9</v>
      </c>
      <c r="G76">
        <f t="shared" si="4"/>
        <v>25.599999999999998</v>
      </c>
      <c r="H76">
        <v>1.2</v>
      </c>
      <c r="I76">
        <v>2.2000000000000002</v>
      </c>
    </row>
    <row r="77" spans="1:9" ht="15" x14ac:dyDescent="0.25">
      <c r="A77" s="14" t="s">
        <v>647</v>
      </c>
      <c r="B77" s="14" t="s">
        <v>626</v>
      </c>
      <c r="C77" s="16">
        <v>2.2999999999999998</v>
      </c>
      <c r="D77">
        <v>27.6</v>
      </c>
      <c r="E77">
        <f t="shared" si="3"/>
        <v>25.3</v>
      </c>
      <c r="F77">
        <v>27.6</v>
      </c>
      <c r="G77">
        <f t="shared" si="4"/>
        <v>25.3</v>
      </c>
      <c r="H77">
        <v>1.2</v>
      </c>
      <c r="I77">
        <v>2.2000000000000002</v>
      </c>
    </row>
    <row r="78" spans="1:9" ht="15" x14ac:dyDescent="0.25">
      <c r="A78" s="14" t="s">
        <v>647</v>
      </c>
      <c r="B78" s="14" t="s">
        <v>627</v>
      </c>
      <c r="C78" s="16">
        <v>2.2999999999999998</v>
      </c>
      <c r="D78">
        <v>27.8</v>
      </c>
      <c r="E78">
        <f t="shared" ref="E78:E91" si="5">D78-C78</f>
        <v>25.5</v>
      </c>
      <c r="F78">
        <v>27.7</v>
      </c>
      <c r="G78">
        <f t="shared" si="4"/>
        <v>25.4</v>
      </c>
      <c r="H78">
        <v>1.2</v>
      </c>
      <c r="I78">
        <v>2.2000000000000002</v>
      </c>
    </row>
    <row r="79" spans="1:9" ht="15" x14ac:dyDescent="0.25">
      <c r="A79" s="14" t="s">
        <v>647</v>
      </c>
      <c r="B79" s="14" t="s">
        <v>628</v>
      </c>
      <c r="C79" s="16">
        <v>2.2999999999999998</v>
      </c>
      <c r="D79">
        <v>27.8</v>
      </c>
      <c r="E79">
        <f t="shared" si="5"/>
        <v>25.5</v>
      </c>
      <c r="F79">
        <v>27.7</v>
      </c>
      <c r="G79">
        <f t="shared" si="4"/>
        <v>25.4</v>
      </c>
      <c r="H79">
        <v>1.2</v>
      </c>
      <c r="I79">
        <v>2.2000000000000002</v>
      </c>
    </row>
    <row r="80" spans="1:9" ht="15" x14ac:dyDescent="0.25">
      <c r="A80" s="14" t="s">
        <v>647</v>
      </c>
      <c r="B80" s="14" t="s">
        <v>629</v>
      </c>
      <c r="C80" s="16">
        <v>2.2999999999999998</v>
      </c>
      <c r="D80">
        <v>27.4</v>
      </c>
      <c r="E80">
        <f t="shared" si="5"/>
        <v>25.099999999999998</v>
      </c>
      <c r="F80">
        <v>27.1</v>
      </c>
      <c r="G80">
        <f t="shared" si="4"/>
        <v>24.8</v>
      </c>
      <c r="H80">
        <v>1.2</v>
      </c>
      <c r="I80">
        <v>2.2000000000000002</v>
      </c>
    </row>
    <row r="81" spans="1:9" ht="15" x14ac:dyDescent="0.25">
      <c r="A81" s="14" t="s">
        <v>647</v>
      </c>
      <c r="B81" s="14" t="s">
        <v>630</v>
      </c>
      <c r="C81" s="16">
        <v>2.2999999999999998</v>
      </c>
      <c r="D81">
        <v>27.8</v>
      </c>
      <c r="E81">
        <f t="shared" si="5"/>
        <v>25.5</v>
      </c>
      <c r="F81">
        <v>27.6</v>
      </c>
      <c r="G81">
        <f t="shared" si="4"/>
        <v>25.3</v>
      </c>
      <c r="H81">
        <v>1.2</v>
      </c>
      <c r="I81">
        <v>2.2000000000000002</v>
      </c>
    </row>
    <row r="82" spans="1:9" ht="15" x14ac:dyDescent="0.25">
      <c r="A82" s="14" t="s">
        <v>648</v>
      </c>
      <c r="B82" s="14" t="s">
        <v>626</v>
      </c>
      <c r="C82" s="16">
        <v>2.2999999999999998</v>
      </c>
      <c r="D82">
        <v>27.8</v>
      </c>
      <c r="E82">
        <f t="shared" si="5"/>
        <v>25.5</v>
      </c>
      <c r="F82">
        <v>27.7</v>
      </c>
      <c r="G82">
        <f t="shared" si="4"/>
        <v>25.4</v>
      </c>
      <c r="H82">
        <v>1.2</v>
      </c>
      <c r="I82">
        <v>2.2000000000000002</v>
      </c>
    </row>
    <row r="83" spans="1:9" ht="15" x14ac:dyDescent="0.25">
      <c r="A83" s="14" t="s">
        <v>648</v>
      </c>
      <c r="B83" s="14" t="s">
        <v>627</v>
      </c>
      <c r="C83" s="16">
        <v>2.2999999999999998</v>
      </c>
      <c r="D83">
        <v>28.1</v>
      </c>
      <c r="E83">
        <f t="shared" si="5"/>
        <v>25.8</v>
      </c>
      <c r="F83">
        <v>28</v>
      </c>
      <c r="G83">
        <f t="shared" si="4"/>
        <v>25.7</v>
      </c>
      <c r="H83">
        <v>1.1000000000000001</v>
      </c>
      <c r="I83">
        <v>2.1</v>
      </c>
    </row>
    <row r="84" spans="1:9" ht="15" x14ac:dyDescent="0.25">
      <c r="A84" s="14" t="s">
        <v>648</v>
      </c>
      <c r="B84" s="14" t="s">
        <v>628</v>
      </c>
      <c r="C84" s="16">
        <v>2.2999999999999998</v>
      </c>
      <c r="D84">
        <v>27.8</v>
      </c>
      <c r="E84">
        <f t="shared" si="5"/>
        <v>25.5</v>
      </c>
      <c r="F84">
        <v>27.7</v>
      </c>
      <c r="G84">
        <f t="shared" si="4"/>
        <v>25.4</v>
      </c>
      <c r="H84">
        <v>1.2</v>
      </c>
      <c r="I84">
        <v>2.2000000000000002</v>
      </c>
    </row>
    <row r="85" spans="1:9" ht="15" x14ac:dyDescent="0.25">
      <c r="A85" s="14" t="s">
        <v>648</v>
      </c>
      <c r="B85" s="14" t="s">
        <v>629</v>
      </c>
      <c r="C85" s="16">
        <v>2.2999999999999998</v>
      </c>
      <c r="D85">
        <v>27.8</v>
      </c>
      <c r="E85">
        <f t="shared" si="5"/>
        <v>25.5</v>
      </c>
      <c r="F85">
        <v>27.7</v>
      </c>
      <c r="G85">
        <f t="shared" si="4"/>
        <v>25.4</v>
      </c>
      <c r="H85">
        <v>1.2</v>
      </c>
      <c r="I85">
        <v>2.2000000000000002</v>
      </c>
    </row>
    <row r="86" spans="1:9" ht="15" x14ac:dyDescent="0.25">
      <c r="A86" s="14" t="s">
        <v>648</v>
      </c>
      <c r="B86" s="14" t="s">
        <v>630</v>
      </c>
      <c r="C86" s="16">
        <v>2.2000000000000002</v>
      </c>
      <c r="D86">
        <v>27.3</v>
      </c>
      <c r="E86">
        <f t="shared" si="5"/>
        <v>25.1</v>
      </c>
      <c r="F86">
        <v>27</v>
      </c>
      <c r="G86">
        <f t="shared" si="4"/>
        <v>24.8</v>
      </c>
      <c r="H86">
        <v>1.2</v>
      </c>
      <c r="I86">
        <v>2.2000000000000002</v>
      </c>
    </row>
    <row r="87" spans="1:9" ht="15" x14ac:dyDescent="0.25">
      <c r="A87" s="14" t="s">
        <v>649</v>
      </c>
      <c r="B87" s="14" t="s">
        <v>626</v>
      </c>
      <c r="C87" s="16">
        <v>2.2999999999999998</v>
      </c>
      <c r="D87">
        <v>27.8</v>
      </c>
      <c r="E87">
        <f t="shared" si="5"/>
        <v>25.5</v>
      </c>
      <c r="F87">
        <v>27.7</v>
      </c>
      <c r="G87">
        <f t="shared" si="4"/>
        <v>25.4</v>
      </c>
      <c r="H87">
        <v>1.2</v>
      </c>
      <c r="I87">
        <v>2.2000000000000002</v>
      </c>
    </row>
    <row r="88" spans="1:9" ht="15" x14ac:dyDescent="0.25">
      <c r="A88" s="14" t="s">
        <v>649</v>
      </c>
      <c r="B88" s="14" t="s">
        <v>627</v>
      </c>
      <c r="C88" s="16">
        <v>2.2999999999999998</v>
      </c>
      <c r="D88">
        <v>27.8</v>
      </c>
      <c r="E88">
        <f t="shared" si="5"/>
        <v>25.5</v>
      </c>
      <c r="F88">
        <v>27.7</v>
      </c>
      <c r="G88">
        <f t="shared" si="4"/>
        <v>25.4</v>
      </c>
      <c r="H88">
        <v>1.2</v>
      </c>
      <c r="I88">
        <v>2.2000000000000002</v>
      </c>
    </row>
    <row r="89" spans="1:9" ht="15" x14ac:dyDescent="0.25">
      <c r="A89" s="14" t="s">
        <v>649</v>
      </c>
      <c r="B89" s="14" t="s">
        <v>628</v>
      </c>
      <c r="C89" s="16">
        <v>2.2999999999999998</v>
      </c>
      <c r="D89">
        <v>27.9</v>
      </c>
      <c r="E89">
        <f t="shared" si="5"/>
        <v>25.599999999999998</v>
      </c>
      <c r="F89">
        <v>27.7</v>
      </c>
      <c r="G89">
        <f t="shared" si="4"/>
        <v>25.4</v>
      </c>
      <c r="H89">
        <v>1.2</v>
      </c>
      <c r="I89">
        <v>2.2000000000000002</v>
      </c>
    </row>
    <row r="90" spans="1:9" ht="15" x14ac:dyDescent="0.25">
      <c r="A90" s="14" t="s">
        <v>649</v>
      </c>
      <c r="B90" s="14" t="s">
        <v>629</v>
      </c>
      <c r="C90" s="16">
        <v>2.2999999999999998</v>
      </c>
      <c r="D90">
        <v>27.7</v>
      </c>
      <c r="E90">
        <f t="shared" si="5"/>
        <v>25.4</v>
      </c>
      <c r="F90">
        <v>27.4</v>
      </c>
      <c r="G90">
        <f t="shared" si="4"/>
        <v>25.099999999999998</v>
      </c>
      <c r="H90">
        <v>1.2</v>
      </c>
      <c r="I90">
        <v>2.2000000000000002</v>
      </c>
    </row>
    <row r="91" spans="1:9" ht="15" x14ac:dyDescent="0.25">
      <c r="A91" s="14" t="s">
        <v>649</v>
      </c>
      <c r="B91" s="14" t="s">
        <v>630</v>
      </c>
      <c r="C91" s="16">
        <v>2.2999999999999998</v>
      </c>
      <c r="D91">
        <v>27.4</v>
      </c>
      <c r="E91">
        <f t="shared" si="5"/>
        <v>25.099999999999998</v>
      </c>
      <c r="F91">
        <v>27.2</v>
      </c>
      <c r="G91">
        <f t="shared" si="4"/>
        <v>24.9</v>
      </c>
      <c r="H91">
        <v>1.2</v>
      </c>
      <c r="I91">
        <v>2.2000000000000002</v>
      </c>
    </row>
    <row r="113" spans="3:3" ht="15" x14ac:dyDescent="0.25">
      <c r="C113" s="16"/>
    </row>
    <row r="114" spans="3:3" ht="15" x14ac:dyDescent="0.25">
      <c r="C114" s="14"/>
    </row>
    <row r="115" spans="3:3" ht="15" x14ac:dyDescent="0.25">
      <c r="C115" s="16"/>
    </row>
    <row r="116" spans="3:3" ht="15" x14ac:dyDescent="0.25">
      <c r="C116" s="16"/>
    </row>
    <row r="117" spans="3:3" ht="15" x14ac:dyDescent="0.25">
      <c r="C117" s="16"/>
    </row>
    <row r="118" spans="3:3" ht="15" x14ac:dyDescent="0.25">
      <c r="C118" s="16"/>
    </row>
    <row r="119" spans="3:3" ht="15" x14ac:dyDescent="0.25">
      <c r="C119" s="16"/>
    </row>
    <row r="120" spans="3:3" ht="15" x14ac:dyDescent="0.25">
      <c r="C120" s="16"/>
    </row>
    <row r="121" spans="3:3" ht="15" x14ac:dyDescent="0.25">
      <c r="C121" s="16"/>
    </row>
    <row r="122" spans="3:3" ht="15" x14ac:dyDescent="0.25">
      <c r="C122" s="16"/>
    </row>
    <row r="123" spans="3:3" ht="15" x14ac:dyDescent="0.25">
      <c r="C123" s="16"/>
    </row>
    <row r="124" spans="3:3" ht="15" x14ac:dyDescent="0.25">
      <c r="C124" s="16"/>
    </row>
    <row r="125" spans="3:3" ht="15" x14ac:dyDescent="0.25">
      <c r="C125" s="16"/>
    </row>
    <row r="126" spans="3:3" ht="15" x14ac:dyDescent="0.25">
      <c r="C126" s="16"/>
    </row>
    <row r="183" spans="1:3" x14ac:dyDescent="0.2">
      <c r="A183" s="20"/>
      <c r="B183" s="20"/>
      <c r="C183" s="20"/>
    </row>
    <row r="184" spans="1:3" x14ac:dyDescent="0.2">
      <c r="A184" s="20"/>
      <c r="B184" s="20"/>
      <c r="C184" s="20"/>
    </row>
    <row r="185" spans="1:3" x14ac:dyDescent="0.2">
      <c r="A185" s="20"/>
      <c r="B185" s="20"/>
      <c r="C185" s="20"/>
    </row>
    <row r="186" spans="1:3" x14ac:dyDescent="0.2">
      <c r="A186" s="20"/>
      <c r="B186" s="20"/>
      <c r="C186" s="20"/>
    </row>
    <row r="187" spans="1:3" x14ac:dyDescent="0.2">
      <c r="A187" s="20"/>
      <c r="B187" s="20"/>
      <c r="C187" s="20"/>
    </row>
    <row r="188" spans="1:3" x14ac:dyDescent="0.2">
      <c r="A188" s="20"/>
      <c r="B188" s="20"/>
      <c r="C188" s="20"/>
    </row>
    <row r="189" spans="1:3" x14ac:dyDescent="0.2">
      <c r="A189" s="20"/>
      <c r="B189" s="20"/>
      <c r="C189" s="20"/>
    </row>
    <row r="190" spans="1:3" x14ac:dyDescent="0.2">
      <c r="A190" s="20"/>
      <c r="B190" s="20"/>
      <c r="C190" s="20"/>
    </row>
    <row r="191" spans="1:3" x14ac:dyDescent="0.2">
      <c r="A191" s="20"/>
      <c r="B191" s="20"/>
      <c r="C191" s="20"/>
    </row>
    <row r="192" spans="1:3" x14ac:dyDescent="0.2">
      <c r="A192" s="20"/>
      <c r="B192" s="20"/>
      <c r="C192" s="20"/>
    </row>
    <row r="193" spans="1:3" x14ac:dyDescent="0.2">
      <c r="A193" s="20"/>
      <c r="B193" s="20"/>
      <c r="C193" s="20"/>
    </row>
    <row r="194" spans="1:3" x14ac:dyDescent="0.2">
      <c r="A194" s="20"/>
      <c r="B194" s="20"/>
      <c r="C194" s="20"/>
    </row>
    <row r="195" spans="1:3" x14ac:dyDescent="0.2">
      <c r="A195" s="20"/>
      <c r="B195" s="20"/>
      <c r="C195" s="20"/>
    </row>
    <row r="196" spans="1:3" x14ac:dyDescent="0.2">
      <c r="A196" s="20"/>
      <c r="B196" s="20"/>
      <c r="C196" s="20"/>
    </row>
    <row r="197" spans="1:3" x14ac:dyDescent="0.2">
      <c r="A197" s="20"/>
      <c r="B197" s="20"/>
      <c r="C197" s="20"/>
    </row>
    <row r="198" spans="1:3" x14ac:dyDescent="0.2">
      <c r="A198" s="20"/>
      <c r="B198" s="20"/>
      <c r="C198" s="20"/>
    </row>
    <row r="199" spans="1:3" x14ac:dyDescent="0.2">
      <c r="A199" s="20"/>
      <c r="B199" s="20"/>
      <c r="C199" s="20"/>
    </row>
    <row r="200" spans="1:3" x14ac:dyDescent="0.2">
      <c r="A200" s="20"/>
      <c r="B200" s="20"/>
      <c r="C200" s="20"/>
    </row>
    <row r="201" spans="1:3" x14ac:dyDescent="0.2">
      <c r="A201" s="20"/>
      <c r="B201" s="20"/>
      <c r="C201" s="20"/>
    </row>
    <row r="202" spans="1:3" x14ac:dyDescent="0.2">
      <c r="A202" s="20"/>
      <c r="B202" s="20"/>
      <c r="C202" s="20"/>
    </row>
    <row r="203" spans="1:3" x14ac:dyDescent="0.2">
      <c r="A203" s="20"/>
      <c r="B203" s="20"/>
      <c r="C203" s="20"/>
    </row>
    <row r="204" spans="1:3" x14ac:dyDescent="0.2">
      <c r="A204" s="20"/>
      <c r="B204" s="20"/>
      <c r="C204" s="20"/>
    </row>
    <row r="205" spans="1:3" x14ac:dyDescent="0.2">
      <c r="A205" s="20"/>
      <c r="B205" s="20"/>
      <c r="C205" s="20"/>
    </row>
    <row r="206" spans="1:3" x14ac:dyDescent="0.2">
      <c r="A206" s="20"/>
      <c r="B206" s="20"/>
      <c r="C206" s="20"/>
    </row>
    <row r="207" spans="1:3" x14ac:dyDescent="0.2">
      <c r="A207" s="20"/>
      <c r="B207" s="20"/>
      <c r="C207" s="20"/>
    </row>
    <row r="208" spans="1:3" x14ac:dyDescent="0.2">
      <c r="A208" s="20"/>
      <c r="B208" s="20"/>
      <c r="C208" s="20"/>
    </row>
    <row r="209" spans="1:3" x14ac:dyDescent="0.2">
      <c r="A209" s="20"/>
      <c r="B209" s="20"/>
      <c r="C209" s="20"/>
    </row>
    <row r="210" spans="1:3" x14ac:dyDescent="0.2">
      <c r="A210" s="20"/>
      <c r="B210" s="20"/>
      <c r="C210" s="20"/>
    </row>
    <row r="211" spans="1:3" x14ac:dyDescent="0.2">
      <c r="A211" s="20"/>
      <c r="B211" s="20"/>
      <c r="C211" s="20"/>
    </row>
    <row r="212" spans="1:3" x14ac:dyDescent="0.2">
      <c r="A212" s="20"/>
      <c r="B212" s="20"/>
      <c r="C212" s="20"/>
    </row>
    <row r="213" spans="1:3" x14ac:dyDescent="0.2">
      <c r="A213" s="20"/>
      <c r="B213" s="20"/>
      <c r="C213" s="20"/>
    </row>
    <row r="214" spans="1:3" x14ac:dyDescent="0.2">
      <c r="A214" s="20"/>
      <c r="B214" s="20"/>
      <c r="C214" s="20"/>
    </row>
    <row r="215" spans="1:3" x14ac:dyDescent="0.2">
      <c r="A215" s="20"/>
      <c r="B215" s="20"/>
      <c r="C215" s="20"/>
    </row>
    <row r="216" spans="1:3" x14ac:dyDescent="0.2">
      <c r="A216" s="20"/>
      <c r="B216" s="20"/>
      <c r="C216" s="20"/>
    </row>
    <row r="217" spans="1:3" x14ac:dyDescent="0.2">
      <c r="A217" s="20"/>
      <c r="B217" s="20"/>
      <c r="C217" s="20"/>
    </row>
    <row r="218" spans="1:3" x14ac:dyDescent="0.2">
      <c r="A218" s="20"/>
      <c r="B218" s="20"/>
      <c r="C218" s="20"/>
    </row>
    <row r="219" spans="1:3" x14ac:dyDescent="0.2">
      <c r="A219" s="20"/>
      <c r="B219" s="20"/>
      <c r="C219" s="20"/>
    </row>
    <row r="220" spans="1:3" x14ac:dyDescent="0.2">
      <c r="A220" s="20"/>
      <c r="B220" s="20"/>
      <c r="C220" s="20"/>
    </row>
    <row r="221" spans="1:3" x14ac:dyDescent="0.2">
      <c r="A221" s="20"/>
      <c r="B221" s="20"/>
      <c r="C221" s="20"/>
    </row>
    <row r="222" spans="1:3" x14ac:dyDescent="0.2">
      <c r="A222" s="20"/>
      <c r="B222" s="20"/>
      <c r="C222" s="20"/>
    </row>
    <row r="223" spans="1:3" x14ac:dyDescent="0.2">
      <c r="A223" s="20"/>
      <c r="B223" s="20"/>
      <c r="C223" s="20"/>
    </row>
    <row r="224" spans="1:3" x14ac:dyDescent="0.2">
      <c r="A224" s="20"/>
      <c r="B224" s="20"/>
      <c r="C224" s="20"/>
    </row>
    <row r="225" spans="1:3" x14ac:dyDescent="0.2">
      <c r="A225" s="20"/>
      <c r="B225" s="20"/>
      <c r="C225" s="20"/>
    </row>
    <row r="226" spans="1:3" x14ac:dyDescent="0.2">
      <c r="A226" s="20"/>
      <c r="B226" s="20"/>
      <c r="C226" s="20"/>
    </row>
    <row r="227" spans="1:3" x14ac:dyDescent="0.2">
      <c r="A227" s="20"/>
      <c r="B227" s="20"/>
      <c r="C227" s="20"/>
    </row>
    <row r="228" spans="1:3" x14ac:dyDescent="0.2">
      <c r="A228" s="20"/>
      <c r="B228" s="20"/>
      <c r="C228" s="20"/>
    </row>
    <row r="229" spans="1:3" x14ac:dyDescent="0.2">
      <c r="A229" s="20"/>
      <c r="B229" s="20"/>
      <c r="C229" s="20"/>
    </row>
    <row r="230" spans="1:3" x14ac:dyDescent="0.2">
      <c r="A230" s="20"/>
      <c r="B230" s="20"/>
      <c r="C230" s="20"/>
    </row>
    <row r="231" spans="1:3" x14ac:dyDescent="0.2">
      <c r="A231" s="20"/>
      <c r="B231" s="20"/>
      <c r="C231" s="20"/>
    </row>
    <row r="232" spans="1:3" x14ac:dyDescent="0.2">
      <c r="A232" s="20"/>
      <c r="B232" s="20"/>
      <c r="C232" s="20"/>
    </row>
    <row r="233" spans="1:3" x14ac:dyDescent="0.2">
      <c r="A233" s="20"/>
      <c r="B233" s="20"/>
      <c r="C233" s="20"/>
    </row>
    <row r="234" spans="1:3" x14ac:dyDescent="0.2">
      <c r="A234" s="20"/>
      <c r="B234" s="20"/>
      <c r="C234" s="20"/>
    </row>
    <row r="235" spans="1:3" x14ac:dyDescent="0.2">
      <c r="A235" s="20"/>
      <c r="B235" s="20"/>
      <c r="C235" s="20"/>
    </row>
    <row r="236" spans="1:3" x14ac:dyDescent="0.2">
      <c r="A236" s="20"/>
      <c r="B236" s="20"/>
      <c r="C236" s="20"/>
    </row>
    <row r="237" spans="1:3" x14ac:dyDescent="0.2">
      <c r="A237" s="20"/>
      <c r="B237" s="20"/>
      <c r="C237" s="20"/>
    </row>
    <row r="238" spans="1:3" x14ac:dyDescent="0.2">
      <c r="A238" s="20"/>
      <c r="B238" s="20"/>
      <c r="C238" s="20"/>
    </row>
    <row r="239" spans="1:3" x14ac:dyDescent="0.2">
      <c r="A239" s="20"/>
      <c r="B239" s="20"/>
      <c r="C239" s="20"/>
    </row>
    <row r="240" spans="1:3" x14ac:dyDescent="0.2">
      <c r="A240" s="20"/>
      <c r="B240" s="20"/>
      <c r="C240" s="20"/>
    </row>
    <row r="241" spans="1:3" x14ac:dyDescent="0.2">
      <c r="A241" s="20"/>
      <c r="B241" s="20"/>
      <c r="C241" s="20"/>
    </row>
    <row r="242" spans="1:3" x14ac:dyDescent="0.2">
      <c r="A242" s="20"/>
      <c r="B242" s="20"/>
      <c r="C242" s="20"/>
    </row>
    <row r="243" spans="1:3" x14ac:dyDescent="0.2">
      <c r="A243" s="20"/>
      <c r="B243" s="20"/>
      <c r="C243" s="20"/>
    </row>
    <row r="244" spans="1:3" x14ac:dyDescent="0.2">
      <c r="A244" s="20"/>
      <c r="B244" s="20"/>
      <c r="C244" s="20"/>
    </row>
    <row r="245" spans="1:3" x14ac:dyDescent="0.2">
      <c r="A245" s="20"/>
      <c r="B245" s="20"/>
      <c r="C245" s="20"/>
    </row>
    <row r="246" spans="1:3" x14ac:dyDescent="0.2">
      <c r="A246" s="20"/>
      <c r="B246" s="20"/>
      <c r="C246" s="20"/>
    </row>
    <row r="247" spans="1:3" x14ac:dyDescent="0.2">
      <c r="A247" s="20"/>
      <c r="B247" s="20"/>
      <c r="C247" s="20"/>
    </row>
    <row r="248" spans="1:3" x14ac:dyDescent="0.2">
      <c r="A248" s="20"/>
      <c r="B248" s="20"/>
      <c r="C248" s="20"/>
    </row>
    <row r="249" spans="1:3" x14ac:dyDescent="0.2">
      <c r="A249" s="20"/>
      <c r="B249" s="20"/>
      <c r="C249" s="20"/>
    </row>
    <row r="250" spans="1:3" x14ac:dyDescent="0.2">
      <c r="A250" s="20"/>
      <c r="B250" s="20"/>
      <c r="C250" s="20"/>
    </row>
    <row r="251" spans="1:3" x14ac:dyDescent="0.2">
      <c r="A251" s="20"/>
      <c r="B251" s="20"/>
      <c r="C251" s="20"/>
    </row>
    <row r="252" spans="1:3" x14ac:dyDescent="0.2">
      <c r="A252" s="20"/>
      <c r="B252" s="20"/>
      <c r="C252" s="20"/>
    </row>
    <row r="253" spans="1:3" x14ac:dyDescent="0.2">
      <c r="A253" s="20"/>
      <c r="B253" s="20"/>
      <c r="C253" s="20"/>
    </row>
    <row r="254" spans="1:3" x14ac:dyDescent="0.2">
      <c r="A254" s="20"/>
      <c r="B254" s="20"/>
      <c r="C254" s="20"/>
    </row>
    <row r="255" spans="1:3" x14ac:dyDescent="0.2">
      <c r="A255" s="20"/>
      <c r="B255" s="20"/>
      <c r="C255" s="20"/>
    </row>
    <row r="256" spans="1:3" x14ac:dyDescent="0.2">
      <c r="A256" s="20"/>
      <c r="B256" s="20"/>
      <c r="C256" s="20"/>
    </row>
    <row r="257" spans="1:3" x14ac:dyDescent="0.2">
      <c r="A257" s="20"/>
      <c r="B257" s="20"/>
      <c r="C257" s="20"/>
    </row>
    <row r="258" spans="1:3" x14ac:dyDescent="0.2">
      <c r="A258" s="20"/>
      <c r="B258" s="20"/>
      <c r="C258" s="20"/>
    </row>
    <row r="259" spans="1:3" x14ac:dyDescent="0.2">
      <c r="A259" s="20"/>
      <c r="B259" s="20"/>
      <c r="C259" s="20"/>
    </row>
    <row r="260" spans="1:3" x14ac:dyDescent="0.2">
      <c r="A260" s="20"/>
      <c r="B260" s="20"/>
      <c r="C260" s="20"/>
    </row>
    <row r="261" spans="1:3" x14ac:dyDescent="0.2">
      <c r="A261" s="20"/>
      <c r="B261" s="20"/>
      <c r="C261" s="20"/>
    </row>
    <row r="262" spans="1:3" x14ac:dyDescent="0.2">
      <c r="A262" s="20"/>
      <c r="B262" s="20"/>
      <c r="C262" s="20"/>
    </row>
    <row r="263" spans="1:3" x14ac:dyDescent="0.2">
      <c r="A263" s="20"/>
      <c r="B263" s="20"/>
      <c r="C263" s="20"/>
    </row>
    <row r="264" spans="1:3" x14ac:dyDescent="0.2">
      <c r="A264" s="20"/>
      <c r="B264" s="20"/>
      <c r="C264" s="20"/>
    </row>
    <row r="265" spans="1:3" x14ac:dyDescent="0.2">
      <c r="A265" s="20"/>
      <c r="B265" s="20"/>
      <c r="C265" s="20"/>
    </row>
    <row r="266" spans="1:3" x14ac:dyDescent="0.2">
      <c r="A266" s="20"/>
      <c r="B266" s="20"/>
      <c r="C266" s="20"/>
    </row>
    <row r="267" spans="1:3" x14ac:dyDescent="0.2">
      <c r="A267" s="20"/>
      <c r="B267" s="20"/>
      <c r="C267" s="20"/>
    </row>
    <row r="268" spans="1:3" x14ac:dyDescent="0.2">
      <c r="A268" s="20"/>
      <c r="B268" s="20"/>
      <c r="C268" s="20"/>
    </row>
    <row r="269" spans="1:3" x14ac:dyDescent="0.2">
      <c r="A269" s="20"/>
      <c r="B269" s="20"/>
      <c r="C269" s="20"/>
    </row>
    <row r="270" spans="1:3" x14ac:dyDescent="0.2">
      <c r="A270" s="20"/>
      <c r="B270" s="20"/>
      <c r="C270" s="20"/>
    </row>
    <row r="271" spans="1:3" x14ac:dyDescent="0.2">
      <c r="A271" s="20"/>
      <c r="B271" s="20"/>
      <c r="C271" s="20"/>
    </row>
    <row r="272" spans="1:3" x14ac:dyDescent="0.2">
      <c r="A272" s="20"/>
      <c r="B272" s="20"/>
      <c r="C272" s="20"/>
    </row>
    <row r="273" spans="1:3" x14ac:dyDescent="0.2">
      <c r="A273" s="20"/>
      <c r="B273" s="20"/>
      <c r="C273" s="20"/>
    </row>
    <row r="274" spans="1:3" x14ac:dyDescent="0.2">
      <c r="A274" s="20"/>
      <c r="B274" s="20"/>
      <c r="C274" s="20"/>
    </row>
    <row r="275" spans="1:3" x14ac:dyDescent="0.2">
      <c r="A275" s="20"/>
      <c r="B275" s="20"/>
      <c r="C275" s="20"/>
    </row>
    <row r="276" spans="1:3" x14ac:dyDescent="0.2">
      <c r="A276" s="20"/>
      <c r="B276" s="20"/>
      <c r="C276" s="20"/>
    </row>
    <row r="277" spans="1:3" x14ac:dyDescent="0.2">
      <c r="A277" s="20"/>
      <c r="B277" s="20"/>
      <c r="C277" s="20"/>
    </row>
    <row r="278" spans="1:3" x14ac:dyDescent="0.2">
      <c r="A278" s="20"/>
      <c r="B278" s="20"/>
      <c r="C278" s="20"/>
    </row>
    <row r="279" spans="1:3" x14ac:dyDescent="0.2">
      <c r="A279" s="20"/>
      <c r="B279" s="20"/>
      <c r="C279" s="20"/>
    </row>
    <row r="280" spans="1:3" x14ac:dyDescent="0.2">
      <c r="A280" s="20"/>
      <c r="B280" s="20"/>
      <c r="C280" s="20"/>
    </row>
    <row r="281" spans="1:3" x14ac:dyDescent="0.2">
      <c r="A281" s="20"/>
      <c r="B281" s="20"/>
      <c r="C281" s="20"/>
    </row>
    <row r="282" spans="1:3" x14ac:dyDescent="0.2">
      <c r="A282" s="20"/>
      <c r="B282" s="20"/>
      <c r="C282" s="20"/>
    </row>
    <row r="283" spans="1:3" x14ac:dyDescent="0.2">
      <c r="A283" s="20"/>
      <c r="B283" s="20"/>
      <c r="C283" s="20"/>
    </row>
    <row r="284" spans="1:3" x14ac:dyDescent="0.2">
      <c r="A284" s="20"/>
      <c r="B284" s="20"/>
      <c r="C284" s="20"/>
    </row>
    <row r="285" spans="1:3" x14ac:dyDescent="0.2">
      <c r="A285" s="20"/>
      <c r="B285" s="20"/>
      <c r="C285" s="20"/>
    </row>
    <row r="286" spans="1:3" x14ac:dyDescent="0.2">
      <c r="A286" s="20"/>
      <c r="B286" s="20"/>
      <c r="C286" s="20"/>
    </row>
    <row r="287" spans="1:3" x14ac:dyDescent="0.2">
      <c r="A287" s="20"/>
      <c r="B287" s="20"/>
      <c r="C287" s="20"/>
    </row>
    <row r="288" spans="1:3" x14ac:dyDescent="0.2">
      <c r="A288" s="20"/>
      <c r="B288" s="20"/>
      <c r="C288" s="20"/>
    </row>
    <row r="289" spans="1:3" x14ac:dyDescent="0.2">
      <c r="A289" s="20"/>
      <c r="B289" s="20"/>
      <c r="C289" s="20"/>
    </row>
    <row r="290" spans="1:3" x14ac:dyDescent="0.2">
      <c r="A290" s="20"/>
      <c r="B290" s="20"/>
      <c r="C290" s="20"/>
    </row>
    <row r="291" spans="1:3" x14ac:dyDescent="0.2">
      <c r="A291" s="20"/>
      <c r="B291" s="20"/>
      <c r="C291" s="20"/>
    </row>
    <row r="292" spans="1:3" x14ac:dyDescent="0.2">
      <c r="A292" s="20"/>
      <c r="B292" s="20"/>
      <c r="C292" s="20"/>
    </row>
    <row r="293" spans="1:3" x14ac:dyDescent="0.2">
      <c r="A293" s="20"/>
      <c r="B293" s="20"/>
      <c r="C293" s="20"/>
    </row>
    <row r="294" spans="1:3" x14ac:dyDescent="0.2">
      <c r="A294" s="20"/>
      <c r="B294" s="20"/>
      <c r="C294" s="20"/>
    </row>
    <row r="295" spans="1:3" x14ac:dyDescent="0.2">
      <c r="A295" s="20"/>
      <c r="B295" s="20"/>
      <c r="C295" s="20"/>
    </row>
    <row r="296" spans="1:3" x14ac:dyDescent="0.2">
      <c r="A296" s="20"/>
      <c r="B296" s="20"/>
      <c r="C296" s="20"/>
    </row>
    <row r="297" spans="1:3" x14ac:dyDescent="0.2">
      <c r="A297" s="20"/>
      <c r="B297" s="20"/>
      <c r="C297" s="20"/>
    </row>
    <row r="298" spans="1:3" x14ac:dyDescent="0.2">
      <c r="A298" s="20"/>
      <c r="B298" s="20"/>
      <c r="C298" s="20"/>
    </row>
    <row r="299" spans="1:3" x14ac:dyDescent="0.2">
      <c r="A299" s="20"/>
      <c r="B299" s="20"/>
      <c r="C299" s="20"/>
    </row>
    <row r="300" spans="1:3" x14ac:dyDescent="0.2">
      <c r="A300" s="20"/>
      <c r="B300" s="20"/>
      <c r="C300" s="20"/>
    </row>
    <row r="301" spans="1:3" x14ac:dyDescent="0.2">
      <c r="A301" s="20"/>
      <c r="B301" s="20"/>
      <c r="C301" s="20"/>
    </row>
    <row r="302" spans="1:3" x14ac:dyDescent="0.2">
      <c r="A302" s="20"/>
      <c r="B302" s="20"/>
      <c r="C302" s="20"/>
    </row>
    <row r="303" spans="1:3" x14ac:dyDescent="0.2">
      <c r="A303" s="20"/>
      <c r="B303" s="20"/>
      <c r="C303" s="20"/>
    </row>
    <row r="304" spans="1:3" x14ac:dyDescent="0.2">
      <c r="A304" s="20"/>
      <c r="B304" s="20"/>
      <c r="C304" s="20"/>
    </row>
    <row r="305" spans="1:3" x14ac:dyDescent="0.2">
      <c r="A305" s="20"/>
      <c r="B305" s="20"/>
      <c r="C305" s="20"/>
    </row>
    <row r="306" spans="1:3" x14ac:dyDescent="0.2">
      <c r="A306" s="20"/>
      <c r="B306" s="20"/>
      <c r="C306" s="20"/>
    </row>
    <row r="307" spans="1:3" x14ac:dyDescent="0.2">
      <c r="A307" s="20"/>
      <c r="B307" s="20"/>
      <c r="C307" s="20"/>
    </row>
    <row r="308" spans="1:3" x14ac:dyDescent="0.2">
      <c r="A308" s="20"/>
      <c r="B308" s="20"/>
      <c r="C308" s="20"/>
    </row>
    <row r="309" spans="1:3" x14ac:dyDescent="0.2">
      <c r="A309" s="20"/>
      <c r="B309" s="20"/>
      <c r="C309" s="20"/>
    </row>
    <row r="310" spans="1:3" x14ac:dyDescent="0.2">
      <c r="A310" s="20"/>
      <c r="B310" s="20"/>
      <c r="C310" s="20"/>
    </row>
    <row r="311" spans="1:3" x14ac:dyDescent="0.2">
      <c r="A311" s="20"/>
      <c r="B311" s="20"/>
      <c r="C311" s="20"/>
    </row>
    <row r="312" spans="1:3" x14ac:dyDescent="0.2">
      <c r="A312" s="20"/>
      <c r="B312" s="20"/>
      <c r="C312" s="20"/>
    </row>
    <row r="313" spans="1:3" x14ac:dyDescent="0.2">
      <c r="A313" s="20"/>
      <c r="B313" s="20"/>
      <c r="C313" s="20"/>
    </row>
    <row r="314" spans="1:3" x14ac:dyDescent="0.2">
      <c r="A314" s="20"/>
      <c r="B314" s="20"/>
      <c r="C314" s="20"/>
    </row>
    <row r="315" spans="1:3" x14ac:dyDescent="0.2">
      <c r="A315" s="20"/>
      <c r="B315" s="20"/>
      <c r="C315" s="20"/>
    </row>
    <row r="316" spans="1:3" x14ac:dyDescent="0.2">
      <c r="A316" s="20"/>
      <c r="B316" s="20"/>
      <c r="C316" s="20"/>
    </row>
    <row r="317" spans="1:3" x14ac:dyDescent="0.2">
      <c r="A317" s="20"/>
      <c r="B317" s="20"/>
      <c r="C317" s="20"/>
    </row>
    <row r="318" spans="1:3" x14ac:dyDescent="0.2">
      <c r="A318" s="20"/>
      <c r="B318" s="20"/>
      <c r="C318" s="20"/>
    </row>
    <row r="319" spans="1:3" x14ac:dyDescent="0.2">
      <c r="A319" s="20"/>
      <c r="B319" s="20"/>
      <c r="C319" s="20"/>
    </row>
    <row r="320" spans="1:3" x14ac:dyDescent="0.2">
      <c r="A320" s="20"/>
      <c r="B320" s="20"/>
      <c r="C320" s="20"/>
    </row>
    <row r="321" spans="1:3" x14ac:dyDescent="0.2">
      <c r="A321" s="20"/>
      <c r="B321" s="20"/>
      <c r="C321" s="20"/>
    </row>
    <row r="322" spans="1:3" x14ac:dyDescent="0.2">
      <c r="A322" s="20"/>
      <c r="B322" s="20"/>
      <c r="C322" s="20"/>
    </row>
    <row r="323" spans="1:3" x14ac:dyDescent="0.2">
      <c r="A323" s="20"/>
      <c r="B323" s="20"/>
      <c r="C323" s="20"/>
    </row>
    <row r="324" spans="1:3" x14ac:dyDescent="0.2">
      <c r="A324" s="20"/>
      <c r="B324" s="20"/>
      <c r="C324" s="20"/>
    </row>
    <row r="325" spans="1:3" x14ac:dyDescent="0.2">
      <c r="A325" s="20"/>
      <c r="B325" s="20"/>
      <c r="C325" s="20"/>
    </row>
    <row r="326" spans="1:3" x14ac:dyDescent="0.2">
      <c r="A326" s="20"/>
      <c r="B326" s="20"/>
      <c r="C326" s="20"/>
    </row>
    <row r="327" spans="1:3" x14ac:dyDescent="0.2">
      <c r="A327" s="20"/>
      <c r="B327" s="20"/>
      <c r="C327" s="20"/>
    </row>
    <row r="328" spans="1:3" x14ac:dyDescent="0.2">
      <c r="A328" s="20"/>
      <c r="B328" s="20"/>
      <c r="C328" s="20"/>
    </row>
    <row r="329" spans="1:3" x14ac:dyDescent="0.2">
      <c r="A329" s="20"/>
      <c r="B329" s="20"/>
      <c r="C329" s="20"/>
    </row>
    <row r="330" spans="1:3" x14ac:dyDescent="0.2">
      <c r="A330" s="20"/>
      <c r="B330" s="20"/>
      <c r="C330" s="20"/>
    </row>
    <row r="331" spans="1:3" x14ac:dyDescent="0.2">
      <c r="A331" s="20"/>
      <c r="B331" s="20"/>
      <c r="C331" s="20"/>
    </row>
    <row r="332" spans="1:3" x14ac:dyDescent="0.2">
      <c r="A332" s="20"/>
      <c r="B332" s="20"/>
      <c r="C332" s="20"/>
    </row>
    <row r="333" spans="1:3" x14ac:dyDescent="0.2">
      <c r="A333" s="20"/>
      <c r="B333" s="20"/>
      <c r="C333" s="20"/>
    </row>
    <row r="334" spans="1:3" x14ac:dyDescent="0.2">
      <c r="A334" s="20"/>
      <c r="B334" s="20"/>
      <c r="C334" s="20"/>
    </row>
    <row r="335" spans="1:3" x14ac:dyDescent="0.2">
      <c r="A335" s="20"/>
      <c r="B335" s="20"/>
      <c r="C335" s="20"/>
    </row>
    <row r="336" spans="1:3" x14ac:dyDescent="0.2">
      <c r="A336" s="20"/>
      <c r="B336" s="20"/>
      <c r="C336" s="20"/>
    </row>
    <row r="337" spans="1:3" x14ac:dyDescent="0.2">
      <c r="A337" s="20"/>
      <c r="B337" s="20"/>
      <c r="C337" s="20"/>
    </row>
    <row r="338" spans="1:3" x14ac:dyDescent="0.2">
      <c r="A338" s="20"/>
      <c r="B338" s="20"/>
      <c r="C338" s="20"/>
    </row>
    <row r="339" spans="1:3" x14ac:dyDescent="0.2">
      <c r="A339" s="20"/>
      <c r="B339" s="20"/>
      <c r="C339" s="20"/>
    </row>
    <row r="340" spans="1:3" x14ac:dyDescent="0.2">
      <c r="A340" s="20"/>
      <c r="B340" s="20"/>
      <c r="C340" s="20"/>
    </row>
    <row r="341" spans="1:3" x14ac:dyDescent="0.2">
      <c r="A341" s="20"/>
      <c r="B341" s="20"/>
      <c r="C341" s="20"/>
    </row>
    <row r="342" spans="1:3" x14ac:dyDescent="0.2">
      <c r="A342" s="20"/>
      <c r="B342" s="20"/>
      <c r="C342" s="20"/>
    </row>
    <row r="343" spans="1:3" x14ac:dyDescent="0.2">
      <c r="A343" s="20"/>
      <c r="B343" s="20"/>
      <c r="C343" s="20"/>
    </row>
    <row r="344" spans="1:3" x14ac:dyDescent="0.2">
      <c r="A344" s="20"/>
      <c r="B344" s="20"/>
      <c r="C344" s="20"/>
    </row>
    <row r="345" spans="1:3" x14ac:dyDescent="0.2">
      <c r="A345" s="20"/>
      <c r="B345" s="20"/>
      <c r="C345" s="20"/>
    </row>
    <row r="346" spans="1:3" x14ac:dyDescent="0.2">
      <c r="A346" s="20"/>
      <c r="B346" s="20"/>
      <c r="C346" s="20"/>
    </row>
    <row r="347" spans="1:3" x14ac:dyDescent="0.2">
      <c r="A347" s="20"/>
      <c r="B347" s="20"/>
      <c r="C347" s="20"/>
    </row>
    <row r="348" spans="1:3" x14ac:dyDescent="0.2">
      <c r="A348" s="20"/>
      <c r="B348" s="20"/>
      <c r="C348" s="20"/>
    </row>
    <row r="349" spans="1:3" x14ac:dyDescent="0.2">
      <c r="A349" s="20"/>
      <c r="B349" s="20"/>
      <c r="C349" s="20"/>
    </row>
    <row r="350" spans="1:3" x14ac:dyDescent="0.2">
      <c r="A350" s="20"/>
      <c r="B350" s="20"/>
      <c r="C350" s="20"/>
    </row>
    <row r="351" spans="1:3" x14ac:dyDescent="0.2">
      <c r="A351" s="20"/>
      <c r="B351" s="20"/>
      <c r="C351" s="20"/>
    </row>
    <row r="352" spans="1:3" x14ac:dyDescent="0.2">
      <c r="A352" s="20"/>
      <c r="B352" s="20"/>
      <c r="C352" s="20"/>
    </row>
    <row r="353" spans="1:3" x14ac:dyDescent="0.2">
      <c r="A353" s="20"/>
      <c r="B353" s="20"/>
      <c r="C353" s="20"/>
    </row>
    <row r="354" spans="1:3" x14ac:dyDescent="0.2">
      <c r="A354" s="20"/>
      <c r="B354" s="20"/>
      <c r="C354" s="20"/>
    </row>
    <row r="355" spans="1:3" x14ac:dyDescent="0.2">
      <c r="A355" s="20"/>
      <c r="B355" s="20"/>
      <c r="C355" s="20"/>
    </row>
    <row r="356" spans="1:3" x14ac:dyDescent="0.2">
      <c r="A356" s="20"/>
      <c r="B356" s="20"/>
      <c r="C356" s="20"/>
    </row>
    <row r="357" spans="1:3" x14ac:dyDescent="0.2">
      <c r="A357" s="20"/>
      <c r="B357" s="20"/>
      <c r="C357" s="20"/>
    </row>
    <row r="358" spans="1:3" x14ac:dyDescent="0.2">
      <c r="A358" s="20"/>
      <c r="B358" s="20"/>
      <c r="C358" s="20"/>
    </row>
    <row r="359" spans="1:3" x14ac:dyDescent="0.2">
      <c r="A359" s="20"/>
      <c r="B359" s="20"/>
      <c r="C359" s="20"/>
    </row>
    <row r="360" spans="1:3" x14ac:dyDescent="0.2">
      <c r="A360" s="20"/>
      <c r="B360" s="20"/>
      <c r="C360" s="20"/>
    </row>
    <row r="361" spans="1:3" x14ac:dyDescent="0.2">
      <c r="A361" s="20"/>
      <c r="B361" s="20"/>
      <c r="C361" s="20"/>
    </row>
    <row r="362" spans="1:3" x14ac:dyDescent="0.2">
      <c r="A362" s="20"/>
      <c r="B362" s="20"/>
      <c r="C362" s="20"/>
    </row>
    <row r="363" spans="1:3" x14ac:dyDescent="0.2">
      <c r="A363" s="20"/>
      <c r="B363" s="20"/>
      <c r="C363" s="20"/>
    </row>
    <row r="364" spans="1:3" x14ac:dyDescent="0.2">
      <c r="A364" s="20"/>
      <c r="B364" s="20"/>
      <c r="C364" s="20"/>
    </row>
    <row r="365" spans="1:3" x14ac:dyDescent="0.2">
      <c r="A365" s="20"/>
      <c r="B365" s="20"/>
      <c r="C365" s="20"/>
    </row>
    <row r="366" spans="1:3" x14ac:dyDescent="0.2">
      <c r="A366" s="20"/>
      <c r="B366" s="20"/>
      <c r="C366" s="20"/>
    </row>
    <row r="367" spans="1:3" x14ac:dyDescent="0.2">
      <c r="A367" s="20"/>
      <c r="B367" s="20"/>
      <c r="C367" s="20"/>
    </row>
    <row r="368" spans="1:3" x14ac:dyDescent="0.2">
      <c r="A368" s="20"/>
      <c r="B368" s="20"/>
      <c r="C368" s="20"/>
    </row>
    <row r="369" spans="1:3" x14ac:dyDescent="0.2">
      <c r="A369" s="20"/>
      <c r="B369" s="20"/>
      <c r="C369" s="20"/>
    </row>
    <row r="370" spans="1:3" x14ac:dyDescent="0.2">
      <c r="A370" s="20"/>
      <c r="B370" s="20"/>
      <c r="C370" s="20"/>
    </row>
    <row r="371" spans="1:3" x14ac:dyDescent="0.2">
      <c r="A371" s="20"/>
      <c r="B371" s="20"/>
      <c r="C371" s="20"/>
    </row>
    <row r="372" spans="1:3" x14ac:dyDescent="0.2">
      <c r="A372" s="20"/>
      <c r="B372" s="20"/>
      <c r="C372" s="20"/>
    </row>
    <row r="373" spans="1:3" x14ac:dyDescent="0.2">
      <c r="A373" s="20"/>
      <c r="B373" s="20"/>
      <c r="C373" s="20"/>
    </row>
    <row r="374" spans="1:3" x14ac:dyDescent="0.2">
      <c r="A374" s="20"/>
      <c r="B374" s="20"/>
      <c r="C374" s="20"/>
    </row>
    <row r="375" spans="1:3" x14ac:dyDescent="0.2">
      <c r="A375" s="20"/>
      <c r="B375" s="20"/>
      <c r="C375" s="20"/>
    </row>
    <row r="376" spans="1:3" x14ac:dyDescent="0.2">
      <c r="A376" s="20"/>
      <c r="B376" s="20"/>
      <c r="C376" s="20"/>
    </row>
    <row r="377" spans="1:3" x14ac:dyDescent="0.2">
      <c r="A377" s="20"/>
      <c r="B377" s="20"/>
      <c r="C377" s="20"/>
    </row>
    <row r="378" spans="1:3" x14ac:dyDescent="0.2">
      <c r="A378" s="20"/>
      <c r="B378" s="20"/>
      <c r="C378" s="20"/>
    </row>
    <row r="379" spans="1:3" x14ac:dyDescent="0.2">
      <c r="A379" s="20"/>
      <c r="B379" s="20"/>
      <c r="C379" s="20"/>
    </row>
    <row r="380" spans="1:3" x14ac:dyDescent="0.2">
      <c r="A380" s="20"/>
      <c r="B380" s="20"/>
      <c r="C380" s="20"/>
    </row>
    <row r="381" spans="1:3" x14ac:dyDescent="0.2">
      <c r="A381" s="20"/>
      <c r="B381" s="20"/>
      <c r="C381" s="20"/>
    </row>
    <row r="382" spans="1:3" x14ac:dyDescent="0.2">
      <c r="A382" s="20"/>
      <c r="B382" s="20"/>
      <c r="C382" s="20"/>
    </row>
    <row r="383" spans="1:3" x14ac:dyDescent="0.2">
      <c r="A383" s="20"/>
      <c r="B383" s="20"/>
      <c r="C383" s="20"/>
    </row>
    <row r="384" spans="1:3" x14ac:dyDescent="0.2">
      <c r="A384" s="20"/>
      <c r="B384" s="20"/>
      <c r="C384" s="20"/>
    </row>
    <row r="385" spans="1:3" x14ac:dyDescent="0.2">
      <c r="A385" s="20"/>
      <c r="B385" s="20"/>
      <c r="C385" s="20"/>
    </row>
    <row r="386" spans="1:3" x14ac:dyDescent="0.2">
      <c r="A386" s="20"/>
      <c r="B386" s="20"/>
      <c r="C386" s="20"/>
    </row>
    <row r="387" spans="1:3" x14ac:dyDescent="0.2">
      <c r="A387" s="20"/>
      <c r="B387" s="20"/>
      <c r="C387" s="20"/>
    </row>
    <row r="388" spans="1:3" x14ac:dyDescent="0.2">
      <c r="A388" s="20"/>
      <c r="B388" s="20"/>
      <c r="C388" s="20"/>
    </row>
    <row r="389" spans="1:3" x14ac:dyDescent="0.2">
      <c r="A389" s="20"/>
      <c r="B389" s="20"/>
      <c r="C389" s="20"/>
    </row>
    <row r="390" spans="1:3" x14ac:dyDescent="0.2">
      <c r="A390" s="20"/>
      <c r="B390" s="20"/>
      <c r="C390" s="20"/>
    </row>
    <row r="391" spans="1:3" x14ac:dyDescent="0.2">
      <c r="A391" s="20"/>
      <c r="B391" s="20"/>
      <c r="C391" s="20"/>
    </row>
    <row r="392" spans="1:3" x14ac:dyDescent="0.2">
      <c r="A392" s="20"/>
      <c r="B392" s="20"/>
      <c r="C392" s="20"/>
    </row>
    <row r="393" spans="1:3" x14ac:dyDescent="0.2">
      <c r="A393" s="20"/>
      <c r="B393" s="20"/>
      <c r="C393" s="20"/>
    </row>
    <row r="394" spans="1:3" x14ac:dyDescent="0.2">
      <c r="A394" s="20"/>
      <c r="B394" s="20"/>
      <c r="C394" s="20"/>
    </row>
    <row r="395" spans="1:3" x14ac:dyDescent="0.2">
      <c r="A395" s="20"/>
      <c r="B395" s="20"/>
      <c r="C395" s="20"/>
    </row>
    <row r="396" spans="1:3" x14ac:dyDescent="0.2">
      <c r="A396" s="20"/>
      <c r="B396" s="20"/>
      <c r="C396" s="20"/>
    </row>
    <row r="397" spans="1:3" x14ac:dyDescent="0.2">
      <c r="A397" s="20"/>
      <c r="B397" s="20"/>
      <c r="C397" s="20"/>
    </row>
    <row r="398" spans="1:3" x14ac:dyDescent="0.2">
      <c r="A398" s="20"/>
      <c r="B398" s="20"/>
      <c r="C398" s="20"/>
    </row>
    <row r="399" spans="1:3" x14ac:dyDescent="0.2">
      <c r="A399" s="20"/>
      <c r="B399" s="20"/>
      <c r="C399" s="20"/>
    </row>
    <row r="400" spans="1:3" x14ac:dyDescent="0.2">
      <c r="A400" s="20"/>
      <c r="B400" s="20"/>
      <c r="C400" s="20"/>
    </row>
    <row r="401" spans="1:3" x14ac:dyDescent="0.2">
      <c r="A401" s="20"/>
      <c r="B401" s="20"/>
      <c r="C401" s="20"/>
    </row>
    <row r="402" spans="1:3" x14ac:dyDescent="0.2">
      <c r="A402" s="20"/>
      <c r="B402" s="20"/>
      <c r="C402" s="20"/>
    </row>
    <row r="403" spans="1:3" x14ac:dyDescent="0.2">
      <c r="A403" s="20"/>
      <c r="B403" s="20"/>
      <c r="C403" s="20"/>
    </row>
    <row r="404" spans="1:3" x14ac:dyDescent="0.2">
      <c r="A404" s="20"/>
      <c r="B404" s="20"/>
      <c r="C404" s="20"/>
    </row>
    <row r="405" spans="1:3" x14ac:dyDescent="0.2">
      <c r="A405" s="20"/>
      <c r="B405" s="20"/>
      <c r="C405" s="20"/>
    </row>
    <row r="406" spans="1:3" x14ac:dyDescent="0.2">
      <c r="A406" s="20"/>
      <c r="B406" s="20"/>
      <c r="C406" s="20"/>
    </row>
    <row r="407" spans="1:3" x14ac:dyDescent="0.2">
      <c r="A407" s="20"/>
      <c r="B407" s="20"/>
      <c r="C407" s="20"/>
    </row>
    <row r="408" spans="1:3" x14ac:dyDescent="0.2">
      <c r="A408" s="20"/>
      <c r="B408" s="20"/>
      <c r="C408" s="20"/>
    </row>
    <row r="409" spans="1:3" x14ac:dyDescent="0.2">
      <c r="A409" s="20"/>
      <c r="B409" s="20"/>
      <c r="C409" s="20"/>
    </row>
    <row r="410" spans="1:3" x14ac:dyDescent="0.2">
      <c r="A410" s="20"/>
      <c r="B410" s="20"/>
      <c r="C410" s="20"/>
    </row>
    <row r="411" spans="1:3" x14ac:dyDescent="0.2">
      <c r="A411" s="20"/>
      <c r="B411" s="20"/>
      <c r="C411" s="20"/>
    </row>
    <row r="412" spans="1:3" x14ac:dyDescent="0.2">
      <c r="A412" s="20"/>
      <c r="B412" s="20"/>
      <c r="C412" s="20"/>
    </row>
    <row r="413" spans="1:3" x14ac:dyDescent="0.2">
      <c r="A413" s="20"/>
      <c r="B413" s="20"/>
      <c r="C413" s="20"/>
    </row>
    <row r="414" spans="1:3" x14ac:dyDescent="0.2">
      <c r="A414" s="20"/>
      <c r="B414" s="20"/>
      <c r="C414" s="20"/>
    </row>
    <row r="415" spans="1:3" x14ac:dyDescent="0.2">
      <c r="A415" s="20"/>
      <c r="B415" s="20"/>
      <c r="C415" s="20"/>
    </row>
    <row r="416" spans="1:3" x14ac:dyDescent="0.2">
      <c r="A416" s="20"/>
      <c r="B416" s="20"/>
      <c r="C416" s="20"/>
    </row>
    <row r="417" spans="1:3" x14ac:dyDescent="0.2">
      <c r="A417" s="20"/>
      <c r="B417" s="20"/>
      <c r="C417" s="20"/>
    </row>
    <row r="418" spans="1:3" x14ac:dyDescent="0.2">
      <c r="A418" s="20"/>
      <c r="B418" s="20"/>
      <c r="C418" s="20"/>
    </row>
    <row r="419" spans="1:3" x14ac:dyDescent="0.2">
      <c r="A419" s="20"/>
      <c r="B419" s="20"/>
      <c r="C419" s="20"/>
    </row>
    <row r="420" spans="1:3" x14ac:dyDescent="0.2">
      <c r="A420" s="20"/>
      <c r="B420" s="20"/>
      <c r="C420" s="20"/>
    </row>
    <row r="421" spans="1:3" x14ac:dyDescent="0.2">
      <c r="A421" s="20"/>
      <c r="B421" s="20"/>
      <c r="C421" s="20"/>
    </row>
    <row r="422" spans="1:3" x14ac:dyDescent="0.2">
      <c r="A422" s="20"/>
      <c r="B422" s="20"/>
      <c r="C422" s="20"/>
    </row>
    <row r="423" spans="1:3" x14ac:dyDescent="0.2">
      <c r="A423" s="20"/>
      <c r="B423" s="20"/>
      <c r="C423" s="20"/>
    </row>
    <row r="424" spans="1:3" x14ac:dyDescent="0.2">
      <c r="A424" s="20"/>
      <c r="B424" s="20"/>
      <c r="C424" s="20"/>
    </row>
    <row r="425" spans="1:3" x14ac:dyDescent="0.2">
      <c r="A425" s="20"/>
      <c r="B425" s="20"/>
      <c r="C425" s="20"/>
    </row>
    <row r="426" spans="1:3" x14ac:dyDescent="0.2">
      <c r="A426" s="20"/>
      <c r="B426" s="20"/>
      <c r="C426" s="20"/>
    </row>
    <row r="427" spans="1:3" x14ac:dyDescent="0.2">
      <c r="A427" s="20"/>
      <c r="B427" s="20"/>
      <c r="C427" s="20"/>
    </row>
    <row r="428" spans="1:3" x14ac:dyDescent="0.2">
      <c r="A428" s="20"/>
      <c r="B428" s="20"/>
      <c r="C428" s="20"/>
    </row>
    <row r="429" spans="1:3" x14ac:dyDescent="0.2">
      <c r="A429" s="20"/>
      <c r="B429" s="20"/>
      <c r="C429" s="20"/>
    </row>
    <row r="430" spans="1:3" x14ac:dyDescent="0.2">
      <c r="A430" s="20"/>
      <c r="B430" s="20"/>
      <c r="C430" s="20"/>
    </row>
    <row r="431" spans="1:3" x14ac:dyDescent="0.2">
      <c r="A431" s="20"/>
      <c r="B431" s="20"/>
      <c r="C431" s="20"/>
    </row>
    <row r="432" spans="1:3" x14ac:dyDescent="0.2">
      <c r="A432" s="20"/>
      <c r="B432" s="20"/>
      <c r="C432" s="20"/>
    </row>
    <row r="433" spans="1:3" x14ac:dyDescent="0.2">
      <c r="A433" s="20"/>
      <c r="B433" s="20"/>
      <c r="C433" s="20"/>
    </row>
    <row r="434" spans="1:3" x14ac:dyDescent="0.2">
      <c r="A434" s="20"/>
      <c r="B434" s="20"/>
      <c r="C434" s="20"/>
    </row>
    <row r="435" spans="1:3" x14ac:dyDescent="0.2">
      <c r="A435" s="20"/>
      <c r="B435" s="20"/>
      <c r="C435" s="20"/>
    </row>
    <row r="436" spans="1:3" x14ac:dyDescent="0.2">
      <c r="A436" s="20"/>
      <c r="B436" s="20"/>
      <c r="C436" s="20"/>
    </row>
    <row r="437" spans="1:3" x14ac:dyDescent="0.2">
      <c r="A437" s="20"/>
      <c r="B437" s="20"/>
      <c r="C437" s="20"/>
    </row>
    <row r="438" spans="1:3" x14ac:dyDescent="0.2">
      <c r="A438" s="20"/>
      <c r="B438" s="20"/>
      <c r="C438" s="20"/>
    </row>
    <row r="439" spans="1:3" x14ac:dyDescent="0.2">
      <c r="A439" s="20"/>
      <c r="B439" s="20"/>
      <c r="C439" s="20"/>
    </row>
    <row r="440" spans="1:3" x14ac:dyDescent="0.2">
      <c r="A440" s="20"/>
      <c r="B440" s="20"/>
      <c r="C440" s="20"/>
    </row>
    <row r="441" spans="1:3" x14ac:dyDescent="0.2">
      <c r="A441" s="20"/>
      <c r="B441" s="20"/>
      <c r="C441" s="20"/>
    </row>
    <row r="442" spans="1:3" x14ac:dyDescent="0.2">
      <c r="A442" s="20"/>
      <c r="B442" s="20"/>
      <c r="C442" s="20"/>
    </row>
    <row r="443" spans="1:3" x14ac:dyDescent="0.2">
      <c r="A443" s="20"/>
      <c r="B443" s="20"/>
      <c r="C443" s="20"/>
    </row>
    <row r="444" spans="1:3" x14ac:dyDescent="0.2">
      <c r="A444" s="20"/>
      <c r="B444" s="20"/>
      <c r="C444" s="20"/>
    </row>
    <row r="445" spans="1:3" x14ac:dyDescent="0.2">
      <c r="A445" s="20"/>
      <c r="B445" s="20"/>
      <c r="C445" s="20"/>
    </row>
    <row r="446" spans="1:3" x14ac:dyDescent="0.2">
      <c r="A446" s="20"/>
      <c r="B446" s="20"/>
      <c r="C446" s="20"/>
    </row>
    <row r="447" spans="1:3" x14ac:dyDescent="0.2">
      <c r="A447" s="20"/>
      <c r="B447" s="20"/>
      <c r="C447" s="20"/>
    </row>
    <row r="448" spans="1:3" x14ac:dyDescent="0.2">
      <c r="A448" s="20"/>
      <c r="B448" s="20"/>
      <c r="C448" s="20"/>
    </row>
    <row r="449" spans="1:3" x14ac:dyDescent="0.2">
      <c r="A449" s="20"/>
      <c r="B449" s="20"/>
      <c r="C449" s="20"/>
    </row>
    <row r="450" spans="1:3" x14ac:dyDescent="0.2">
      <c r="A450" s="20"/>
      <c r="B450" s="20"/>
      <c r="C450" s="20"/>
    </row>
    <row r="451" spans="1:3" x14ac:dyDescent="0.2">
      <c r="A451" s="20"/>
      <c r="B451" s="20"/>
      <c r="C451" s="20"/>
    </row>
    <row r="452" spans="1:3" x14ac:dyDescent="0.2">
      <c r="A452" s="20"/>
      <c r="B452" s="20"/>
      <c r="C452" s="20"/>
    </row>
    <row r="453" spans="1:3" x14ac:dyDescent="0.2">
      <c r="A453" s="20"/>
      <c r="B453" s="20"/>
      <c r="C453" s="20"/>
    </row>
    <row r="454" spans="1:3" x14ac:dyDescent="0.2">
      <c r="A454" s="20"/>
      <c r="B454" s="20"/>
      <c r="C454" s="20"/>
    </row>
    <row r="455" spans="1:3" x14ac:dyDescent="0.2">
      <c r="A455" s="20"/>
      <c r="B455" s="20"/>
      <c r="C455" s="20"/>
    </row>
    <row r="456" spans="1:3" x14ac:dyDescent="0.2">
      <c r="A456" s="20"/>
      <c r="B456" s="20"/>
      <c r="C456" s="20"/>
    </row>
    <row r="457" spans="1:3" x14ac:dyDescent="0.2">
      <c r="A457" s="20"/>
      <c r="B457" s="20"/>
      <c r="C457" s="20"/>
    </row>
    <row r="458" spans="1:3" x14ac:dyDescent="0.2">
      <c r="A458" s="20"/>
      <c r="B458" s="20"/>
      <c r="C458" s="20"/>
    </row>
    <row r="459" spans="1:3" x14ac:dyDescent="0.2">
      <c r="A459" s="20"/>
      <c r="B459" s="20"/>
      <c r="C459" s="20"/>
    </row>
    <row r="460" spans="1:3" x14ac:dyDescent="0.2">
      <c r="A460" s="20"/>
      <c r="B460" s="20"/>
      <c r="C460" s="20"/>
    </row>
    <row r="461" spans="1:3" x14ac:dyDescent="0.2">
      <c r="A461" s="20"/>
      <c r="B461" s="20"/>
      <c r="C461" s="20"/>
    </row>
    <row r="462" spans="1:3" x14ac:dyDescent="0.2">
      <c r="A462" s="20"/>
      <c r="B462" s="20"/>
      <c r="C462" s="20"/>
    </row>
    <row r="463" spans="1:3" x14ac:dyDescent="0.2">
      <c r="A463" s="20"/>
      <c r="B463" s="20"/>
      <c r="C463" s="20"/>
    </row>
    <row r="464" spans="1:3" x14ac:dyDescent="0.2">
      <c r="A464" s="20"/>
      <c r="B464" s="20"/>
      <c r="C464" s="20"/>
    </row>
    <row r="465" spans="1:3" x14ac:dyDescent="0.2">
      <c r="A465" s="20"/>
      <c r="B465" s="20"/>
      <c r="C465" s="20"/>
    </row>
    <row r="466" spans="1:3" x14ac:dyDescent="0.2">
      <c r="A466" s="20"/>
      <c r="B466" s="20"/>
      <c r="C466" s="20"/>
    </row>
    <row r="467" spans="1:3" x14ac:dyDescent="0.2">
      <c r="A467" s="20"/>
      <c r="B467" s="20"/>
      <c r="C467" s="20"/>
    </row>
    <row r="468" spans="1:3" x14ac:dyDescent="0.2">
      <c r="A468" s="20"/>
      <c r="B468" s="20"/>
      <c r="C468" s="20"/>
    </row>
    <row r="469" spans="1:3" x14ac:dyDescent="0.2">
      <c r="A469" s="20"/>
      <c r="B469" s="20"/>
      <c r="C469" s="20"/>
    </row>
    <row r="470" spans="1:3" x14ac:dyDescent="0.2">
      <c r="A470" s="20"/>
      <c r="B470" s="20"/>
      <c r="C470" s="20"/>
    </row>
    <row r="471" spans="1:3" x14ac:dyDescent="0.2">
      <c r="A471" s="20"/>
      <c r="B471" s="20"/>
      <c r="C471" s="20"/>
    </row>
    <row r="472" spans="1:3" x14ac:dyDescent="0.2">
      <c r="A472" s="20"/>
      <c r="B472" s="20"/>
      <c r="C472" s="20"/>
    </row>
    <row r="473" spans="1:3" x14ac:dyDescent="0.2">
      <c r="A473" s="20"/>
      <c r="B473" s="20"/>
      <c r="C473" s="20"/>
    </row>
    <row r="474" spans="1:3" x14ac:dyDescent="0.2">
      <c r="A474" s="20"/>
      <c r="B474" s="20"/>
      <c r="C474" s="20"/>
    </row>
    <row r="475" spans="1:3" x14ac:dyDescent="0.2">
      <c r="A475" s="20"/>
      <c r="B475" s="20"/>
      <c r="C475" s="20"/>
    </row>
    <row r="476" spans="1:3" x14ac:dyDescent="0.2">
      <c r="A476" s="20"/>
      <c r="B476" s="20"/>
      <c r="C476" s="20"/>
    </row>
    <row r="477" spans="1:3" x14ac:dyDescent="0.2">
      <c r="A477" s="20"/>
      <c r="B477" s="20"/>
      <c r="C477" s="20"/>
    </row>
    <row r="478" spans="1:3" x14ac:dyDescent="0.2">
      <c r="A478" s="20"/>
      <c r="B478" s="20"/>
      <c r="C478" s="20"/>
    </row>
    <row r="479" spans="1:3" x14ac:dyDescent="0.2">
      <c r="A479" s="20"/>
      <c r="B479" s="20"/>
      <c r="C479" s="20"/>
    </row>
    <row r="480" spans="1:3" x14ac:dyDescent="0.2">
      <c r="A480" s="20"/>
      <c r="B480" s="20"/>
      <c r="C480" s="20"/>
    </row>
    <row r="481" spans="1:3" x14ac:dyDescent="0.2">
      <c r="A481" s="20"/>
      <c r="B481" s="20"/>
      <c r="C481" s="20"/>
    </row>
    <row r="482" spans="1:3" x14ac:dyDescent="0.2">
      <c r="A482" s="20"/>
      <c r="B482" s="20"/>
      <c r="C482" s="20"/>
    </row>
    <row r="483" spans="1:3" x14ac:dyDescent="0.2">
      <c r="A483" s="20"/>
      <c r="B483" s="20"/>
      <c r="C483" s="20"/>
    </row>
    <row r="484" spans="1:3" x14ac:dyDescent="0.2">
      <c r="A484" s="20"/>
      <c r="B484" s="20"/>
      <c r="C484" s="20"/>
    </row>
    <row r="485" spans="1:3" x14ac:dyDescent="0.2">
      <c r="A485" s="20"/>
      <c r="B485" s="20"/>
      <c r="C485" s="20"/>
    </row>
    <row r="486" spans="1:3" x14ac:dyDescent="0.2">
      <c r="A486" s="20"/>
      <c r="B486" s="20"/>
      <c r="C486" s="20"/>
    </row>
    <row r="487" spans="1:3" x14ac:dyDescent="0.2">
      <c r="A487" s="20"/>
      <c r="B487" s="20"/>
      <c r="C487" s="20"/>
    </row>
    <row r="488" spans="1:3" x14ac:dyDescent="0.2">
      <c r="A488" s="20"/>
      <c r="B488" s="20"/>
      <c r="C488" s="20"/>
    </row>
    <row r="489" spans="1:3" x14ac:dyDescent="0.2">
      <c r="A489" s="20"/>
      <c r="B489" s="20"/>
      <c r="C489" s="20"/>
    </row>
    <row r="490" spans="1:3" x14ac:dyDescent="0.2">
      <c r="A490" s="20"/>
      <c r="B490" s="20"/>
      <c r="C490" s="20"/>
    </row>
    <row r="491" spans="1:3" x14ac:dyDescent="0.2">
      <c r="A491" s="20"/>
      <c r="B491" s="20"/>
      <c r="C491" s="20"/>
    </row>
    <row r="492" spans="1:3" x14ac:dyDescent="0.2">
      <c r="A492" s="20"/>
      <c r="B492" s="20"/>
      <c r="C492" s="20"/>
    </row>
    <row r="493" spans="1:3" x14ac:dyDescent="0.2">
      <c r="A493" s="20"/>
      <c r="B493" s="20"/>
      <c r="C493" s="20"/>
    </row>
    <row r="494" spans="1:3" x14ac:dyDescent="0.2">
      <c r="A494" s="20"/>
      <c r="B494" s="20"/>
      <c r="C494" s="20"/>
    </row>
    <row r="495" spans="1:3" x14ac:dyDescent="0.2">
      <c r="A495" s="20"/>
      <c r="B495" s="20"/>
      <c r="C495" s="20"/>
    </row>
    <row r="496" spans="1:3" x14ac:dyDescent="0.2">
      <c r="A496" s="20"/>
      <c r="B496" s="20"/>
      <c r="C496" s="20"/>
    </row>
    <row r="497" spans="1:3" x14ac:dyDescent="0.2">
      <c r="A497" s="20"/>
      <c r="B497" s="20"/>
      <c r="C497" s="20"/>
    </row>
    <row r="498" spans="1:3" x14ac:dyDescent="0.2">
      <c r="A498" s="20"/>
      <c r="B498" s="20"/>
      <c r="C498" s="20"/>
    </row>
    <row r="499" spans="1:3" x14ac:dyDescent="0.2">
      <c r="A499" s="20"/>
      <c r="B499" s="20"/>
      <c r="C499" s="20"/>
    </row>
    <row r="500" spans="1:3" x14ac:dyDescent="0.2">
      <c r="A500" s="20"/>
      <c r="B500" s="20"/>
      <c r="C500" s="20"/>
    </row>
    <row r="501" spans="1:3" x14ac:dyDescent="0.2">
      <c r="A501" s="20"/>
      <c r="B501" s="20"/>
      <c r="C501" s="20"/>
    </row>
    <row r="502" spans="1:3" x14ac:dyDescent="0.2">
      <c r="A502" s="20"/>
      <c r="B502" s="20"/>
      <c r="C502" s="20"/>
    </row>
    <row r="503" spans="1:3" x14ac:dyDescent="0.2">
      <c r="A503" s="20"/>
      <c r="B503" s="20"/>
      <c r="C503" s="20"/>
    </row>
    <row r="504" spans="1:3" x14ac:dyDescent="0.2">
      <c r="A504" s="20"/>
      <c r="B504" s="20"/>
      <c r="C504" s="20"/>
    </row>
    <row r="505" spans="1:3" x14ac:dyDescent="0.2">
      <c r="A505" s="20"/>
      <c r="B505" s="20"/>
      <c r="C505" s="20"/>
    </row>
    <row r="506" spans="1:3" x14ac:dyDescent="0.2">
      <c r="A506" s="20"/>
      <c r="B506" s="20"/>
      <c r="C506" s="20"/>
    </row>
    <row r="507" spans="1:3" x14ac:dyDescent="0.2">
      <c r="A507" s="20"/>
      <c r="B507" s="20"/>
      <c r="C507" s="20"/>
    </row>
    <row r="508" spans="1:3" x14ac:dyDescent="0.2">
      <c r="A508" s="20"/>
      <c r="B508" s="20"/>
      <c r="C508" s="20"/>
    </row>
    <row r="509" spans="1:3" x14ac:dyDescent="0.2">
      <c r="A509" s="20"/>
      <c r="B509" s="20"/>
      <c r="C509" s="20"/>
    </row>
    <row r="510" spans="1:3" x14ac:dyDescent="0.2">
      <c r="A510" s="20"/>
      <c r="B510" s="20"/>
      <c r="C510" s="20"/>
    </row>
    <row r="511" spans="1:3" x14ac:dyDescent="0.2">
      <c r="A511" s="20"/>
      <c r="B511" s="20"/>
      <c r="C511" s="20"/>
    </row>
    <row r="512" spans="1:3" x14ac:dyDescent="0.2">
      <c r="A512" s="20"/>
      <c r="B512" s="20"/>
      <c r="C512" s="20"/>
    </row>
    <row r="513" spans="1:3" x14ac:dyDescent="0.2">
      <c r="A513" s="20"/>
      <c r="B513" s="20"/>
      <c r="C513" s="20"/>
    </row>
    <row r="514" spans="1:3" x14ac:dyDescent="0.2">
      <c r="A514" s="20"/>
      <c r="B514" s="20"/>
      <c r="C514" s="20"/>
    </row>
    <row r="515" spans="1:3" x14ac:dyDescent="0.2">
      <c r="A515" s="20"/>
      <c r="B515" s="20"/>
      <c r="C515" s="20"/>
    </row>
    <row r="516" spans="1:3" x14ac:dyDescent="0.2">
      <c r="A516" s="20"/>
      <c r="B516" s="20"/>
      <c r="C516" s="20"/>
    </row>
    <row r="517" spans="1:3" x14ac:dyDescent="0.2">
      <c r="A517" s="20"/>
      <c r="B517" s="20"/>
      <c r="C517" s="20"/>
    </row>
    <row r="518" spans="1:3" x14ac:dyDescent="0.2">
      <c r="A518" s="20"/>
      <c r="B518" s="20"/>
      <c r="C518" s="20"/>
    </row>
    <row r="519" spans="1:3" x14ac:dyDescent="0.2">
      <c r="A519" s="20"/>
      <c r="B519" s="20"/>
      <c r="C519" s="20"/>
    </row>
    <row r="520" spans="1:3" x14ac:dyDescent="0.2">
      <c r="A520" s="20"/>
      <c r="B520" s="20"/>
      <c r="C520" s="20"/>
    </row>
    <row r="521" spans="1:3" x14ac:dyDescent="0.2">
      <c r="A521" s="20"/>
      <c r="B521" s="20"/>
      <c r="C521" s="20"/>
    </row>
    <row r="522" spans="1:3" x14ac:dyDescent="0.2">
      <c r="A522" s="20"/>
      <c r="B522" s="20"/>
      <c r="C522" s="20"/>
    </row>
    <row r="523" spans="1:3" x14ac:dyDescent="0.2">
      <c r="A523" s="20"/>
      <c r="B523" s="20"/>
      <c r="C523" s="20"/>
    </row>
    <row r="524" spans="1:3" x14ac:dyDescent="0.2">
      <c r="A524" s="20"/>
      <c r="B524" s="20"/>
      <c r="C524" s="20"/>
    </row>
    <row r="525" spans="1:3" x14ac:dyDescent="0.2">
      <c r="A525" s="20"/>
      <c r="B525" s="20"/>
      <c r="C525" s="20"/>
    </row>
    <row r="526" spans="1:3" x14ac:dyDescent="0.2">
      <c r="A526" s="20"/>
      <c r="B526" s="20"/>
      <c r="C526" s="20"/>
    </row>
    <row r="527" spans="1:3" x14ac:dyDescent="0.2">
      <c r="A527" s="20"/>
      <c r="B527" s="20"/>
      <c r="C527" s="20"/>
    </row>
    <row r="528" spans="1:3" x14ac:dyDescent="0.2">
      <c r="A528" s="20"/>
      <c r="B528" s="20"/>
      <c r="C528" s="20"/>
    </row>
    <row r="529" spans="1:3" x14ac:dyDescent="0.2">
      <c r="A529" s="20"/>
      <c r="B529" s="20"/>
      <c r="C529" s="20"/>
    </row>
    <row r="530" spans="1:3" x14ac:dyDescent="0.2">
      <c r="A530" s="20"/>
      <c r="B530" s="20"/>
      <c r="C530" s="20"/>
    </row>
    <row r="531" spans="1:3" x14ac:dyDescent="0.2">
      <c r="A531" s="20"/>
      <c r="B531" s="20"/>
      <c r="C531" s="20"/>
    </row>
    <row r="532" spans="1:3" x14ac:dyDescent="0.2">
      <c r="A532" s="20"/>
      <c r="B532" s="20"/>
      <c r="C532" s="20"/>
    </row>
    <row r="533" spans="1:3" x14ac:dyDescent="0.2">
      <c r="A533" s="20"/>
      <c r="B533" s="20"/>
      <c r="C533" s="20"/>
    </row>
    <row r="534" spans="1:3" x14ac:dyDescent="0.2">
      <c r="A534" s="20"/>
      <c r="B534" s="20"/>
      <c r="C534" s="20"/>
    </row>
    <row r="535" spans="1:3" x14ac:dyDescent="0.2">
      <c r="A535" s="20"/>
      <c r="B535" s="20"/>
      <c r="C535" s="20"/>
    </row>
    <row r="536" spans="1:3" x14ac:dyDescent="0.2">
      <c r="A536" s="20"/>
      <c r="B536" s="20"/>
      <c r="C536" s="20"/>
    </row>
    <row r="537" spans="1:3" x14ac:dyDescent="0.2">
      <c r="A537" s="20"/>
      <c r="B537" s="20"/>
      <c r="C537" s="20"/>
    </row>
    <row r="538" spans="1:3" x14ac:dyDescent="0.2">
      <c r="A538" s="20"/>
      <c r="B538" s="20"/>
      <c r="C538" s="20"/>
    </row>
    <row r="539" spans="1:3" x14ac:dyDescent="0.2">
      <c r="A539" s="20"/>
      <c r="B539" s="20"/>
      <c r="C539" s="20"/>
    </row>
    <row r="540" spans="1:3" x14ac:dyDescent="0.2">
      <c r="A540" s="20"/>
      <c r="B540" s="20"/>
      <c r="C540" s="20"/>
    </row>
    <row r="541" spans="1:3" x14ac:dyDescent="0.2">
      <c r="A541" s="20"/>
      <c r="B541" s="20"/>
      <c r="C541" s="20"/>
    </row>
    <row r="542" spans="1:3" x14ac:dyDescent="0.2">
      <c r="A542" s="20"/>
      <c r="B542" s="20"/>
      <c r="C542" s="20"/>
    </row>
    <row r="543" spans="1:3" x14ac:dyDescent="0.2">
      <c r="A543" s="20"/>
      <c r="B543" s="20"/>
      <c r="C543" s="20"/>
    </row>
    <row r="544" spans="1:3" x14ac:dyDescent="0.2">
      <c r="A544" s="20"/>
      <c r="B544" s="20"/>
      <c r="C544" s="20"/>
    </row>
    <row r="545" spans="1:3" x14ac:dyDescent="0.2">
      <c r="A545" s="20"/>
      <c r="B545" s="20"/>
      <c r="C545" s="20"/>
    </row>
    <row r="546" spans="1:3" x14ac:dyDescent="0.2">
      <c r="A546" s="20"/>
      <c r="B546" s="20"/>
      <c r="C546" s="20"/>
    </row>
    <row r="547" spans="1:3" x14ac:dyDescent="0.2">
      <c r="A547" s="20"/>
      <c r="B547" s="20"/>
      <c r="C547" s="20"/>
    </row>
    <row r="548" spans="1:3" x14ac:dyDescent="0.2">
      <c r="A548" s="20"/>
      <c r="B548" s="20"/>
      <c r="C548" s="20"/>
    </row>
    <row r="549" spans="1:3" x14ac:dyDescent="0.2">
      <c r="A549" s="20"/>
      <c r="B549" s="20"/>
      <c r="C549" s="20"/>
    </row>
    <row r="550" spans="1:3" x14ac:dyDescent="0.2">
      <c r="A550" s="20"/>
      <c r="B550" s="20"/>
      <c r="C550" s="20"/>
    </row>
    <row r="551" spans="1:3" x14ac:dyDescent="0.2">
      <c r="A551" s="20"/>
      <c r="B551" s="20"/>
      <c r="C551" s="20"/>
    </row>
    <row r="552" spans="1:3" x14ac:dyDescent="0.2">
      <c r="A552" s="20"/>
      <c r="B552" s="20"/>
      <c r="C552" s="20"/>
    </row>
    <row r="553" spans="1:3" x14ac:dyDescent="0.2">
      <c r="A553" s="20"/>
      <c r="B553" s="20"/>
      <c r="C553" s="20"/>
    </row>
    <row r="554" spans="1:3" x14ac:dyDescent="0.2">
      <c r="A554" s="20"/>
      <c r="B554" s="20"/>
      <c r="C554" s="20"/>
    </row>
    <row r="555" spans="1:3" x14ac:dyDescent="0.2">
      <c r="A555" s="20"/>
      <c r="B555" s="20"/>
      <c r="C555" s="20"/>
    </row>
    <row r="556" spans="1:3" x14ac:dyDescent="0.2">
      <c r="A556" s="20"/>
      <c r="B556" s="20"/>
      <c r="C556" s="20"/>
    </row>
    <row r="557" spans="1:3" x14ac:dyDescent="0.2">
      <c r="A557" s="20"/>
      <c r="B557" s="20"/>
      <c r="C557" s="20"/>
    </row>
    <row r="558" spans="1:3" x14ac:dyDescent="0.2">
      <c r="A558" s="20"/>
      <c r="B558" s="20"/>
      <c r="C558" s="20"/>
    </row>
    <row r="559" spans="1:3" x14ac:dyDescent="0.2">
      <c r="A559" s="20"/>
      <c r="B559" s="20"/>
      <c r="C559" s="20"/>
    </row>
    <row r="560" spans="1:3" x14ac:dyDescent="0.2">
      <c r="A560" s="20"/>
      <c r="B560" s="20"/>
      <c r="C560" s="20"/>
    </row>
    <row r="561" spans="1:3" x14ac:dyDescent="0.2">
      <c r="A561" s="20"/>
      <c r="B561" s="20"/>
      <c r="C561" s="20"/>
    </row>
    <row r="562" spans="1:3" x14ac:dyDescent="0.2">
      <c r="A562" s="20"/>
      <c r="B562" s="20"/>
      <c r="C562" s="20"/>
    </row>
    <row r="563" spans="1:3" x14ac:dyDescent="0.2">
      <c r="A563" s="20"/>
      <c r="B563" s="20"/>
      <c r="C563" s="20"/>
    </row>
    <row r="564" spans="1:3" x14ac:dyDescent="0.2">
      <c r="A564" s="20"/>
      <c r="B564" s="20"/>
      <c r="C564" s="20"/>
    </row>
    <row r="565" spans="1:3" x14ac:dyDescent="0.2">
      <c r="A565" s="20"/>
      <c r="B565" s="20"/>
      <c r="C565" s="20"/>
    </row>
    <row r="566" spans="1:3" x14ac:dyDescent="0.2">
      <c r="A566" s="20"/>
      <c r="B566" s="20"/>
      <c r="C566" s="20"/>
    </row>
    <row r="567" spans="1:3" x14ac:dyDescent="0.2">
      <c r="A567" s="20"/>
      <c r="B567" s="20"/>
      <c r="C567" s="20"/>
    </row>
    <row r="568" spans="1:3" x14ac:dyDescent="0.2">
      <c r="A568" s="20"/>
      <c r="B568" s="20"/>
      <c r="C568" s="20"/>
    </row>
    <row r="569" spans="1:3" x14ac:dyDescent="0.2">
      <c r="A569" s="20"/>
      <c r="B569" s="20"/>
      <c r="C569" s="20"/>
    </row>
    <row r="570" spans="1:3" x14ac:dyDescent="0.2">
      <c r="A570" s="20"/>
      <c r="B570" s="20"/>
      <c r="C570" s="20"/>
    </row>
    <row r="571" spans="1:3" x14ac:dyDescent="0.2">
      <c r="A571" s="20"/>
      <c r="B571" s="20"/>
      <c r="C571" s="20"/>
    </row>
    <row r="572" spans="1:3" x14ac:dyDescent="0.2">
      <c r="A572" s="20"/>
      <c r="B572" s="20"/>
      <c r="C572" s="20"/>
    </row>
    <row r="573" spans="1:3" x14ac:dyDescent="0.2">
      <c r="A573" s="20"/>
      <c r="B573" s="20"/>
      <c r="C573" s="20"/>
    </row>
    <row r="574" spans="1:3" x14ac:dyDescent="0.2">
      <c r="A574" s="20"/>
      <c r="B574" s="20"/>
      <c r="C574" s="20"/>
    </row>
    <row r="575" spans="1:3" x14ac:dyDescent="0.2">
      <c r="A575" s="20"/>
      <c r="B575" s="20"/>
      <c r="C575" s="20"/>
    </row>
    <row r="576" spans="1:3" x14ac:dyDescent="0.2">
      <c r="A576" s="20"/>
      <c r="B576" s="20"/>
      <c r="C576" s="20"/>
    </row>
    <row r="577" spans="1:3" x14ac:dyDescent="0.2">
      <c r="A577" s="20"/>
      <c r="B577" s="20"/>
      <c r="C577" s="20"/>
    </row>
    <row r="578" spans="1:3" x14ac:dyDescent="0.2">
      <c r="A578" s="20"/>
      <c r="B578" s="20"/>
      <c r="C578" s="20"/>
    </row>
    <row r="579" spans="1:3" x14ac:dyDescent="0.2">
      <c r="A579" s="20"/>
      <c r="B579" s="20"/>
      <c r="C579" s="20"/>
    </row>
    <row r="580" spans="1:3" x14ac:dyDescent="0.2">
      <c r="A580" s="20"/>
      <c r="B580" s="20"/>
      <c r="C580" s="20"/>
    </row>
    <row r="581" spans="1:3" x14ac:dyDescent="0.2">
      <c r="A581" s="20"/>
      <c r="B581" s="20"/>
      <c r="C581" s="20"/>
    </row>
    <row r="582" spans="1:3" x14ac:dyDescent="0.2">
      <c r="A582" s="20"/>
      <c r="B582" s="20"/>
      <c r="C582" s="20"/>
    </row>
    <row r="583" spans="1:3" x14ac:dyDescent="0.2">
      <c r="A583" s="20"/>
      <c r="B583" s="20"/>
      <c r="C583" s="20"/>
    </row>
    <row r="584" spans="1:3" x14ac:dyDescent="0.2">
      <c r="A584" s="20"/>
      <c r="B584" s="20"/>
      <c r="C584" s="20"/>
    </row>
    <row r="585" spans="1:3" x14ac:dyDescent="0.2">
      <c r="A585" s="20"/>
      <c r="B585" s="20"/>
      <c r="C585" s="20"/>
    </row>
    <row r="586" spans="1:3" x14ac:dyDescent="0.2">
      <c r="A586" s="20"/>
      <c r="B586" s="20"/>
      <c r="C586" s="20"/>
    </row>
    <row r="587" spans="1:3" x14ac:dyDescent="0.2">
      <c r="A587" s="20"/>
      <c r="B587" s="20"/>
      <c r="C587" s="20"/>
    </row>
    <row r="588" spans="1:3" x14ac:dyDescent="0.2">
      <c r="A588" s="20"/>
      <c r="B588" s="20"/>
      <c r="C588" s="20"/>
    </row>
    <row r="589" spans="1:3" x14ac:dyDescent="0.2">
      <c r="A589" s="20"/>
      <c r="B589" s="20"/>
      <c r="C589" s="20"/>
    </row>
    <row r="590" spans="1:3" x14ac:dyDescent="0.2">
      <c r="A590" s="20"/>
      <c r="B590" s="20"/>
      <c r="C590" s="20"/>
    </row>
    <row r="591" spans="1:3" x14ac:dyDescent="0.2">
      <c r="A591" s="20"/>
      <c r="B591" s="20"/>
      <c r="C591" s="20"/>
    </row>
    <row r="592" spans="1:3" x14ac:dyDescent="0.2">
      <c r="A592" s="20"/>
      <c r="B592" s="20"/>
      <c r="C592" s="20"/>
    </row>
    <row r="593" spans="1:3" x14ac:dyDescent="0.2">
      <c r="A593" s="20"/>
      <c r="B593" s="20"/>
      <c r="C593" s="20"/>
    </row>
    <row r="594" spans="1:3" x14ac:dyDescent="0.2">
      <c r="A594" s="20"/>
      <c r="B594" s="20"/>
      <c r="C594" s="20"/>
    </row>
    <row r="595" spans="1:3" x14ac:dyDescent="0.2">
      <c r="A595" s="20"/>
      <c r="B595" s="20"/>
      <c r="C595" s="20"/>
    </row>
    <row r="596" spans="1:3" x14ac:dyDescent="0.2">
      <c r="A596" s="20"/>
      <c r="B596" s="20"/>
      <c r="C596" s="20"/>
    </row>
    <row r="597" spans="1:3" x14ac:dyDescent="0.2">
      <c r="A597" s="20"/>
      <c r="B597" s="20"/>
      <c r="C597" s="20"/>
    </row>
    <row r="598" spans="1:3" x14ac:dyDescent="0.2">
      <c r="A598" s="20"/>
      <c r="B598" s="20"/>
      <c r="C598" s="20"/>
    </row>
    <row r="599" spans="1:3" x14ac:dyDescent="0.2">
      <c r="A599" s="20"/>
      <c r="B599" s="20"/>
      <c r="C599" s="20"/>
    </row>
    <row r="600" spans="1:3" x14ac:dyDescent="0.2">
      <c r="A600" s="20"/>
      <c r="B600" s="20"/>
      <c r="C600" s="20"/>
    </row>
    <row r="601" spans="1:3" x14ac:dyDescent="0.2">
      <c r="A601" s="20"/>
      <c r="B601" s="20"/>
      <c r="C601" s="20"/>
    </row>
    <row r="602" spans="1:3" x14ac:dyDescent="0.2">
      <c r="A602" s="20"/>
      <c r="B602" s="20"/>
      <c r="C602" s="20"/>
    </row>
    <row r="603" spans="1:3" x14ac:dyDescent="0.2">
      <c r="A603" s="20"/>
      <c r="B603" s="20"/>
      <c r="C603" s="20"/>
    </row>
    <row r="604" spans="1:3" x14ac:dyDescent="0.2">
      <c r="A604" s="20"/>
      <c r="B604" s="20"/>
      <c r="C604" s="20"/>
    </row>
    <row r="605" spans="1:3" x14ac:dyDescent="0.2">
      <c r="A605" s="20"/>
      <c r="B605" s="20"/>
      <c r="C605" s="20"/>
    </row>
    <row r="606" spans="1:3" x14ac:dyDescent="0.2">
      <c r="A606" s="20"/>
      <c r="B606" s="20"/>
      <c r="C606" s="20"/>
    </row>
    <row r="607" spans="1:3" x14ac:dyDescent="0.2">
      <c r="A607" s="20"/>
      <c r="B607" s="20"/>
      <c r="C607" s="20"/>
    </row>
    <row r="608" spans="1:3" x14ac:dyDescent="0.2">
      <c r="A608" s="20"/>
      <c r="B608" s="20"/>
      <c r="C608" s="20"/>
    </row>
    <row r="609" spans="1:3" x14ac:dyDescent="0.2">
      <c r="A609" s="20"/>
      <c r="B609" s="20"/>
      <c r="C609" s="20"/>
    </row>
    <row r="610" spans="1:3" x14ac:dyDescent="0.2">
      <c r="A610" s="20"/>
      <c r="B610" s="20"/>
      <c r="C610" s="20"/>
    </row>
    <row r="611" spans="1:3" x14ac:dyDescent="0.2">
      <c r="A611" s="20"/>
      <c r="B611" s="20"/>
      <c r="C611" s="20"/>
    </row>
    <row r="612" spans="1:3" x14ac:dyDescent="0.2">
      <c r="A612" s="20"/>
      <c r="B612" s="20"/>
      <c r="C612" s="20"/>
    </row>
    <row r="613" spans="1:3" x14ac:dyDescent="0.2">
      <c r="A613" s="20"/>
      <c r="B613" s="20"/>
      <c r="C613" s="20"/>
    </row>
    <row r="614" spans="1:3" x14ac:dyDescent="0.2">
      <c r="A614" s="20"/>
      <c r="B614" s="20"/>
      <c r="C614" s="20"/>
    </row>
    <row r="615" spans="1:3" x14ac:dyDescent="0.2">
      <c r="A615" s="20"/>
      <c r="B615" s="20"/>
      <c r="C615" s="20"/>
    </row>
    <row r="616" spans="1:3" x14ac:dyDescent="0.2">
      <c r="A616" s="20"/>
      <c r="B616" s="20"/>
      <c r="C616" s="20"/>
    </row>
    <row r="617" spans="1:3" x14ac:dyDescent="0.2">
      <c r="A617" s="20"/>
      <c r="B617" s="20"/>
      <c r="C617" s="20"/>
    </row>
    <row r="618" spans="1:3" x14ac:dyDescent="0.2">
      <c r="A618" s="20"/>
      <c r="B618" s="20"/>
      <c r="C618" s="20"/>
    </row>
    <row r="619" spans="1:3" x14ac:dyDescent="0.2">
      <c r="A619" s="20"/>
      <c r="B619" s="20"/>
      <c r="C619" s="20"/>
    </row>
    <row r="620" spans="1:3" x14ac:dyDescent="0.2">
      <c r="A620" s="20"/>
      <c r="B620" s="20"/>
      <c r="C620" s="20"/>
    </row>
    <row r="621" spans="1:3" x14ac:dyDescent="0.2">
      <c r="A621" s="20"/>
      <c r="B621" s="20"/>
      <c r="C621" s="20"/>
    </row>
    <row r="622" spans="1:3" x14ac:dyDescent="0.2">
      <c r="A622" s="20"/>
      <c r="B622" s="20"/>
      <c r="C622" s="20"/>
    </row>
    <row r="623" spans="1:3" x14ac:dyDescent="0.2">
      <c r="A623" s="20"/>
      <c r="B623" s="20"/>
      <c r="C623" s="20"/>
    </row>
    <row r="624" spans="1:3" x14ac:dyDescent="0.2">
      <c r="A624" s="20"/>
      <c r="B624" s="20"/>
      <c r="C624" s="20"/>
    </row>
    <row r="625" spans="1:3" x14ac:dyDescent="0.2">
      <c r="A625" s="20"/>
      <c r="B625" s="20"/>
      <c r="C625" s="20"/>
    </row>
    <row r="626" spans="1:3" x14ac:dyDescent="0.2">
      <c r="A626" s="20"/>
      <c r="B626" s="20"/>
      <c r="C626" s="20"/>
    </row>
    <row r="627" spans="1:3" x14ac:dyDescent="0.2">
      <c r="A627" s="20"/>
      <c r="B627" s="20"/>
      <c r="C627" s="20"/>
    </row>
    <row r="628" spans="1:3" x14ac:dyDescent="0.2">
      <c r="A628" s="20"/>
      <c r="B628" s="20"/>
      <c r="C628" s="20"/>
    </row>
    <row r="629" spans="1:3" x14ac:dyDescent="0.2">
      <c r="A629" s="20"/>
      <c r="B629" s="20"/>
      <c r="C629" s="20"/>
    </row>
    <row r="630" spans="1:3" x14ac:dyDescent="0.2">
      <c r="A630" s="20"/>
      <c r="B630" s="20"/>
      <c r="C630" s="20"/>
    </row>
    <row r="631" spans="1:3" x14ac:dyDescent="0.2">
      <c r="A631" s="20"/>
      <c r="B631" s="20"/>
      <c r="C631" s="20"/>
    </row>
    <row r="632" spans="1:3" x14ac:dyDescent="0.2">
      <c r="A632" s="20"/>
      <c r="B632" s="20"/>
      <c r="C632" s="20"/>
    </row>
    <row r="633" spans="1:3" x14ac:dyDescent="0.2">
      <c r="A633" s="20"/>
      <c r="B633" s="20"/>
      <c r="C633" s="20"/>
    </row>
    <row r="634" spans="1:3" x14ac:dyDescent="0.2">
      <c r="A634" s="20"/>
      <c r="B634" s="20"/>
      <c r="C634" s="20"/>
    </row>
    <row r="635" spans="1:3" x14ac:dyDescent="0.2">
      <c r="A635" s="20"/>
      <c r="B635" s="20"/>
      <c r="C635" s="20"/>
    </row>
    <row r="636" spans="1:3" x14ac:dyDescent="0.2">
      <c r="A636" s="20"/>
      <c r="B636" s="20"/>
      <c r="C636" s="20"/>
    </row>
    <row r="637" spans="1:3" x14ac:dyDescent="0.2">
      <c r="A637" s="20"/>
      <c r="B637" s="20"/>
      <c r="C637" s="20"/>
    </row>
    <row r="638" spans="1:3" x14ac:dyDescent="0.2">
      <c r="A638" s="20"/>
      <c r="B638" s="20"/>
      <c r="C638" s="20"/>
    </row>
    <row r="639" spans="1:3" x14ac:dyDescent="0.2">
      <c r="A639" s="20"/>
      <c r="B639" s="20"/>
      <c r="C639" s="20"/>
    </row>
    <row r="640" spans="1:3" x14ac:dyDescent="0.2">
      <c r="A640" s="20"/>
      <c r="B640" s="20"/>
      <c r="C640" s="20"/>
    </row>
    <row r="641" spans="1:3" x14ac:dyDescent="0.2">
      <c r="A641" s="20"/>
      <c r="B641" s="20"/>
      <c r="C641" s="20"/>
    </row>
    <row r="642" spans="1:3" x14ac:dyDescent="0.2">
      <c r="A642" s="20"/>
      <c r="B642" s="20"/>
      <c r="C642" s="20"/>
    </row>
    <row r="643" spans="1:3" x14ac:dyDescent="0.2">
      <c r="A643" s="20"/>
      <c r="B643" s="20"/>
      <c r="C643" s="20"/>
    </row>
    <row r="644" spans="1:3" x14ac:dyDescent="0.2">
      <c r="A644" s="20"/>
      <c r="B644" s="20"/>
      <c r="C644" s="20"/>
    </row>
    <row r="645" spans="1:3" x14ac:dyDescent="0.2">
      <c r="A645" s="20"/>
      <c r="B645" s="20"/>
      <c r="C645" s="20"/>
    </row>
    <row r="646" spans="1:3" x14ac:dyDescent="0.2">
      <c r="A646" s="20"/>
      <c r="B646" s="20"/>
      <c r="C646" s="20"/>
    </row>
    <row r="647" spans="1:3" x14ac:dyDescent="0.2">
      <c r="A647" s="20"/>
      <c r="B647" s="20"/>
      <c r="C647" s="20"/>
    </row>
    <row r="648" spans="1:3" x14ac:dyDescent="0.2">
      <c r="A648" s="20"/>
      <c r="B648" s="20"/>
      <c r="C648" s="20"/>
    </row>
    <row r="649" spans="1:3" x14ac:dyDescent="0.2">
      <c r="A649" s="20"/>
      <c r="B649" s="20"/>
      <c r="C649" s="20"/>
    </row>
    <row r="650" spans="1:3" x14ac:dyDescent="0.2">
      <c r="A650" s="20"/>
      <c r="B650" s="20"/>
      <c r="C650" s="20"/>
    </row>
    <row r="651" spans="1:3" x14ac:dyDescent="0.2">
      <c r="A651" s="20"/>
      <c r="B651" s="20"/>
      <c r="C651" s="20"/>
    </row>
    <row r="652" spans="1:3" x14ac:dyDescent="0.2">
      <c r="A652" s="20"/>
      <c r="B652" s="20"/>
      <c r="C652" s="20"/>
    </row>
    <row r="653" spans="1:3" x14ac:dyDescent="0.2">
      <c r="A653" s="20"/>
      <c r="B653" s="20"/>
      <c r="C653" s="20"/>
    </row>
    <row r="654" spans="1:3" x14ac:dyDescent="0.2">
      <c r="A654" s="20"/>
      <c r="B654" s="20"/>
      <c r="C654" s="20"/>
    </row>
    <row r="655" spans="1:3" x14ac:dyDescent="0.2">
      <c r="A655" s="20"/>
      <c r="B655" s="20"/>
      <c r="C655" s="20"/>
    </row>
    <row r="656" spans="1:3" x14ac:dyDescent="0.2">
      <c r="A656" s="20"/>
      <c r="B656" s="20"/>
      <c r="C656" s="20"/>
    </row>
    <row r="657" spans="1:3" x14ac:dyDescent="0.2">
      <c r="A657" s="20"/>
      <c r="B657" s="20"/>
      <c r="C657" s="20"/>
    </row>
    <row r="658" spans="1:3" x14ac:dyDescent="0.2">
      <c r="A658" s="20"/>
      <c r="B658" s="20"/>
      <c r="C658" s="20"/>
    </row>
    <row r="659" spans="1:3" x14ac:dyDescent="0.2">
      <c r="A659" s="20"/>
      <c r="B659" s="20"/>
      <c r="C659" s="20"/>
    </row>
    <row r="660" spans="1:3" x14ac:dyDescent="0.2">
      <c r="A660" s="20"/>
      <c r="B660" s="20"/>
      <c r="C660" s="20"/>
    </row>
    <row r="661" spans="1:3" x14ac:dyDescent="0.2">
      <c r="A661" s="20"/>
      <c r="B661" s="20"/>
      <c r="C661" s="20"/>
    </row>
    <row r="662" spans="1:3" x14ac:dyDescent="0.2">
      <c r="A662" s="20"/>
      <c r="B662" s="20"/>
      <c r="C662" s="20"/>
    </row>
    <row r="663" spans="1:3" x14ac:dyDescent="0.2">
      <c r="A663" s="20"/>
      <c r="B663" s="20"/>
      <c r="C663" s="20"/>
    </row>
    <row r="664" spans="1:3" x14ac:dyDescent="0.2">
      <c r="A664" s="20"/>
      <c r="B664" s="20"/>
      <c r="C664" s="20"/>
    </row>
    <row r="665" spans="1:3" x14ac:dyDescent="0.2">
      <c r="A665" s="20"/>
      <c r="B665" s="20"/>
      <c r="C665" s="20"/>
    </row>
    <row r="666" spans="1:3" x14ac:dyDescent="0.2">
      <c r="A666" s="20"/>
      <c r="B666" s="20"/>
      <c r="C666" s="20"/>
    </row>
    <row r="667" spans="1:3" x14ac:dyDescent="0.2">
      <c r="A667" s="20"/>
      <c r="B667" s="20"/>
      <c r="C667" s="20"/>
    </row>
    <row r="668" spans="1:3" x14ac:dyDescent="0.2">
      <c r="A668" s="20"/>
      <c r="B668" s="20"/>
      <c r="C668" s="20"/>
    </row>
    <row r="669" spans="1:3" x14ac:dyDescent="0.2">
      <c r="A669" s="20"/>
      <c r="B669" s="20"/>
      <c r="C669" s="20"/>
    </row>
    <row r="670" spans="1:3" x14ac:dyDescent="0.2">
      <c r="A670" s="20"/>
      <c r="B670" s="20"/>
      <c r="C670" s="20"/>
    </row>
    <row r="671" spans="1:3" x14ac:dyDescent="0.2">
      <c r="A671" s="20"/>
      <c r="B671" s="20"/>
      <c r="C671" s="20"/>
    </row>
    <row r="672" spans="1:3" x14ac:dyDescent="0.2">
      <c r="A672" s="20"/>
      <c r="B672" s="20"/>
      <c r="C672" s="20"/>
    </row>
    <row r="673" spans="1:3" x14ac:dyDescent="0.2">
      <c r="A673" s="20"/>
      <c r="B673" s="20"/>
      <c r="C673" s="20"/>
    </row>
    <row r="674" spans="1:3" x14ac:dyDescent="0.2">
      <c r="A674" s="20"/>
      <c r="B674" s="20"/>
      <c r="C674" s="20"/>
    </row>
    <row r="675" spans="1:3" x14ac:dyDescent="0.2">
      <c r="A675" s="20"/>
      <c r="B675" s="20"/>
      <c r="C675" s="20"/>
    </row>
    <row r="676" spans="1:3" x14ac:dyDescent="0.2">
      <c r="A676" s="20"/>
      <c r="B676" s="20"/>
      <c r="C676" s="20"/>
    </row>
    <row r="677" spans="1:3" x14ac:dyDescent="0.2">
      <c r="A677" s="20"/>
      <c r="B677" s="20"/>
      <c r="C677" s="20"/>
    </row>
    <row r="678" spans="1:3" x14ac:dyDescent="0.2">
      <c r="A678" s="20"/>
      <c r="B678" s="20"/>
      <c r="C678" s="20"/>
    </row>
    <row r="679" spans="1:3" x14ac:dyDescent="0.2">
      <c r="A679" s="20"/>
      <c r="B679" s="20"/>
      <c r="C679" s="20"/>
    </row>
    <row r="680" spans="1:3" x14ac:dyDescent="0.2">
      <c r="A680" s="20"/>
      <c r="B680" s="20"/>
      <c r="C680" s="20"/>
    </row>
    <row r="681" spans="1:3" x14ac:dyDescent="0.2">
      <c r="A681" s="20"/>
      <c r="B681" s="20"/>
      <c r="C681" s="20"/>
    </row>
    <row r="682" spans="1:3" x14ac:dyDescent="0.2">
      <c r="A682" s="20"/>
      <c r="B682" s="20"/>
      <c r="C682" s="20"/>
    </row>
    <row r="683" spans="1:3" x14ac:dyDescent="0.2">
      <c r="A683" s="20"/>
      <c r="B683" s="20"/>
      <c r="C683" s="20"/>
    </row>
    <row r="684" spans="1:3" x14ac:dyDescent="0.2">
      <c r="A684" s="20"/>
      <c r="B684" s="20"/>
      <c r="C684" s="20"/>
    </row>
    <row r="685" spans="1:3" x14ac:dyDescent="0.2">
      <c r="A685" s="20"/>
      <c r="B685" s="20"/>
      <c r="C685" s="20"/>
    </row>
    <row r="686" spans="1:3" x14ac:dyDescent="0.2">
      <c r="A686" s="20"/>
      <c r="B686" s="20"/>
      <c r="C686" s="20"/>
    </row>
    <row r="687" spans="1:3" x14ac:dyDescent="0.2">
      <c r="A687" s="20"/>
      <c r="B687" s="20"/>
      <c r="C687" s="20"/>
    </row>
    <row r="688" spans="1:3" x14ac:dyDescent="0.2">
      <c r="A688" s="20"/>
      <c r="B688" s="20"/>
      <c r="C688" s="20"/>
    </row>
    <row r="689" spans="1:3" x14ac:dyDescent="0.2">
      <c r="A689" s="20"/>
      <c r="B689" s="20"/>
      <c r="C689" s="20"/>
    </row>
    <row r="690" spans="1:3" x14ac:dyDescent="0.2">
      <c r="A690" s="20"/>
      <c r="B690" s="20"/>
      <c r="C690" s="20"/>
    </row>
    <row r="691" spans="1:3" x14ac:dyDescent="0.2">
      <c r="A691" s="20"/>
      <c r="B691" s="20"/>
      <c r="C691" s="20"/>
    </row>
    <row r="692" spans="1:3" x14ac:dyDescent="0.2">
      <c r="A692" s="20"/>
      <c r="B692" s="20"/>
      <c r="C692" s="20"/>
    </row>
    <row r="693" spans="1:3" x14ac:dyDescent="0.2">
      <c r="A693" s="20"/>
      <c r="B693" s="20"/>
      <c r="C693" s="20"/>
    </row>
    <row r="694" spans="1:3" x14ac:dyDescent="0.2">
      <c r="A694" s="20"/>
      <c r="B694" s="20"/>
      <c r="C694" s="20"/>
    </row>
    <row r="695" spans="1:3" x14ac:dyDescent="0.2">
      <c r="A695" s="20"/>
      <c r="B695" s="20"/>
      <c r="C695" s="20"/>
    </row>
    <row r="696" spans="1:3" x14ac:dyDescent="0.2">
      <c r="A696" s="20"/>
      <c r="B696" s="20"/>
      <c r="C696" s="20"/>
    </row>
    <row r="697" spans="1:3" x14ac:dyDescent="0.2">
      <c r="A697" s="20"/>
      <c r="B697" s="20"/>
      <c r="C697" s="20"/>
    </row>
    <row r="698" spans="1:3" x14ac:dyDescent="0.2">
      <c r="A698" s="20"/>
      <c r="B698" s="20"/>
      <c r="C698" s="20"/>
    </row>
    <row r="699" spans="1:3" x14ac:dyDescent="0.2">
      <c r="A699" s="20"/>
      <c r="B699" s="20"/>
      <c r="C699" s="20"/>
    </row>
    <row r="700" spans="1:3" x14ac:dyDescent="0.2">
      <c r="A700" s="20"/>
      <c r="B700" s="20"/>
      <c r="C700" s="20"/>
    </row>
    <row r="701" spans="1:3" x14ac:dyDescent="0.2">
      <c r="A701" s="20"/>
      <c r="B701" s="20"/>
      <c r="C701" s="20"/>
    </row>
    <row r="702" spans="1:3" x14ac:dyDescent="0.2">
      <c r="A702" s="20"/>
      <c r="B702" s="20"/>
      <c r="C702" s="20"/>
    </row>
    <row r="703" spans="1:3" x14ac:dyDescent="0.2">
      <c r="A703" s="20"/>
      <c r="B703" s="20"/>
      <c r="C703" s="20"/>
    </row>
    <row r="704" spans="1:3" x14ac:dyDescent="0.2">
      <c r="A704" s="20"/>
      <c r="B704" s="20"/>
      <c r="C704" s="20"/>
    </row>
    <row r="705" spans="1:3" x14ac:dyDescent="0.2">
      <c r="A705" s="20"/>
      <c r="B705" s="20"/>
      <c r="C705" s="20"/>
    </row>
    <row r="706" spans="1:3" x14ac:dyDescent="0.2">
      <c r="A706" s="20"/>
      <c r="B706" s="20"/>
      <c r="C706" s="20"/>
    </row>
    <row r="707" spans="1:3" x14ac:dyDescent="0.2">
      <c r="A707" s="20"/>
      <c r="B707" s="20"/>
      <c r="C707" s="20"/>
    </row>
    <row r="708" spans="1:3" x14ac:dyDescent="0.2">
      <c r="A708" s="20"/>
      <c r="B708" s="20"/>
      <c r="C708" s="20"/>
    </row>
    <row r="709" spans="1:3" x14ac:dyDescent="0.2">
      <c r="A709" s="20"/>
      <c r="B709" s="20"/>
      <c r="C709" s="20"/>
    </row>
    <row r="710" spans="1:3" x14ac:dyDescent="0.2">
      <c r="A710" s="20"/>
      <c r="B710" s="20"/>
      <c r="C710" s="20"/>
    </row>
    <row r="711" spans="1:3" x14ac:dyDescent="0.2">
      <c r="A711" s="20"/>
      <c r="B711" s="20"/>
      <c r="C711" s="20"/>
    </row>
    <row r="712" spans="1:3" x14ac:dyDescent="0.2">
      <c r="A712" s="20"/>
      <c r="B712" s="20"/>
      <c r="C712" s="20"/>
    </row>
    <row r="713" spans="1:3" x14ac:dyDescent="0.2">
      <c r="A713" s="20"/>
      <c r="B713" s="20"/>
      <c r="C713" s="20"/>
    </row>
    <row r="714" spans="1:3" x14ac:dyDescent="0.2">
      <c r="A714" s="20"/>
      <c r="B714" s="20"/>
      <c r="C714" s="20"/>
    </row>
    <row r="715" spans="1:3" x14ac:dyDescent="0.2">
      <c r="A715" s="20"/>
      <c r="B715" s="20"/>
      <c r="C715" s="20"/>
    </row>
    <row r="716" spans="1:3" x14ac:dyDescent="0.2">
      <c r="A716" s="20"/>
      <c r="B716" s="20"/>
      <c r="C716" s="20"/>
    </row>
    <row r="717" spans="1:3" x14ac:dyDescent="0.2">
      <c r="A717" s="20"/>
      <c r="B717" s="20"/>
      <c r="C717" s="20"/>
    </row>
    <row r="718" spans="1:3" x14ac:dyDescent="0.2">
      <c r="A718" s="20"/>
      <c r="B718" s="20"/>
      <c r="C718" s="20"/>
    </row>
    <row r="719" spans="1:3" x14ac:dyDescent="0.2">
      <c r="A719" s="20"/>
      <c r="B719" s="20"/>
      <c r="C719" s="20"/>
    </row>
    <row r="720" spans="1:3" x14ac:dyDescent="0.2">
      <c r="A720" s="20"/>
      <c r="B720" s="20"/>
      <c r="C720" s="20"/>
    </row>
    <row r="721" spans="1:3" x14ac:dyDescent="0.2">
      <c r="A721" s="20"/>
      <c r="B721" s="20"/>
      <c r="C721" s="20"/>
    </row>
    <row r="722" spans="1:3" x14ac:dyDescent="0.2">
      <c r="A722" s="20"/>
      <c r="B722" s="20"/>
      <c r="C722" s="20"/>
    </row>
    <row r="723" spans="1:3" x14ac:dyDescent="0.2">
      <c r="A723" s="20"/>
      <c r="B723" s="20"/>
      <c r="C723" s="20"/>
    </row>
    <row r="724" spans="1:3" x14ac:dyDescent="0.2">
      <c r="A724" s="20"/>
      <c r="B724" s="20"/>
      <c r="C724" s="20"/>
    </row>
    <row r="725" spans="1:3" x14ac:dyDescent="0.2">
      <c r="A725" s="20"/>
      <c r="B725" s="20"/>
      <c r="C725" s="20"/>
    </row>
    <row r="726" spans="1:3" x14ac:dyDescent="0.2">
      <c r="A726" s="20"/>
      <c r="B726" s="20"/>
      <c r="C726" s="20"/>
    </row>
    <row r="727" spans="1:3" x14ac:dyDescent="0.2">
      <c r="A727" s="20"/>
      <c r="B727" s="20"/>
      <c r="C727" s="20"/>
    </row>
    <row r="728" spans="1:3" x14ac:dyDescent="0.2">
      <c r="A728" s="20"/>
      <c r="B728" s="20"/>
      <c r="C728" s="20"/>
    </row>
    <row r="729" spans="1:3" x14ac:dyDescent="0.2">
      <c r="A729" s="20"/>
      <c r="B729" s="20"/>
      <c r="C729" s="20"/>
    </row>
    <row r="730" spans="1:3" x14ac:dyDescent="0.2">
      <c r="A730" s="20"/>
      <c r="B730" s="20"/>
      <c r="C730" s="20"/>
    </row>
    <row r="731" spans="1:3" x14ac:dyDescent="0.2">
      <c r="A731" s="20"/>
      <c r="B731" s="20"/>
      <c r="C731" s="20"/>
    </row>
    <row r="732" spans="1:3" x14ac:dyDescent="0.2">
      <c r="A732" s="20"/>
      <c r="B732" s="20"/>
      <c r="C732" s="20"/>
    </row>
    <row r="733" spans="1:3" x14ac:dyDescent="0.2">
      <c r="A733" s="20"/>
      <c r="B733" s="20"/>
      <c r="C733" s="20"/>
    </row>
    <row r="734" spans="1:3" x14ac:dyDescent="0.2">
      <c r="A734" s="20"/>
      <c r="B734" s="20"/>
      <c r="C734" s="20"/>
    </row>
    <row r="735" spans="1:3" x14ac:dyDescent="0.2">
      <c r="A735" s="20"/>
      <c r="B735" s="20"/>
      <c r="C735" s="20"/>
    </row>
    <row r="736" spans="1:3" x14ac:dyDescent="0.2">
      <c r="A736" s="20"/>
      <c r="B736" s="20"/>
      <c r="C736" s="20"/>
    </row>
    <row r="737" spans="1:3" x14ac:dyDescent="0.2">
      <c r="A737" s="20"/>
      <c r="B737" s="20"/>
      <c r="C737" s="20"/>
    </row>
    <row r="738" spans="1:3" x14ac:dyDescent="0.2">
      <c r="A738" s="20"/>
      <c r="B738" s="20"/>
      <c r="C738" s="20"/>
    </row>
    <row r="739" spans="1:3" x14ac:dyDescent="0.2">
      <c r="A739" s="20"/>
      <c r="B739" s="20"/>
      <c r="C739" s="20"/>
    </row>
    <row r="740" spans="1:3" x14ac:dyDescent="0.2">
      <c r="A740" s="20"/>
      <c r="B740" s="20"/>
      <c r="C740" s="20"/>
    </row>
    <row r="741" spans="1:3" x14ac:dyDescent="0.2">
      <c r="A741" s="20"/>
      <c r="B741" s="20"/>
      <c r="C741" s="20"/>
    </row>
    <row r="742" spans="1:3" x14ac:dyDescent="0.2">
      <c r="A742" s="20"/>
      <c r="B742" s="20"/>
      <c r="C742" s="20"/>
    </row>
    <row r="743" spans="1:3" x14ac:dyDescent="0.2">
      <c r="A743" s="20"/>
      <c r="B743" s="20"/>
      <c r="C743" s="20"/>
    </row>
    <row r="744" spans="1:3" x14ac:dyDescent="0.2">
      <c r="A744" s="20"/>
      <c r="B744" s="20"/>
      <c r="C744" s="20"/>
    </row>
    <row r="745" spans="1:3" x14ac:dyDescent="0.2">
      <c r="A745" s="20"/>
      <c r="B745" s="20"/>
      <c r="C745" s="20"/>
    </row>
    <row r="746" spans="1:3" x14ac:dyDescent="0.2">
      <c r="A746" s="20"/>
      <c r="B746" s="20"/>
      <c r="C746" s="20"/>
    </row>
    <row r="747" spans="1:3" x14ac:dyDescent="0.2">
      <c r="A747" s="20"/>
      <c r="B747" s="20"/>
      <c r="C747" s="20"/>
    </row>
    <row r="748" spans="1:3" x14ac:dyDescent="0.2">
      <c r="A748" s="20"/>
      <c r="B748" s="20"/>
      <c r="C748" s="20"/>
    </row>
    <row r="749" spans="1:3" x14ac:dyDescent="0.2">
      <c r="A749" s="20"/>
      <c r="B749" s="20"/>
      <c r="C749" s="20"/>
    </row>
    <row r="750" spans="1:3" x14ac:dyDescent="0.2">
      <c r="A750" s="20"/>
      <c r="B750" s="20"/>
      <c r="C750" s="20"/>
    </row>
    <row r="751" spans="1:3" x14ac:dyDescent="0.2">
      <c r="A751" s="20"/>
      <c r="B751" s="20"/>
      <c r="C751" s="20"/>
    </row>
    <row r="752" spans="1:3" x14ac:dyDescent="0.2">
      <c r="A752" s="20"/>
      <c r="B752" s="20"/>
      <c r="C752" s="20"/>
    </row>
    <row r="753" spans="1:3" x14ac:dyDescent="0.2">
      <c r="A753" s="20"/>
      <c r="B753" s="20"/>
      <c r="C753" s="20"/>
    </row>
    <row r="754" spans="1:3" x14ac:dyDescent="0.2">
      <c r="A754" s="20"/>
      <c r="B754" s="20"/>
      <c r="C754" s="20"/>
    </row>
    <row r="755" spans="1:3" x14ac:dyDescent="0.2">
      <c r="A755" s="20"/>
      <c r="B755" s="20"/>
      <c r="C755" s="20"/>
    </row>
    <row r="756" spans="1:3" x14ac:dyDescent="0.2">
      <c r="A756" s="20"/>
      <c r="B756" s="20"/>
      <c r="C756" s="20"/>
    </row>
    <row r="757" spans="1:3" x14ac:dyDescent="0.2">
      <c r="A757" s="20"/>
      <c r="B757" s="20"/>
      <c r="C757" s="20"/>
    </row>
    <row r="758" spans="1:3" x14ac:dyDescent="0.2">
      <c r="A758" s="20"/>
      <c r="B758" s="20"/>
      <c r="C758" s="20"/>
    </row>
    <row r="759" spans="1:3" x14ac:dyDescent="0.2">
      <c r="A759" s="20"/>
      <c r="B759" s="20"/>
      <c r="C759" s="20"/>
    </row>
    <row r="760" spans="1:3" x14ac:dyDescent="0.2">
      <c r="A760" s="20"/>
      <c r="B760" s="20"/>
      <c r="C760" s="20"/>
    </row>
    <row r="761" spans="1:3" x14ac:dyDescent="0.2">
      <c r="A761" s="20"/>
      <c r="B761" s="20"/>
      <c r="C761" s="20"/>
    </row>
    <row r="762" spans="1:3" x14ac:dyDescent="0.2">
      <c r="A762" s="20"/>
      <c r="B762" s="20"/>
      <c r="C762" s="20"/>
    </row>
    <row r="763" spans="1:3" x14ac:dyDescent="0.2">
      <c r="A763" s="20"/>
      <c r="B763" s="20"/>
      <c r="C763" s="20"/>
    </row>
    <row r="764" spans="1:3" x14ac:dyDescent="0.2">
      <c r="A764" s="20"/>
      <c r="B764" s="20"/>
      <c r="C764" s="20"/>
    </row>
    <row r="765" spans="1:3" x14ac:dyDescent="0.2">
      <c r="A765" s="20"/>
      <c r="B765" s="20"/>
      <c r="C765" s="20"/>
    </row>
    <row r="766" spans="1:3" x14ac:dyDescent="0.2">
      <c r="A766" s="20"/>
      <c r="B766" s="20"/>
      <c r="C766" s="20"/>
    </row>
    <row r="767" spans="1:3" x14ac:dyDescent="0.2">
      <c r="A767" s="20"/>
      <c r="B767" s="20"/>
      <c r="C767" s="20"/>
    </row>
    <row r="768" spans="1:3" x14ac:dyDescent="0.2">
      <c r="A768" s="20"/>
      <c r="B768" s="20"/>
      <c r="C768" s="20"/>
    </row>
    <row r="769" spans="1:3" x14ac:dyDescent="0.2">
      <c r="A769" s="20"/>
      <c r="B769" s="20"/>
      <c r="C769" s="20"/>
    </row>
    <row r="770" spans="1:3" x14ac:dyDescent="0.2">
      <c r="A770" s="20"/>
      <c r="B770" s="20"/>
      <c r="C770" s="20"/>
    </row>
    <row r="771" spans="1:3" x14ac:dyDescent="0.2">
      <c r="A771" s="20"/>
      <c r="B771" s="20"/>
      <c r="C771" s="20"/>
    </row>
    <row r="772" spans="1:3" x14ac:dyDescent="0.2">
      <c r="A772" s="20"/>
      <c r="B772" s="20"/>
      <c r="C772" s="20"/>
    </row>
    <row r="773" spans="1:3" x14ac:dyDescent="0.2">
      <c r="A773" s="20"/>
      <c r="B773" s="20"/>
      <c r="C773" s="20"/>
    </row>
    <row r="774" spans="1:3" x14ac:dyDescent="0.2">
      <c r="A774" s="20"/>
      <c r="B774" s="20"/>
      <c r="C774" s="20"/>
    </row>
    <row r="775" spans="1:3" x14ac:dyDescent="0.2">
      <c r="A775" s="20"/>
      <c r="B775" s="20"/>
      <c r="C775" s="20"/>
    </row>
    <row r="776" spans="1:3" x14ac:dyDescent="0.2">
      <c r="A776" s="20"/>
      <c r="B776" s="20"/>
      <c r="C776" s="20"/>
    </row>
    <row r="777" spans="1:3" x14ac:dyDescent="0.2">
      <c r="A777" s="20"/>
      <c r="B777" s="20"/>
      <c r="C777" s="20"/>
    </row>
    <row r="778" spans="1:3" x14ac:dyDescent="0.2">
      <c r="A778" s="20"/>
      <c r="B778" s="20"/>
      <c r="C778" s="20"/>
    </row>
    <row r="779" spans="1:3" x14ac:dyDescent="0.2">
      <c r="A779" s="20"/>
      <c r="B779" s="20"/>
      <c r="C779" s="20"/>
    </row>
    <row r="780" spans="1:3" x14ac:dyDescent="0.2">
      <c r="A780" s="20"/>
      <c r="B780" s="20"/>
      <c r="C780" s="20"/>
    </row>
    <row r="781" spans="1:3" x14ac:dyDescent="0.2">
      <c r="A781" s="20"/>
      <c r="B781" s="20"/>
      <c r="C781" s="20"/>
    </row>
    <row r="782" spans="1:3" x14ac:dyDescent="0.2">
      <c r="A782" s="20"/>
      <c r="B782" s="20"/>
      <c r="C782" s="20"/>
    </row>
    <row r="783" spans="1:3" x14ac:dyDescent="0.2">
      <c r="A783" s="20"/>
      <c r="B783" s="20"/>
      <c r="C783" s="20"/>
    </row>
    <row r="784" spans="1:3" x14ac:dyDescent="0.2">
      <c r="A784" s="20"/>
      <c r="B784" s="20"/>
      <c r="C784" s="20"/>
    </row>
    <row r="785" spans="1:3" x14ac:dyDescent="0.2">
      <c r="A785" s="20"/>
      <c r="B785" s="20"/>
      <c r="C785" s="20"/>
    </row>
    <row r="786" spans="1:3" x14ac:dyDescent="0.2">
      <c r="A786" s="20"/>
      <c r="B786" s="20"/>
      <c r="C786" s="20"/>
    </row>
    <row r="787" spans="1:3" x14ac:dyDescent="0.2">
      <c r="A787" s="20"/>
      <c r="B787" s="20"/>
      <c r="C787" s="20"/>
    </row>
    <row r="788" spans="1:3" x14ac:dyDescent="0.2">
      <c r="A788" s="20"/>
      <c r="B788" s="20"/>
      <c r="C788" s="20"/>
    </row>
    <row r="789" spans="1:3" x14ac:dyDescent="0.2">
      <c r="A789" s="20"/>
      <c r="B789" s="20"/>
      <c r="C789" s="20"/>
    </row>
    <row r="790" spans="1:3" x14ac:dyDescent="0.2">
      <c r="A790" s="20"/>
      <c r="B790" s="20"/>
      <c r="C790" s="20"/>
    </row>
    <row r="791" spans="1:3" x14ac:dyDescent="0.2">
      <c r="A791" s="20"/>
      <c r="B791" s="20"/>
      <c r="C791" s="20"/>
    </row>
    <row r="792" spans="1:3" x14ac:dyDescent="0.2">
      <c r="A792" s="20"/>
      <c r="B792" s="20"/>
      <c r="C792" s="20"/>
    </row>
    <row r="793" spans="1:3" x14ac:dyDescent="0.2">
      <c r="A793" s="20"/>
      <c r="B793" s="20"/>
      <c r="C793" s="20"/>
    </row>
    <row r="794" spans="1:3" x14ac:dyDescent="0.2">
      <c r="A794" s="20"/>
      <c r="B794" s="20"/>
      <c r="C794" s="20"/>
    </row>
    <row r="795" spans="1:3" x14ac:dyDescent="0.2">
      <c r="A795" s="20"/>
      <c r="B795" s="20"/>
      <c r="C795" s="20"/>
    </row>
    <row r="796" spans="1:3" x14ac:dyDescent="0.2">
      <c r="A796" s="20"/>
      <c r="B796" s="20"/>
      <c r="C796" s="20"/>
    </row>
    <row r="797" spans="1:3" x14ac:dyDescent="0.2">
      <c r="A797" s="20"/>
      <c r="B797" s="20"/>
      <c r="C797" s="20"/>
    </row>
    <row r="798" spans="1:3" x14ac:dyDescent="0.2">
      <c r="A798" s="20"/>
      <c r="B798" s="20"/>
      <c r="C798" s="20"/>
    </row>
    <row r="799" spans="1:3" x14ac:dyDescent="0.2">
      <c r="A799" s="20"/>
      <c r="B799" s="20"/>
      <c r="C799" s="20"/>
    </row>
    <row r="800" spans="1:3" x14ac:dyDescent="0.2">
      <c r="A800" s="20"/>
      <c r="B800" s="20"/>
      <c r="C800" s="20"/>
    </row>
    <row r="801" spans="1:3" x14ac:dyDescent="0.2">
      <c r="A801" s="20"/>
      <c r="B801" s="20"/>
      <c r="C801" s="20"/>
    </row>
    <row r="802" spans="1:3" x14ac:dyDescent="0.2">
      <c r="A802" s="20"/>
      <c r="B802" s="20"/>
      <c r="C802" s="20"/>
    </row>
    <row r="803" spans="1:3" x14ac:dyDescent="0.2">
      <c r="A803" s="20"/>
      <c r="B803" s="20"/>
      <c r="C803" s="20"/>
    </row>
    <row r="804" spans="1:3" x14ac:dyDescent="0.2">
      <c r="A804" s="20"/>
      <c r="B804" s="20"/>
      <c r="C804" s="20"/>
    </row>
    <row r="805" spans="1:3" x14ac:dyDescent="0.2">
      <c r="A805" s="20"/>
      <c r="B805" s="20"/>
      <c r="C805" s="20"/>
    </row>
    <row r="806" spans="1:3" x14ac:dyDescent="0.2">
      <c r="A806" s="20"/>
      <c r="B806" s="20"/>
      <c r="C806" s="20"/>
    </row>
    <row r="807" spans="1:3" x14ac:dyDescent="0.2">
      <c r="A807" s="20"/>
      <c r="B807" s="20"/>
      <c r="C807" s="20"/>
    </row>
    <row r="808" spans="1:3" x14ac:dyDescent="0.2">
      <c r="A808" s="20"/>
      <c r="B808" s="20"/>
      <c r="C808" s="20"/>
    </row>
    <row r="809" spans="1:3" x14ac:dyDescent="0.2">
      <c r="A809" s="20"/>
      <c r="B809" s="20"/>
      <c r="C809" s="20"/>
    </row>
    <row r="810" spans="1:3" x14ac:dyDescent="0.2">
      <c r="A810" s="20"/>
      <c r="B810" s="20"/>
      <c r="C810" s="20"/>
    </row>
    <row r="811" spans="1:3" x14ac:dyDescent="0.2">
      <c r="A811" s="20"/>
      <c r="B811" s="20"/>
      <c r="C811" s="20"/>
    </row>
    <row r="812" spans="1:3" x14ac:dyDescent="0.2">
      <c r="A812" s="20"/>
      <c r="B812" s="20"/>
      <c r="C812" s="20"/>
    </row>
    <row r="813" spans="1:3" x14ac:dyDescent="0.2">
      <c r="A813" s="20"/>
      <c r="B813" s="20"/>
      <c r="C813" s="20"/>
    </row>
    <row r="814" spans="1:3" x14ac:dyDescent="0.2">
      <c r="A814" s="20"/>
      <c r="B814" s="20"/>
      <c r="C814" s="20"/>
    </row>
    <row r="815" spans="1:3" x14ac:dyDescent="0.2">
      <c r="A815" s="20"/>
      <c r="B815" s="20"/>
      <c r="C815" s="20"/>
    </row>
    <row r="816" spans="1:3" x14ac:dyDescent="0.2">
      <c r="A816" s="20"/>
      <c r="B816" s="20"/>
      <c r="C816" s="20"/>
    </row>
    <row r="817" spans="1:3" x14ac:dyDescent="0.2">
      <c r="A817" s="20"/>
      <c r="B817" s="20"/>
      <c r="C817" s="20"/>
    </row>
    <row r="818" spans="1:3" x14ac:dyDescent="0.2">
      <c r="A818" s="20"/>
      <c r="B818" s="20"/>
      <c r="C818" s="20"/>
    </row>
    <row r="819" spans="1:3" x14ac:dyDescent="0.2">
      <c r="A819" s="20"/>
      <c r="B819" s="20"/>
      <c r="C819" s="20"/>
    </row>
    <row r="820" spans="1:3" x14ac:dyDescent="0.2">
      <c r="A820" s="20"/>
      <c r="B820" s="20"/>
      <c r="C820" s="20"/>
    </row>
    <row r="821" spans="1:3" x14ac:dyDescent="0.2">
      <c r="A821" s="20"/>
      <c r="B821" s="20"/>
      <c r="C821" s="20"/>
    </row>
    <row r="822" spans="1:3" x14ac:dyDescent="0.2">
      <c r="A822" s="20"/>
      <c r="B822" s="20"/>
      <c r="C822" s="20"/>
    </row>
    <row r="823" spans="1:3" x14ac:dyDescent="0.2">
      <c r="A823" s="20"/>
      <c r="B823" s="20"/>
      <c r="C823" s="20"/>
    </row>
    <row r="824" spans="1:3" x14ac:dyDescent="0.2">
      <c r="A824" s="20"/>
      <c r="B824" s="20"/>
      <c r="C824" s="20"/>
    </row>
    <row r="825" spans="1:3" x14ac:dyDescent="0.2">
      <c r="A825" s="20"/>
      <c r="B825" s="20"/>
      <c r="C825" s="20"/>
    </row>
    <row r="826" spans="1:3" x14ac:dyDescent="0.2">
      <c r="A826" s="20"/>
      <c r="B826" s="20"/>
      <c r="C826" s="20"/>
    </row>
    <row r="827" spans="1:3" x14ac:dyDescent="0.2">
      <c r="A827" s="20"/>
      <c r="B827" s="20"/>
      <c r="C827" s="20"/>
    </row>
    <row r="828" spans="1:3" x14ac:dyDescent="0.2">
      <c r="A828" s="20"/>
      <c r="B828" s="20"/>
      <c r="C828" s="20"/>
    </row>
    <row r="829" spans="1:3" x14ac:dyDescent="0.2">
      <c r="A829" s="20"/>
      <c r="B829" s="20"/>
      <c r="C829" s="20"/>
    </row>
    <row r="830" spans="1:3" x14ac:dyDescent="0.2">
      <c r="A830" s="20"/>
      <c r="B830" s="20"/>
      <c r="C830" s="20"/>
    </row>
    <row r="831" spans="1:3" x14ac:dyDescent="0.2">
      <c r="A831" s="20"/>
      <c r="B831" s="20"/>
      <c r="C831" s="20"/>
    </row>
    <row r="832" spans="1:3" x14ac:dyDescent="0.2">
      <c r="A832" s="20"/>
      <c r="B832" s="20"/>
      <c r="C832" s="20"/>
    </row>
    <row r="833" spans="1:3" x14ac:dyDescent="0.2">
      <c r="A833" s="20"/>
      <c r="B833" s="20"/>
      <c r="C833" s="20"/>
    </row>
    <row r="834" spans="1:3" x14ac:dyDescent="0.2">
      <c r="A834" s="20"/>
      <c r="B834" s="20"/>
      <c r="C834" s="20"/>
    </row>
    <row r="835" spans="1:3" x14ac:dyDescent="0.2">
      <c r="A835" s="20"/>
      <c r="B835" s="20"/>
      <c r="C835" s="20"/>
    </row>
    <row r="836" spans="1:3" x14ac:dyDescent="0.2">
      <c r="A836" s="20"/>
      <c r="B836" s="20"/>
      <c r="C836" s="20"/>
    </row>
    <row r="837" spans="1:3" x14ac:dyDescent="0.2">
      <c r="A837" s="20"/>
      <c r="B837" s="20"/>
      <c r="C837" s="20"/>
    </row>
    <row r="838" spans="1:3" x14ac:dyDescent="0.2">
      <c r="A838" s="20"/>
      <c r="B838" s="20"/>
      <c r="C838" s="20"/>
    </row>
    <row r="839" spans="1:3" x14ac:dyDescent="0.2">
      <c r="A839" s="20"/>
      <c r="B839" s="20"/>
      <c r="C839" s="20"/>
    </row>
    <row r="840" spans="1:3" x14ac:dyDescent="0.2">
      <c r="A840" s="20"/>
      <c r="B840" s="20"/>
      <c r="C840" s="20"/>
    </row>
    <row r="841" spans="1:3" x14ac:dyDescent="0.2">
      <c r="A841" s="20"/>
      <c r="B841" s="20"/>
      <c r="C841" s="20"/>
    </row>
    <row r="842" spans="1:3" x14ac:dyDescent="0.2">
      <c r="A842" s="20"/>
      <c r="B842" s="20"/>
      <c r="C842" s="20"/>
    </row>
    <row r="843" spans="1:3" x14ac:dyDescent="0.2">
      <c r="A843" s="20"/>
      <c r="B843" s="20"/>
      <c r="C843" s="20"/>
    </row>
    <row r="844" spans="1:3" x14ac:dyDescent="0.2">
      <c r="A844" s="20"/>
      <c r="B844" s="20"/>
      <c r="C844" s="20"/>
    </row>
    <row r="845" spans="1:3" x14ac:dyDescent="0.2">
      <c r="A845" s="20"/>
      <c r="B845" s="20"/>
      <c r="C845" s="20"/>
    </row>
    <row r="846" spans="1:3" x14ac:dyDescent="0.2">
      <c r="A846" s="20"/>
      <c r="B846" s="20"/>
      <c r="C846" s="20"/>
    </row>
    <row r="847" spans="1:3" x14ac:dyDescent="0.2">
      <c r="A847" s="20"/>
      <c r="B847" s="20"/>
      <c r="C847" s="20"/>
    </row>
    <row r="848" spans="1:3" x14ac:dyDescent="0.2">
      <c r="A848" s="20"/>
      <c r="B848" s="20"/>
      <c r="C848" s="20"/>
    </row>
    <row r="849" spans="1:3" x14ac:dyDescent="0.2">
      <c r="A849" s="20"/>
      <c r="B849" s="20"/>
      <c r="C849" s="20"/>
    </row>
    <row r="850" spans="1:3" x14ac:dyDescent="0.2">
      <c r="A850" s="20"/>
      <c r="B850" s="20"/>
      <c r="C850" s="20"/>
    </row>
    <row r="851" spans="1:3" x14ac:dyDescent="0.2">
      <c r="A851" s="20"/>
      <c r="B851" s="20"/>
      <c r="C851" s="20"/>
    </row>
    <row r="852" spans="1:3" x14ac:dyDescent="0.2">
      <c r="A852" s="20"/>
      <c r="B852" s="20"/>
      <c r="C852" s="20"/>
    </row>
    <row r="853" spans="1:3" x14ac:dyDescent="0.2">
      <c r="A853" s="20"/>
      <c r="B853" s="20"/>
      <c r="C853" s="20"/>
    </row>
    <row r="854" spans="1:3" x14ac:dyDescent="0.2">
      <c r="A854" s="20"/>
      <c r="B854" s="20"/>
      <c r="C854" s="20"/>
    </row>
    <row r="855" spans="1:3" x14ac:dyDescent="0.2">
      <c r="A855" s="20"/>
      <c r="B855" s="20"/>
      <c r="C855" s="20"/>
    </row>
    <row r="856" spans="1:3" x14ac:dyDescent="0.2">
      <c r="A856" s="20"/>
      <c r="B856" s="20"/>
      <c r="C856" s="20"/>
    </row>
    <row r="857" spans="1:3" x14ac:dyDescent="0.2">
      <c r="A857" s="20"/>
      <c r="B857" s="20"/>
      <c r="C857" s="20"/>
    </row>
    <row r="858" spans="1:3" x14ac:dyDescent="0.2">
      <c r="A858" s="20"/>
      <c r="B858" s="20"/>
      <c r="C858" s="20"/>
    </row>
    <row r="859" spans="1:3" x14ac:dyDescent="0.2">
      <c r="A859" s="20"/>
      <c r="B859" s="20"/>
      <c r="C859" s="20"/>
    </row>
    <row r="860" spans="1:3" x14ac:dyDescent="0.2">
      <c r="A860" s="20"/>
      <c r="B860" s="20"/>
      <c r="C860" s="20"/>
    </row>
    <row r="861" spans="1:3" x14ac:dyDescent="0.2">
      <c r="A861" s="20"/>
      <c r="B861" s="20"/>
      <c r="C861" s="20"/>
    </row>
    <row r="862" spans="1:3" x14ac:dyDescent="0.2">
      <c r="A862" s="20"/>
      <c r="B862" s="20"/>
      <c r="C862" s="20"/>
    </row>
    <row r="863" spans="1:3" x14ac:dyDescent="0.2">
      <c r="A863" s="20"/>
      <c r="B863" s="20"/>
      <c r="C863" s="20"/>
    </row>
    <row r="864" spans="1:3" x14ac:dyDescent="0.2">
      <c r="A864" s="20"/>
      <c r="B864" s="20"/>
      <c r="C864" s="20"/>
    </row>
    <row r="865" spans="1:3" x14ac:dyDescent="0.2">
      <c r="A865" s="20"/>
      <c r="B865" s="20"/>
      <c r="C865" s="20"/>
    </row>
    <row r="866" spans="1:3" x14ac:dyDescent="0.2">
      <c r="A866" s="20"/>
      <c r="B866" s="20"/>
      <c r="C866" s="20"/>
    </row>
    <row r="867" spans="1:3" x14ac:dyDescent="0.2">
      <c r="A867" s="20"/>
      <c r="B867" s="20"/>
      <c r="C867" s="20"/>
    </row>
    <row r="868" spans="1:3" x14ac:dyDescent="0.2">
      <c r="A868" s="20"/>
      <c r="B868" s="20"/>
      <c r="C868" s="20"/>
    </row>
    <row r="869" spans="1:3" x14ac:dyDescent="0.2">
      <c r="A869" s="20"/>
      <c r="B869" s="20"/>
      <c r="C869" s="20"/>
    </row>
    <row r="870" spans="1:3" x14ac:dyDescent="0.2">
      <c r="A870" s="20"/>
      <c r="B870" s="20"/>
      <c r="C870" s="20"/>
    </row>
    <row r="871" spans="1:3" x14ac:dyDescent="0.2">
      <c r="A871" s="20"/>
      <c r="B871" s="20"/>
      <c r="C871" s="20"/>
    </row>
    <row r="872" spans="1:3" x14ac:dyDescent="0.2">
      <c r="A872" s="20"/>
      <c r="B872" s="20"/>
      <c r="C872" s="20"/>
    </row>
    <row r="873" spans="1:3" x14ac:dyDescent="0.2">
      <c r="A873" s="20"/>
      <c r="B873" s="20"/>
      <c r="C873" s="20"/>
    </row>
    <row r="874" spans="1:3" x14ac:dyDescent="0.2">
      <c r="A874" s="20"/>
      <c r="B874" s="20"/>
      <c r="C874" s="20"/>
    </row>
    <row r="875" spans="1:3" x14ac:dyDescent="0.2">
      <c r="A875" s="20"/>
      <c r="B875" s="20"/>
      <c r="C875" s="20"/>
    </row>
    <row r="876" spans="1:3" x14ac:dyDescent="0.2">
      <c r="A876" s="20"/>
      <c r="B876" s="20"/>
      <c r="C876" s="20"/>
    </row>
    <row r="877" spans="1:3" x14ac:dyDescent="0.2">
      <c r="A877" s="20"/>
      <c r="B877" s="20"/>
      <c r="C877" s="20"/>
    </row>
    <row r="878" spans="1:3" x14ac:dyDescent="0.2">
      <c r="A878" s="20"/>
      <c r="B878" s="20"/>
      <c r="C878" s="20"/>
    </row>
    <row r="879" spans="1:3" x14ac:dyDescent="0.2">
      <c r="A879" s="20"/>
      <c r="B879" s="20"/>
      <c r="C879" s="20"/>
    </row>
    <row r="880" spans="1:3" x14ac:dyDescent="0.2">
      <c r="A880" s="20"/>
      <c r="B880" s="20"/>
      <c r="C880" s="20"/>
    </row>
    <row r="881" spans="1:3" x14ac:dyDescent="0.2">
      <c r="A881" s="20"/>
      <c r="B881" s="20"/>
      <c r="C881" s="20"/>
    </row>
    <row r="882" spans="1:3" x14ac:dyDescent="0.2">
      <c r="A882" s="20"/>
      <c r="B882" s="20"/>
      <c r="C882" s="20"/>
    </row>
    <row r="883" spans="1:3" x14ac:dyDescent="0.2">
      <c r="A883" s="20"/>
      <c r="B883" s="20"/>
      <c r="C883" s="20"/>
    </row>
    <row r="884" spans="1:3" x14ac:dyDescent="0.2">
      <c r="A884" s="20"/>
      <c r="B884" s="20"/>
      <c r="C884" s="20"/>
    </row>
    <row r="885" spans="1:3" x14ac:dyDescent="0.2">
      <c r="A885" s="20"/>
      <c r="B885" s="20"/>
      <c r="C885" s="20"/>
    </row>
    <row r="886" spans="1:3" x14ac:dyDescent="0.2">
      <c r="A886" s="20"/>
      <c r="B886" s="20"/>
      <c r="C886" s="20"/>
    </row>
    <row r="887" spans="1:3" x14ac:dyDescent="0.2">
      <c r="A887" s="20"/>
      <c r="B887" s="20"/>
      <c r="C887" s="20"/>
    </row>
    <row r="888" spans="1:3" x14ac:dyDescent="0.2">
      <c r="A888" s="20"/>
      <c r="B888" s="20"/>
      <c r="C888" s="20"/>
    </row>
    <row r="889" spans="1:3" x14ac:dyDescent="0.2">
      <c r="A889" s="20"/>
      <c r="B889" s="20"/>
      <c r="C889" s="20"/>
    </row>
    <row r="890" spans="1:3" x14ac:dyDescent="0.2">
      <c r="A890" s="20"/>
      <c r="B890" s="20"/>
      <c r="C890" s="20"/>
    </row>
    <row r="891" spans="1:3" x14ac:dyDescent="0.2">
      <c r="A891" s="20"/>
      <c r="B891" s="20"/>
      <c r="C891" s="20"/>
    </row>
    <row r="892" spans="1:3" x14ac:dyDescent="0.2">
      <c r="A892" s="20"/>
      <c r="B892" s="20"/>
      <c r="C892" s="20"/>
    </row>
    <row r="893" spans="1:3" x14ac:dyDescent="0.2">
      <c r="A893" s="20"/>
      <c r="B893" s="20"/>
      <c r="C893" s="20"/>
    </row>
    <row r="894" spans="1:3" x14ac:dyDescent="0.2">
      <c r="A894" s="20"/>
      <c r="B894" s="20"/>
      <c r="C894" s="20"/>
    </row>
    <row r="895" spans="1:3" x14ac:dyDescent="0.2">
      <c r="A895" s="20"/>
      <c r="B895" s="20"/>
      <c r="C895" s="20"/>
    </row>
    <row r="896" spans="1:3" x14ac:dyDescent="0.2">
      <c r="A896" s="20"/>
      <c r="B896" s="20"/>
      <c r="C896" s="20"/>
    </row>
    <row r="897" spans="1:3" x14ac:dyDescent="0.2">
      <c r="A897" s="20"/>
      <c r="B897" s="20"/>
      <c r="C897" s="20"/>
    </row>
    <row r="898" spans="1:3" x14ac:dyDescent="0.2">
      <c r="A898" s="20"/>
      <c r="B898" s="20"/>
      <c r="C898" s="20"/>
    </row>
    <row r="899" spans="1:3" x14ac:dyDescent="0.2">
      <c r="A899" s="20"/>
      <c r="B899" s="20"/>
      <c r="C899" s="20"/>
    </row>
    <row r="900" spans="1:3" x14ac:dyDescent="0.2">
      <c r="A900" s="20"/>
      <c r="B900" s="20"/>
      <c r="C900" s="20"/>
    </row>
    <row r="901" spans="1:3" x14ac:dyDescent="0.2">
      <c r="A901" s="20"/>
      <c r="B901" s="20"/>
      <c r="C901" s="20"/>
    </row>
    <row r="902" spans="1:3" x14ac:dyDescent="0.2">
      <c r="A902" s="20"/>
      <c r="B902" s="20"/>
      <c r="C902" s="20"/>
    </row>
    <row r="903" spans="1:3" x14ac:dyDescent="0.2">
      <c r="A903" s="20"/>
      <c r="B903" s="20"/>
      <c r="C903" s="20"/>
    </row>
    <row r="904" spans="1:3" x14ac:dyDescent="0.2">
      <c r="A904" s="20"/>
      <c r="B904" s="20"/>
      <c r="C904" s="20"/>
    </row>
    <row r="905" spans="1:3" x14ac:dyDescent="0.2">
      <c r="A905" s="20"/>
      <c r="B905" s="20"/>
      <c r="C905" s="20"/>
    </row>
    <row r="906" spans="1:3" x14ac:dyDescent="0.2">
      <c r="A906" s="20"/>
      <c r="B906" s="20"/>
      <c r="C906" s="20"/>
    </row>
    <row r="907" spans="1:3" x14ac:dyDescent="0.2">
      <c r="A907" s="20"/>
      <c r="B907" s="20"/>
      <c r="C907" s="20"/>
    </row>
    <row r="908" spans="1:3" x14ac:dyDescent="0.2">
      <c r="A908" s="20"/>
      <c r="B908" s="20"/>
      <c r="C908" s="20"/>
    </row>
    <row r="909" spans="1:3" x14ac:dyDescent="0.2">
      <c r="A909" s="20"/>
      <c r="B909" s="20"/>
      <c r="C909" s="20"/>
    </row>
    <row r="910" spans="1:3" x14ac:dyDescent="0.2">
      <c r="A910" s="20"/>
      <c r="B910" s="20"/>
      <c r="C910" s="20"/>
    </row>
    <row r="911" spans="1:3" x14ac:dyDescent="0.2">
      <c r="A911" s="20"/>
      <c r="B911" s="20"/>
      <c r="C911" s="20"/>
    </row>
    <row r="912" spans="1:3" x14ac:dyDescent="0.2">
      <c r="A912" s="20"/>
      <c r="B912" s="20"/>
      <c r="C912" s="20"/>
    </row>
    <row r="913" spans="1:3" x14ac:dyDescent="0.2">
      <c r="A913" s="20"/>
      <c r="B913" s="20"/>
      <c r="C913" s="20"/>
    </row>
    <row r="914" spans="1:3" x14ac:dyDescent="0.2">
      <c r="A914" s="20"/>
      <c r="B914" s="20"/>
      <c r="C914" s="20"/>
    </row>
    <row r="915" spans="1:3" x14ac:dyDescent="0.2">
      <c r="A915" s="20"/>
      <c r="B915" s="20"/>
      <c r="C915" s="20"/>
    </row>
    <row r="916" spans="1:3" x14ac:dyDescent="0.2">
      <c r="A916" s="20"/>
      <c r="B916" s="20"/>
      <c r="C916" s="20"/>
    </row>
    <row r="917" spans="1:3" x14ac:dyDescent="0.2">
      <c r="A917" s="20"/>
      <c r="B917" s="20"/>
      <c r="C917" s="20"/>
    </row>
    <row r="918" spans="1:3" x14ac:dyDescent="0.2">
      <c r="A918" s="20"/>
      <c r="B918" s="20"/>
      <c r="C918" s="20"/>
    </row>
    <row r="919" spans="1:3" x14ac:dyDescent="0.2">
      <c r="A919" s="20"/>
      <c r="B919" s="20"/>
      <c r="C919" s="20"/>
    </row>
    <row r="920" spans="1:3" x14ac:dyDescent="0.2">
      <c r="A920" s="20"/>
      <c r="B920" s="20"/>
      <c r="C920" s="20"/>
    </row>
    <row r="921" spans="1:3" x14ac:dyDescent="0.2">
      <c r="A921" s="20"/>
      <c r="B921" s="20"/>
      <c r="C921" s="20"/>
    </row>
    <row r="922" spans="1:3" x14ac:dyDescent="0.2">
      <c r="A922" s="20"/>
      <c r="B922" s="20"/>
      <c r="C922" s="20"/>
    </row>
    <row r="923" spans="1:3" x14ac:dyDescent="0.2">
      <c r="A923" s="20"/>
      <c r="B923" s="20"/>
      <c r="C923" s="20"/>
    </row>
    <row r="924" spans="1:3" x14ac:dyDescent="0.2">
      <c r="A924" s="20"/>
      <c r="B924" s="20"/>
      <c r="C924" s="20"/>
    </row>
    <row r="925" spans="1:3" x14ac:dyDescent="0.2">
      <c r="A925" s="20"/>
      <c r="B925" s="20"/>
      <c r="C925" s="20"/>
    </row>
    <row r="926" spans="1:3" x14ac:dyDescent="0.2">
      <c r="A926" s="20"/>
      <c r="B926" s="20"/>
      <c r="C926" s="20"/>
    </row>
    <row r="927" spans="1:3" x14ac:dyDescent="0.2">
      <c r="A927" s="20"/>
      <c r="B927" s="20"/>
      <c r="C927" s="20"/>
    </row>
    <row r="928" spans="1:3" x14ac:dyDescent="0.2">
      <c r="A928" s="20"/>
      <c r="B928" s="20"/>
      <c r="C928" s="20"/>
    </row>
    <row r="929" spans="1:3" x14ac:dyDescent="0.2">
      <c r="A929" s="20"/>
      <c r="B929" s="20"/>
      <c r="C929" s="20"/>
    </row>
    <row r="930" spans="1:3" x14ac:dyDescent="0.2">
      <c r="A930" s="20"/>
      <c r="B930" s="20"/>
      <c r="C930" s="20"/>
    </row>
    <row r="931" spans="1:3" x14ac:dyDescent="0.2">
      <c r="A931" s="20"/>
      <c r="B931" s="20"/>
      <c r="C931" s="20"/>
    </row>
    <row r="932" spans="1:3" x14ac:dyDescent="0.2">
      <c r="A932" s="20"/>
      <c r="B932" s="20"/>
      <c r="C932" s="20"/>
    </row>
    <row r="933" spans="1:3" x14ac:dyDescent="0.2">
      <c r="A933" s="20"/>
      <c r="B933" s="20"/>
      <c r="C933" s="20"/>
    </row>
    <row r="934" spans="1:3" x14ac:dyDescent="0.2">
      <c r="A934" s="20"/>
      <c r="B934" s="20"/>
      <c r="C934" s="20"/>
    </row>
    <row r="935" spans="1:3" x14ac:dyDescent="0.2">
      <c r="A935" s="20"/>
      <c r="B935" s="20"/>
      <c r="C935" s="20"/>
    </row>
    <row r="936" spans="1:3" x14ac:dyDescent="0.2">
      <c r="A936" s="20"/>
      <c r="B936" s="20"/>
      <c r="C936" s="20"/>
    </row>
    <row r="937" spans="1:3" x14ac:dyDescent="0.2">
      <c r="A937" s="20"/>
      <c r="B937" s="20"/>
      <c r="C937" s="20"/>
    </row>
    <row r="938" spans="1:3" x14ac:dyDescent="0.2">
      <c r="A938" s="20"/>
      <c r="B938" s="20"/>
      <c r="C938" s="20"/>
    </row>
    <row r="939" spans="1:3" x14ac:dyDescent="0.2">
      <c r="A939" s="20"/>
      <c r="B939" s="20"/>
      <c r="C939" s="20"/>
    </row>
    <row r="940" spans="1:3" x14ac:dyDescent="0.2">
      <c r="A940" s="20"/>
      <c r="B940" s="20"/>
      <c r="C940" s="20"/>
    </row>
    <row r="941" spans="1:3" x14ac:dyDescent="0.2">
      <c r="A941" s="20"/>
      <c r="B941" s="20"/>
      <c r="C941" s="20"/>
    </row>
    <row r="942" spans="1:3" x14ac:dyDescent="0.2">
      <c r="A942" s="20"/>
      <c r="B942" s="20"/>
      <c r="C942" s="20"/>
    </row>
    <row r="943" spans="1:3" x14ac:dyDescent="0.2">
      <c r="A943" s="20"/>
      <c r="B943" s="20"/>
      <c r="C943" s="20"/>
    </row>
    <row r="944" spans="1:3" x14ac:dyDescent="0.2">
      <c r="A944" s="20"/>
      <c r="B944" s="20"/>
      <c r="C944" s="20"/>
    </row>
    <row r="945" spans="1:3" x14ac:dyDescent="0.2">
      <c r="A945" s="20"/>
      <c r="B945" s="20"/>
      <c r="C945" s="20"/>
    </row>
    <row r="946" spans="1:3" x14ac:dyDescent="0.2">
      <c r="A946" s="20"/>
      <c r="B946" s="20"/>
      <c r="C946" s="20"/>
    </row>
    <row r="947" spans="1:3" x14ac:dyDescent="0.2">
      <c r="A947" s="20"/>
      <c r="B947" s="20"/>
      <c r="C947" s="20"/>
    </row>
    <row r="948" spans="1:3" x14ac:dyDescent="0.2">
      <c r="A948" s="20"/>
      <c r="B948" s="20"/>
      <c r="C948" s="20"/>
    </row>
    <row r="949" spans="1:3" x14ac:dyDescent="0.2">
      <c r="A949" s="20"/>
      <c r="B949" s="20"/>
      <c r="C949" s="20"/>
    </row>
    <row r="950" spans="1:3" x14ac:dyDescent="0.2">
      <c r="A950" s="20"/>
      <c r="B950" s="20"/>
      <c r="C950" s="20"/>
    </row>
    <row r="951" spans="1:3" x14ac:dyDescent="0.2">
      <c r="A951" s="20"/>
      <c r="B951" s="20"/>
      <c r="C951" s="20"/>
    </row>
    <row r="952" spans="1:3" x14ac:dyDescent="0.2">
      <c r="A952" s="20"/>
      <c r="B952" s="20"/>
      <c r="C952" s="20"/>
    </row>
    <row r="953" spans="1:3" x14ac:dyDescent="0.2">
      <c r="A953" s="20"/>
      <c r="B953" s="20"/>
      <c r="C953" s="20"/>
    </row>
    <row r="954" spans="1:3" x14ac:dyDescent="0.2">
      <c r="A954" s="20"/>
      <c r="B954" s="20"/>
      <c r="C954" s="20"/>
    </row>
    <row r="955" spans="1:3" x14ac:dyDescent="0.2">
      <c r="A955" s="20"/>
      <c r="B955" s="20"/>
      <c r="C955" s="20"/>
    </row>
    <row r="956" spans="1:3" x14ac:dyDescent="0.2">
      <c r="A956" s="20"/>
      <c r="B956" s="20"/>
      <c r="C956" s="20"/>
    </row>
    <row r="957" spans="1:3" x14ac:dyDescent="0.2">
      <c r="A957" s="20"/>
      <c r="B957" s="20"/>
      <c r="C957" s="20"/>
    </row>
    <row r="958" spans="1:3" x14ac:dyDescent="0.2">
      <c r="A958" s="20"/>
      <c r="B958" s="20"/>
      <c r="C958" s="20"/>
    </row>
    <row r="959" spans="1:3" x14ac:dyDescent="0.2">
      <c r="A959" s="20"/>
      <c r="B959" s="20"/>
      <c r="C959" s="20"/>
    </row>
    <row r="960" spans="1:3" x14ac:dyDescent="0.2">
      <c r="A960" s="20"/>
      <c r="B960" s="20"/>
      <c r="C960" s="20"/>
    </row>
    <row r="961" spans="1:3" x14ac:dyDescent="0.2">
      <c r="A961" s="20"/>
      <c r="B961" s="20"/>
      <c r="C961" s="20"/>
    </row>
    <row r="962" spans="1:3" x14ac:dyDescent="0.2">
      <c r="A962" s="20"/>
      <c r="B962" s="20"/>
      <c r="C962" s="20"/>
    </row>
    <row r="963" spans="1:3" x14ac:dyDescent="0.2">
      <c r="A963" s="20"/>
      <c r="B963" s="20"/>
      <c r="C963" s="20"/>
    </row>
    <row r="964" spans="1:3" x14ac:dyDescent="0.2">
      <c r="A964" s="20"/>
      <c r="B964" s="20"/>
      <c r="C964" s="20"/>
    </row>
    <row r="965" spans="1:3" x14ac:dyDescent="0.2">
      <c r="A965" s="20"/>
      <c r="B965" s="20"/>
      <c r="C965" s="20"/>
    </row>
    <row r="966" spans="1:3" x14ac:dyDescent="0.2">
      <c r="A966" s="20"/>
      <c r="B966" s="20"/>
      <c r="C966" s="20"/>
    </row>
    <row r="967" spans="1:3" x14ac:dyDescent="0.2">
      <c r="A967" s="20"/>
      <c r="B967" s="20"/>
      <c r="C967" s="20"/>
    </row>
    <row r="968" spans="1:3" x14ac:dyDescent="0.2">
      <c r="A968" s="20"/>
      <c r="B968" s="20"/>
      <c r="C968" s="20"/>
    </row>
    <row r="969" spans="1:3" x14ac:dyDescent="0.2">
      <c r="A969" s="20"/>
      <c r="B969" s="20"/>
      <c r="C969" s="20"/>
    </row>
    <row r="970" spans="1:3" x14ac:dyDescent="0.2">
      <c r="A970" s="20"/>
      <c r="B970" s="20"/>
      <c r="C970" s="20"/>
    </row>
    <row r="971" spans="1:3" x14ac:dyDescent="0.2">
      <c r="A971" s="20"/>
      <c r="B971" s="20"/>
      <c r="C971" s="20"/>
    </row>
    <row r="972" spans="1:3" x14ac:dyDescent="0.2">
      <c r="A972" s="20"/>
      <c r="B972" s="20"/>
      <c r="C972" s="20"/>
    </row>
    <row r="973" spans="1:3" x14ac:dyDescent="0.2">
      <c r="A973" s="20"/>
      <c r="B973" s="20"/>
      <c r="C973" s="20"/>
    </row>
    <row r="974" spans="1:3" x14ac:dyDescent="0.2">
      <c r="A974" s="20"/>
      <c r="B974" s="20"/>
      <c r="C974" s="20"/>
    </row>
    <row r="975" spans="1:3" x14ac:dyDescent="0.2">
      <c r="A975" s="20"/>
      <c r="B975" s="20"/>
      <c r="C975" s="20"/>
    </row>
    <row r="976" spans="1:3" x14ac:dyDescent="0.2">
      <c r="A976" s="20"/>
      <c r="B976" s="20"/>
      <c r="C976" s="20"/>
    </row>
    <row r="977" spans="1:3" x14ac:dyDescent="0.2">
      <c r="A977" s="20"/>
      <c r="B977" s="20"/>
      <c r="C977" s="20"/>
    </row>
    <row r="978" spans="1:3" x14ac:dyDescent="0.2">
      <c r="A978" s="20"/>
      <c r="B978" s="20"/>
      <c r="C978" s="20"/>
    </row>
    <row r="979" spans="1:3" x14ac:dyDescent="0.2">
      <c r="A979" s="20"/>
      <c r="B979" s="20"/>
      <c r="C979" s="20"/>
    </row>
    <row r="980" spans="1:3" x14ac:dyDescent="0.2">
      <c r="A980" s="20"/>
      <c r="B980" s="20"/>
      <c r="C980" s="20"/>
    </row>
    <row r="981" spans="1:3" x14ac:dyDescent="0.2">
      <c r="A981" s="20"/>
      <c r="B981" s="20"/>
      <c r="C981" s="20"/>
    </row>
    <row r="982" spans="1:3" x14ac:dyDescent="0.2">
      <c r="A982" s="20"/>
      <c r="B982" s="20"/>
      <c r="C982" s="20"/>
    </row>
    <row r="983" spans="1:3" x14ac:dyDescent="0.2">
      <c r="A983" s="20"/>
      <c r="B983" s="20"/>
      <c r="C983" s="20"/>
    </row>
    <row r="984" spans="1:3" x14ac:dyDescent="0.2">
      <c r="A984" s="20"/>
      <c r="B984" s="20"/>
      <c r="C984" s="20"/>
    </row>
    <row r="985" spans="1:3" x14ac:dyDescent="0.2">
      <c r="A985" s="20"/>
      <c r="B985" s="20"/>
      <c r="C985" s="20"/>
    </row>
    <row r="986" spans="1:3" x14ac:dyDescent="0.2">
      <c r="A986" s="20"/>
      <c r="B986" s="20"/>
      <c r="C986" s="20"/>
    </row>
    <row r="987" spans="1:3" x14ac:dyDescent="0.2">
      <c r="A987" s="20"/>
      <c r="B987" s="20"/>
      <c r="C987" s="20"/>
    </row>
    <row r="988" spans="1:3" x14ac:dyDescent="0.2">
      <c r="A988" s="20"/>
      <c r="B988" s="20"/>
      <c r="C988" s="20"/>
    </row>
    <row r="989" spans="1:3" x14ac:dyDescent="0.2">
      <c r="A989" s="20"/>
      <c r="B989" s="20"/>
      <c r="C989" s="20"/>
    </row>
    <row r="990" spans="1:3" x14ac:dyDescent="0.2">
      <c r="A990" s="20"/>
      <c r="B990" s="20"/>
      <c r="C990" s="20"/>
    </row>
    <row r="991" spans="1:3" x14ac:dyDescent="0.2">
      <c r="A991" s="20"/>
      <c r="B991" s="20"/>
      <c r="C991" s="20"/>
    </row>
    <row r="992" spans="1:3" x14ac:dyDescent="0.2">
      <c r="A992" s="20"/>
      <c r="B992" s="20"/>
      <c r="C992" s="20"/>
    </row>
    <row r="993" spans="1:3" x14ac:dyDescent="0.2">
      <c r="A993" s="20"/>
      <c r="B993" s="20"/>
      <c r="C993" s="20"/>
    </row>
    <row r="994" spans="1:3" x14ac:dyDescent="0.2">
      <c r="A994" s="20"/>
      <c r="B994" s="20"/>
      <c r="C994" s="20"/>
    </row>
    <row r="995" spans="1:3" x14ac:dyDescent="0.2">
      <c r="A995" s="20"/>
      <c r="B995" s="20"/>
      <c r="C995" s="20"/>
    </row>
    <row r="996" spans="1:3" x14ac:dyDescent="0.2">
      <c r="A996" s="20"/>
      <c r="B996" s="20"/>
      <c r="C996" s="20"/>
    </row>
    <row r="997" spans="1:3" x14ac:dyDescent="0.2">
      <c r="A997" s="20"/>
      <c r="B997" s="20"/>
      <c r="C997" s="20"/>
    </row>
    <row r="998" spans="1:3" x14ac:dyDescent="0.2">
      <c r="A998" s="20"/>
      <c r="B998" s="20"/>
      <c r="C998" s="20"/>
    </row>
    <row r="999" spans="1:3" x14ac:dyDescent="0.2">
      <c r="A999" s="20"/>
      <c r="B999" s="20"/>
      <c r="C999" s="20"/>
    </row>
    <row r="1000" spans="1:3" x14ac:dyDescent="0.2">
      <c r="A1000" s="20"/>
      <c r="B1000" s="20"/>
      <c r="C1000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01F6-4C49-4925-B9E3-2245BE638100}">
  <dimension ref="A1:F1000"/>
  <sheetViews>
    <sheetView zoomScale="70" zoomScaleNormal="70" workbookViewId="0">
      <selection activeCell="I30" sqref="I30"/>
    </sheetView>
  </sheetViews>
  <sheetFormatPr defaultRowHeight="12.75" x14ac:dyDescent="0.2"/>
  <cols>
    <col min="1" max="1" width="4.5703125" bestFit="1" customWidth="1"/>
    <col min="2" max="2" width="8.140625" bestFit="1" customWidth="1"/>
    <col min="3" max="3" width="16.28515625" customWidth="1"/>
    <col min="4" max="4" width="15.7109375" customWidth="1"/>
    <col min="5" max="5" width="20.85546875" bestFit="1" customWidth="1"/>
    <col min="6" max="6" width="13.85546875" customWidth="1"/>
  </cols>
  <sheetData>
    <row r="1" spans="1:6" ht="15" x14ac:dyDescent="0.25">
      <c r="A1" s="13" t="s">
        <v>614</v>
      </c>
      <c r="B1" s="13" t="s">
        <v>615</v>
      </c>
      <c r="C1" s="13" t="s">
        <v>677</v>
      </c>
      <c r="D1" s="13" t="s">
        <v>747</v>
      </c>
      <c r="E1" s="27" t="s">
        <v>748</v>
      </c>
      <c r="F1" s="28" t="s">
        <v>749</v>
      </c>
    </row>
    <row r="2" spans="1:6" ht="15" x14ac:dyDescent="0.25">
      <c r="A2" s="14" t="s">
        <v>625</v>
      </c>
      <c r="B2" s="14" t="s">
        <v>626</v>
      </c>
      <c r="C2" s="14" t="s">
        <v>692</v>
      </c>
      <c r="D2" s="16">
        <v>2.2999999999999998</v>
      </c>
      <c r="E2">
        <v>28</v>
      </c>
      <c r="F2">
        <f>E2-D2</f>
        <v>25.7</v>
      </c>
    </row>
    <row r="3" spans="1:6" ht="15" x14ac:dyDescent="0.25">
      <c r="A3" s="14" t="s">
        <v>625</v>
      </c>
      <c r="B3" s="14" t="s">
        <v>626</v>
      </c>
      <c r="C3" s="14" t="s">
        <v>693</v>
      </c>
      <c r="D3" s="16">
        <v>2.2999999999999998</v>
      </c>
      <c r="E3">
        <v>27.4</v>
      </c>
      <c r="F3">
        <f t="shared" ref="F3:F66" si="0">E3-D3</f>
        <v>25.099999999999998</v>
      </c>
    </row>
    <row r="4" spans="1:6" ht="15" x14ac:dyDescent="0.25">
      <c r="A4" s="14" t="s">
        <v>625</v>
      </c>
      <c r="B4" s="14" t="s">
        <v>627</v>
      </c>
      <c r="C4" s="14" t="s">
        <v>692</v>
      </c>
      <c r="D4" s="16">
        <v>2.2999999999999998</v>
      </c>
      <c r="E4">
        <v>27.4</v>
      </c>
      <c r="F4">
        <f t="shared" si="0"/>
        <v>25.099999999999998</v>
      </c>
    </row>
    <row r="5" spans="1:6" ht="15" x14ac:dyDescent="0.25">
      <c r="A5" s="14" t="s">
        <v>625</v>
      </c>
      <c r="B5" s="14" t="s">
        <v>627</v>
      </c>
      <c r="C5" s="14" t="s">
        <v>693</v>
      </c>
      <c r="D5" s="16">
        <v>2.2999999999999998</v>
      </c>
      <c r="E5">
        <v>27.7</v>
      </c>
      <c r="F5">
        <f t="shared" si="0"/>
        <v>25.4</v>
      </c>
    </row>
    <row r="6" spans="1:6" ht="15" x14ac:dyDescent="0.25">
      <c r="A6" s="14" t="s">
        <v>625</v>
      </c>
      <c r="B6" s="14" t="s">
        <v>628</v>
      </c>
      <c r="C6" s="14" t="s">
        <v>692</v>
      </c>
      <c r="D6" s="16">
        <v>2.2999999999999998</v>
      </c>
      <c r="E6">
        <v>27.5</v>
      </c>
      <c r="F6">
        <f t="shared" si="0"/>
        <v>25.2</v>
      </c>
    </row>
    <row r="7" spans="1:6" ht="15" x14ac:dyDescent="0.25">
      <c r="A7" s="14" t="s">
        <v>625</v>
      </c>
      <c r="B7" s="14" t="s">
        <v>628</v>
      </c>
      <c r="C7" s="14" t="s">
        <v>693</v>
      </c>
      <c r="D7" s="16">
        <v>2.2000000000000002</v>
      </c>
      <c r="E7">
        <v>27.7</v>
      </c>
      <c r="F7">
        <f t="shared" si="0"/>
        <v>25.5</v>
      </c>
    </row>
    <row r="8" spans="1:6" ht="15" x14ac:dyDescent="0.25">
      <c r="A8" s="14" t="s">
        <v>625</v>
      </c>
      <c r="B8" s="14" t="s">
        <v>629</v>
      </c>
      <c r="C8" s="14" t="s">
        <v>692</v>
      </c>
      <c r="D8" s="16">
        <v>2.2999999999999998</v>
      </c>
      <c r="E8">
        <v>27.5</v>
      </c>
      <c r="F8">
        <f t="shared" si="0"/>
        <v>25.2</v>
      </c>
    </row>
    <row r="9" spans="1:6" ht="15" x14ac:dyDescent="0.25">
      <c r="A9" s="14" t="s">
        <v>625</v>
      </c>
      <c r="B9" s="14" t="s">
        <v>629</v>
      </c>
      <c r="C9" s="14" t="s">
        <v>693</v>
      </c>
      <c r="D9" s="16">
        <v>2.2999999999999998</v>
      </c>
      <c r="E9">
        <v>27.7</v>
      </c>
      <c r="F9">
        <f t="shared" si="0"/>
        <v>25.4</v>
      </c>
    </row>
    <row r="10" spans="1:6" ht="15" x14ac:dyDescent="0.25">
      <c r="A10" s="14" t="s">
        <v>625</v>
      </c>
      <c r="B10" s="14" t="s">
        <v>630</v>
      </c>
      <c r="C10" s="14" t="s">
        <v>692</v>
      </c>
      <c r="D10" s="16">
        <v>2.2999999999999998</v>
      </c>
      <c r="E10">
        <v>27.6</v>
      </c>
      <c r="F10">
        <f t="shared" si="0"/>
        <v>25.3</v>
      </c>
    </row>
    <row r="11" spans="1:6" ht="15" x14ac:dyDescent="0.25">
      <c r="A11" s="14" t="s">
        <v>625</v>
      </c>
      <c r="B11" s="14" t="s">
        <v>630</v>
      </c>
      <c r="C11" s="14" t="s">
        <v>693</v>
      </c>
      <c r="D11" s="16">
        <v>2.2000000000000002</v>
      </c>
      <c r="E11">
        <v>27.5</v>
      </c>
      <c r="F11">
        <f t="shared" si="0"/>
        <v>25.3</v>
      </c>
    </row>
    <row r="12" spans="1:6" ht="15" x14ac:dyDescent="0.25">
      <c r="A12" s="14" t="s">
        <v>631</v>
      </c>
      <c r="B12" s="14" t="s">
        <v>626</v>
      </c>
      <c r="C12" s="14" t="s">
        <v>692</v>
      </c>
      <c r="D12" s="16">
        <v>2.2000000000000002</v>
      </c>
      <c r="E12">
        <v>27.6</v>
      </c>
      <c r="F12">
        <f t="shared" si="0"/>
        <v>25.400000000000002</v>
      </c>
    </row>
    <row r="13" spans="1:6" ht="15" x14ac:dyDescent="0.25">
      <c r="A13" s="14" t="s">
        <v>631</v>
      </c>
      <c r="B13" s="14" t="s">
        <v>626</v>
      </c>
      <c r="C13" s="14" t="s">
        <v>693</v>
      </c>
      <c r="D13" s="16">
        <v>2.2999999999999998</v>
      </c>
      <c r="E13">
        <v>27.9</v>
      </c>
      <c r="F13">
        <f t="shared" si="0"/>
        <v>25.599999999999998</v>
      </c>
    </row>
    <row r="14" spans="1:6" ht="15" x14ac:dyDescent="0.25">
      <c r="A14" s="14" t="s">
        <v>631</v>
      </c>
      <c r="B14" s="14" t="s">
        <v>627</v>
      </c>
      <c r="C14" s="14" t="s">
        <v>692</v>
      </c>
      <c r="D14" s="16">
        <v>2.2999999999999998</v>
      </c>
      <c r="E14">
        <v>27.7</v>
      </c>
      <c r="F14">
        <f t="shared" si="0"/>
        <v>25.4</v>
      </c>
    </row>
    <row r="15" spans="1:6" ht="15" x14ac:dyDescent="0.25">
      <c r="A15" s="14" t="s">
        <v>631</v>
      </c>
      <c r="B15" s="14" t="s">
        <v>627</v>
      </c>
      <c r="C15" s="14" t="s">
        <v>693</v>
      </c>
      <c r="D15" s="16">
        <v>2.2999999999999998</v>
      </c>
      <c r="E15">
        <v>27.6</v>
      </c>
      <c r="F15">
        <f t="shared" si="0"/>
        <v>25.3</v>
      </c>
    </row>
    <row r="16" spans="1:6" ht="15" x14ac:dyDescent="0.25">
      <c r="A16" s="14" t="s">
        <v>631</v>
      </c>
      <c r="B16" s="14" t="s">
        <v>628</v>
      </c>
      <c r="C16" s="14" t="s">
        <v>692</v>
      </c>
      <c r="D16" s="16">
        <v>2.2999999999999998</v>
      </c>
      <c r="E16">
        <v>27.7</v>
      </c>
      <c r="F16">
        <f t="shared" si="0"/>
        <v>25.4</v>
      </c>
    </row>
    <row r="17" spans="1:6" ht="15" x14ac:dyDescent="0.25">
      <c r="A17" s="14" t="s">
        <v>631</v>
      </c>
      <c r="B17" s="14" t="s">
        <v>628</v>
      </c>
      <c r="C17" s="14" t="s">
        <v>693</v>
      </c>
      <c r="D17" s="16">
        <v>2.2999999999999998</v>
      </c>
      <c r="E17">
        <v>27.6</v>
      </c>
      <c r="F17">
        <f t="shared" si="0"/>
        <v>25.3</v>
      </c>
    </row>
    <row r="18" spans="1:6" ht="15" x14ac:dyDescent="0.25">
      <c r="A18" s="14" t="s">
        <v>631</v>
      </c>
      <c r="B18" s="14" t="s">
        <v>629</v>
      </c>
      <c r="C18" s="14" t="s">
        <v>692</v>
      </c>
      <c r="D18" s="16">
        <v>2.2999999999999998</v>
      </c>
      <c r="E18">
        <v>27.5</v>
      </c>
      <c r="F18">
        <f t="shared" si="0"/>
        <v>25.2</v>
      </c>
    </row>
    <row r="19" spans="1:6" ht="15" x14ac:dyDescent="0.25">
      <c r="A19" s="14" t="s">
        <v>631</v>
      </c>
      <c r="B19" s="14" t="s">
        <v>629</v>
      </c>
      <c r="C19" s="14" t="s">
        <v>693</v>
      </c>
      <c r="D19" s="16">
        <v>2.2999999999999998</v>
      </c>
      <c r="E19">
        <v>27.6</v>
      </c>
      <c r="F19">
        <f t="shared" si="0"/>
        <v>25.3</v>
      </c>
    </row>
    <row r="20" spans="1:6" ht="15" x14ac:dyDescent="0.25">
      <c r="A20" s="14" t="s">
        <v>631</v>
      </c>
      <c r="B20" s="14" t="s">
        <v>630</v>
      </c>
      <c r="C20" s="14" t="s">
        <v>692</v>
      </c>
      <c r="D20" s="16">
        <v>2.2999999999999998</v>
      </c>
      <c r="E20">
        <v>27.9</v>
      </c>
      <c r="F20">
        <f t="shared" si="0"/>
        <v>25.599999999999998</v>
      </c>
    </row>
    <row r="21" spans="1:6" ht="15" x14ac:dyDescent="0.25">
      <c r="A21" s="14" t="s">
        <v>631</v>
      </c>
      <c r="B21" s="14" t="s">
        <v>630</v>
      </c>
      <c r="C21" s="14" t="s">
        <v>693</v>
      </c>
      <c r="D21" s="16">
        <v>2.2999999999999998</v>
      </c>
      <c r="E21">
        <v>27.7</v>
      </c>
      <c r="F21">
        <f t="shared" si="0"/>
        <v>25.4</v>
      </c>
    </row>
    <row r="22" spans="1:6" ht="15" x14ac:dyDescent="0.25">
      <c r="A22" s="14" t="s">
        <v>632</v>
      </c>
      <c r="B22" s="14" t="s">
        <v>626</v>
      </c>
      <c r="C22" s="14" t="s">
        <v>692</v>
      </c>
      <c r="D22" s="16">
        <v>2.2999999999999998</v>
      </c>
      <c r="E22">
        <v>27.6</v>
      </c>
      <c r="F22">
        <f t="shared" si="0"/>
        <v>25.3</v>
      </c>
    </row>
    <row r="23" spans="1:6" ht="15" x14ac:dyDescent="0.25">
      <c r="A23" s="14" t="s">
        <v>632</v>
      </c>
      <c r="B23" s="14" t="s">
        <v>626</v>
      </c>
      <c r="C23" s="14" t="s">
        <v>693</v>
      </c>
      <c r="D23" s="16">
        <v>2.2999999999999998</v>
      </c>
      <c r="E23">
        <v>27.4</v>
      </c>
      <c r="F23">
        <f t="shared" si="0"/>
        <v>25.099999999999998</v>
      </c>
    </row>
    <row r="24" spans="1:6" ht="15" x14ac:dyDescent="0.25">
      <c r="A24" s="14" t="s">
        <v>632</v>
      </c>
      <c r="B24" s="14" t="s">
        <v>627</v>
      </c>
      <c r="C24" s="14" t="s">
        <v>692</v>
      </c>
      <c r="D24" s="16">
        <v>2.2999999999999998</v>
      </c>
      <c r="E24">
        <v>27.3</v>
      </c>
      <c r="F24">
        <f t="shared" si="0"/>
        <v>25</v>
      </c>
    </row>
    <row r="25" spans="1:6" ht="15" x14ac:dyDescent="0.25">
      <c r="A25" s="14" t="s">
        <v>632</v>
      </c>
      <c r="B25" s="14" t="s">
        <v>627</v>
      </c>
      <c r="C25" s="14" t="s">
        <v>693</v>
      </c>
      <c r="D25" s="16">
        <v>2.2000000000000002</v>
      </c>
      <c r="E25">
        <v>27.4</v>
      </c>
      <c r="F25">
        <f t="shared" si="0"/>
        <v>25.2</v>
      </c>
    </row>
    <row r="26" spans="1:6" ht="15" x14ac:dyDescent="0.25">
      <c r="A26" s="14" t="s">
        <v>632</v>
      </c>
      <c r="B26" s="14" t="s">
        <v>628</v>
      </c>
      <c r="C26" s="14" t="s">
        <v>692</v>
      </c>
      <c r="D26" s="16">
        <v>2.2999999999999998</v>
      </c>
      <c r="E26">
        <v>27.3</v>
      </c>
      <c r="F26">
        <f t="shared" si="0"/>
        <v>25</v>
      </c>
    </row>
    <row r="27" spans="1:6" ht="15" x14ac:dyDescent="0.25">
      <c r="A27" s="14" t="s">
        <v>632</v>
      </c>
      <c r="B27" s="14" t="s">
        <v>628</v>
      </c>
      <c r="C27" s="14" t="s">
        <v>693</v>
      </c>
      <c r="D27" s="16">
        <v>2.2999999999999998</v>
      </c>
      <c r="E27">
        <v>27.3</v>
      </c>
      <c r="F27">
        <f t="shared" si="0"/>
        <v>25</v>
      </c>
    </row>
    <row r="28" spans="1:6" ht="15" x14ac:dyDescent="0.25">
      <c r="A28" s="14" t="s">
        <v>632</v>
      </c>
      <c r="B28" s="14" t="s">
        <v>629</v>
      </c>
      <c r="C28" s="14" t="s">
        <v>692</v>
      </c>
      <c r="D28" s="16">
        <v>2.2000000000000002</v>
      </c>
      <c r="E28">
        <v>27.5</v>
      </c>
      <c r="F28">
        <f t="shared" si="0"/>
        <v>25.3</v>
      </c>
    </row>
    <row r="29" spans="1:6" ht="15" x14ac:dyDescent="0.25">
      <c r="A29" s="14" t="s">
        <v>632</v>
      </c>
      <c r="B29" s="14" t="s">
        <v>629</v>
      </c>
      <c r="C29" s="14" t="s">
        <v>693</v>
      </c>
      <c r="D29" s="16">
        <v>2.2999999999999998</v>
      </c>
      <c r="E29">
        <v>27.5</v>
      </c>
      <c r="F29">
        <f t="shared" si="0"/>
        <v>25.2</v>
      </c>
    </row>
    <row r="30" spans="1:6" ht="15" x14ac:dyDescent="0.25">
      <c r="A30" s="14" t="s">
        <v>632</v>
      </c>
      <c r="B30" s="14" t="s">
        <v>630</v>
      </c>
      <c r="C30" s="14" t="s">
        <v>692</v>
      </c>
      <c r="D30" s="16">
        <v>2.2000000000000002</v>
      </c>
      <c r="E30">
        <v>27.7</v>
      </c>
      <c r="F30">
        <f t="shared" si="0"/>
        <v>25.5</v>
      </c>
    </row>
    <row r="31" spans="1:6" ht="15" x14ac:dyDescent="0.25">
      <c r="A31" s="14" t="s">
        <v>632</v>
      </c>
      <c r="B31" s="14" t="s">
        <v>630</v>
      </c>
      <c r="C31" s="14" t="s">
        <v>693</v>
      </c>
      <c r="D31" s="16">
        <v>2.2000000000000002</v>
      </c>
      <c r="E31">
        <v>27.7</v>
      </c>
      <c r="F31">
        <f t="shared" si="0"/>
        <v>25.5</v>
      </c>
    </row>
    <row r="32" spans="1:6" ht="15" x14ac:dyDescent="0.25">
      <c r="A32" s="14" t="s">
        <v>633</v>
      </c>
      <c r="B32" s="14" t="s">
        <v>626</v>
      </c>
      <c r="C32" s="14" t="s">
        <v>692</v>
      </c>
      <c r="D32" s="16">
        <v>2.2000000000000002</v>
      </c>
      <c r="E32">
        <v>27.5</v>
      </c>
      <c r="F32">
        <f t="shared" si="0"/>
        <v>25.3</v>
      </c>
    </row>
    <row r="33" spans="1:6" ht="15" x14ac:dyDescent="0.25">
      <c r="A33" s="14" t="s">
        <v>633</v>
      </c>
      <c r="B33" s="14" t="s">
        <v>626</v>
      </c>
      <c r="C33" s="14" t="s">
        <v>693</v>
      </c>
      <c r="D33" s="16">
        <v>2.2000000000000002</v>
      </c>
      <c r="E33">
        <v>27.4</v>
      </c>
      <c r="F33">
        <f t="shared" si="0"/>
        <v>25.2</v>
      </c>
    </row>
    <row r="34" spans="1:6" ht="15" x14ac:dyDescent="0.25">
      <c r="A34" s="14" t="s">
        <v>633</v>
      </c>
      <c r="B34" s="14" t="s">
        <v>627</v>
      </c>
      <c r="C34" s="14" t="s">
        <v>692</v>
      </c>
      <c r="D34" s="16">
        <v>2.2999999999999998</v>
      </c>
      <c r="E34">
        <v>27.4</v>
      </c>
      <c r="F34">
        <f t="shared" si="0"/>
        <v>25.099999999999998</v>
      </c>
    </row>
    <row r="35" spans="1:6" ht="15" x14ac:dyDescent="0.25">
      <c r="A35" s="14" t="s">
        <v>633</v>
      </c>
      <c r="B35" s="14" t="s">
        <v>627</v>
      </c>
      <c r="C35" s="14" t="s">
        <v>693</v>
      </c>
      <c r="D35" s="16">
        <v>2.2999999999999998</v>
      </c>
      <c r="E35">
        <v>27.3</v>
      </c>
      <c r="F35">
        <f t="shared" si="0"/>
        <v>25</v>
      </c>
    </row>
    <row r="36" spans="1:6" ht="15" x14ac:dyDescent="0.25">
      <c r="A36" s="14" t="s">
        <v>633</v>
      </c>
      <c r="B36" s="14" t="s">
        <v>628</v>
      </c>
      <c r="C36" s="14" t="s">
        <v>692</v>
      </c>
      <c r="D36" s="16">
        <v>2.2999999999999998</v>
      </c>
      <c r="E36">
        <v>27.4</v>
      </c>
      <c r="F36">
        <f t="shared" si="0"/>
        <v>25.099999999999998</v>
      </c>
    </row>
    <row r="37" spans="1:6" ht="15" x14ac:dyDescent="0.25">
      <c r="A37" s="14" t="s">
        <v>633</v>
      </c>
      <c r="B37" s="14" t="s">
        <v>628</v>
      </c>
      <c r="C37" s="14" t="s">
        <v>693</v>
      </c>
      <c r="D37" s="16">
        <v>2.2999999999999998</v>
      </c>
      <c r="E37">
        <v>27.7</v>
      </c>
      <c r="F37">
        <f t="shared" si="0"/>
        <v>25.4</v>
      </c>
    </row>
    <row r="38" spans="1:6" ht="15" x14ac:dyDescent="0.25">
      <c r="A38" s="14" t="s">
        <v>633</v>
      </c>
      <c r="B38" s="14" t="s">
        <v>629</v>
      </c>
      <c r="C38" s="14" t="s">
        <v>692</v>
      </c>
      <c r="D38" s="16">
        <v>2.2999999999999998</v>
      </c>
      <c r="E38">
        <v>28.1</v>
      </c>
      <c r="F38">
        <f t="shared" si="0"/>
        <v>25.8</v>
      </c>
    </row>
    <row r="39" spans="1:6" ht="15" x14ac:dyDescent="0.25">
      <c r="A39" s="14" t="s">
        <v>633</v>
      </c>
      <c r="B39" s="14" t="s">
        <v>629</v>
      </c>
      <c r="C39" s="14" t="s">
        <v>693</v>
      </c>
      <c r="D39" s="16">
        <v>2.2999999999999998</v>
      </c>
      <c r="E39">
        <v>27.3</v>
      </c>
      <c r="F39">
        <f t="shared" si="0"/>
        <v>25</v>
      </c>
    </row>
    <row r="40" spans="1:6" ht="15" x14ac:dyDescent="0.25">
      <c r="A40" s="14" t="s">
        <v>633</v>
      </c>
      <c r="B40" s="14" t="s">
        <v>630</v>
      </c>
      <c r="C40" s="14" t="s">
        <v>692</v>
      </c>
      <c r="D40" s="16">
        <v>2.2999999999999998</v>
      </c>
      <c r="E40">
        <v>27.3</v>
      </c>
      <c r="F40">
        <f t="shared" si="0"/>
        <v>25</v>
      </c>
    </row>
    <row r="41" spans="1:6" ht="15" x14ac:dyDescent="0.25">
      <c r="A41" s="14" t="s">
        <v>633</v>
      </c>
      <c r="B41" s="14" t="s">
        <v>630</v>
      </c>
      <c r="C41" s="14" t="s">
        <v>693</v>
      </c>
      <c r="D41" s="16">
        <v>2.2999999999999998</v>
      </c>
      <c r="E41">
        <v>27.3</v>
      </c>
      <c r="F41">
        <f t="shared" si="0"/>
        <v>25</v>
      </c>
    </row>
    <row r="42" spans="1:6" ht="15" x14ac:dyDescent="0.25">
      <c r="A42" s="14" t="s">
        <v>634</v>
      </c>
      <c r="B42" s="14" t="s">
        <v>626</v>
      </c>
      <c r="C42" s="14" t="s">
        <v>692</v>
      </c>
      <c r="D42" s="16">
        <v>2.2999999999999998</v>
      </c>
      <c r="E42">
        <v>27.5</v>
      </c>
      <c r="F42">
        <f t="shared" si="0"/>
        <v>25.2</v>
      </c>
    </row>
    <row r="43" spans="1:6" ht="15" x14ac:dyDescent="0.25">
      <c r="A43" s="14" t="s">
        <v>634</v>
      </c>
      <c r="B43" s="14" t="s">
        <v>626</v>
      </c>
      <c r="C43" s="14" t="s">
        <v>693</v>
      </c>
      <c r="D43" s="16">
        <v>2.2999999999999998</v>
      </c>
      <c r="E43">
        <v>27.5</v>
      </c>
      <c r="F43">
        <f t="shared" si="0"/>
        <v>25.2</v>
      </c>
    </row>
    <row r="44" spans="1:6" ht="15" x14ac:dyDescent="0.25">
      <c r="A44" s="14" t="s">
        <v>634</v>
      </c>
      <c r="B44" s="14" t="s">
        <v>627</v>
      </c>
      <c r="C44" s="14" t="s">
        <v>692</v>
      </c>
      <c r="D44" s="16">
        <v>2.2999999999999998</v>
      </c>
      <c r="E44">
        <v>27.5</v>
      </c>
      <c r="F44">
        <f t="shared" si="0"/>
        <v>25.2</v>
      </c>
    </row>
    <row r="45" spans="1:6" ht="15" x14ac:dyDescent="0.25">
      <c r="A45" s="14" t="s">
        <v>634</v>
      </c>
      <c r="B45" s="14" t="s">
        <v>627</v>
      </c>
      <c r="C45" s="14" t="s">
        <v>693</v>
      </c>
      <c r="D45" s="16">
        <v>2.2999999999999998</v>
      </c>
      <c r="E45">
        <v>27.6</v>
      </c>
      <c r="F45">
        <f t="shared" si="0"/>
        <v>25.3</v>
      </c>
    </row>
    <row r="46" spans="1:6" ht="15" x14ac:dyDescent="0.25">
      <c r="A46" s="14" t="s">
        <v>634</v>
      </c>
      <c r="B46" s="14" t="s">
        <v>628</v>
      </c>
      <c r="C46" s="14" t="s">
        <v>692</v>
      </c>
      <c r="D46" s="16">
        <v>2.2999999999999998</v>
      </c>
      <c r="E46">
        <v>27.3</v>
      </c>
      <c r="F46">
        <f t="shared" si="0"/>
        <v>25</v>
      </c>
    </row>
    <row r="47" spans="1:6" ht="15" x14ac:dyDescent="0.25">
      <c r="A47" s="14" t="s">
        <v>634</v>
      </c>
      <c r="B47" s="14" t="s">
        <v>628</v>
      </c>
      <c r="C47" s="14" t="s">
        <v>693</v>
      </c>
      <c r="D47" s="16">
        <v>2.2999999999999998</v>
      </c>
      <c r="E47">
        <v>27.5</v>
      </c>
      <c r="F47">
        <f t="shared" si="0"/>
        <v>25.2</v>
      </c>
    </row>
    <row r="48" spans="1:6" ht="15" x14ac:dyDescent="0.25">
      <c r="A48" s="14" t="s">
        <v>634</v>
      </c>
      <c r="B48" s="14" t="s">
        <v>629</v>
      </c>
      <c r="C48" s="14" t="s">
        <v>692</v>
      </c>
      <c r="D48" s="16">
        <v>2.2999999999999998</v>
      </c>
      <c r="E48">
        <v>27.5</v>
      </c>
      <c r="F48">
        <f t="shared" si="0"/>
        <v>25.2</v>
      </c>
    </row>
    <row r="49" spans="1:6" ht="15" x14ac:dyDescent="0.25">
      <c r="A49" s="14" t="s">
        <v>634</v>
      </c>
      <c r="B49" s="14" t="s">
        <v>629</v>
      </c>
      <c r="C49" s="14" t="s">
        <v>693</v>
      </c>
      <c r="D49" s="16">
        <v>2.2999999999999998</v>
      </c>
      <c r="E49">
        <v>27.5</v>
      </c>
      <c r="F49">
        <f t="shared" si="0"/>
        <v>25.2</v>
      </c>
    </row>
    <row r="50" spans="1:6" ht="15" x14ac:dyDescent="0.25">
      <c r="A50" s="14" t="s">
        <v>634</v>
      </c>
      <c r="B50" s="14" t="s">
        <v>630</v>
      </c>
      <c r="C50" s="14" t="s">
        <v>692</v>
      </c>
      <c r="D50" s="16">
        <v>2.2999999999999998</v>
      </c>
      <c r="E50">
        <v>27.7</v>
      </c>
      <c r="F50">
        <f t="shared" si="0"/>
        <v>25.4</v>
      </c>
    </row>
    <row r="51" spans="1:6" ht="15" x14ac:dyDescent="0.25">
      <c r="A51" s="14" t="s">
        <v>634</v>
      </c>
      <c r="B51" s="14" t="s">
        <v>630</v>
      </c>
      <c r="C51" s="14" t="s">
        <v>693</v>
      </c>
      <c r="D51" s="16">
        <v>2.2999999999999998</v>
      </c>
      <c r="E51">
        <v>27.4</v>
      </c>
      <c r="F51">
        <f t="shared" si="0"/>
        <v>25.099999999999998</v>
      </c>
    </row>
    <row r="52" spans="1:6" ht="15" x14ac:dyDescent="0.25">
      <c r="A52" s="14" t="s">
        <v>635</v>
      </c>
      <c r="B52" s="14" t="s">
        <v>626</v>
      </c>
      <c r="C52" s="14" t="s">
        <v>692</v>
      </c>
      <c r="D52" s="16"/>
      <c r="F52">
        <f t="shared" si="0"/>
        <v>0</v>
      </c>
    </row>
    <row r="53" spans="1:6" ht="15" x14ac:dyDescent="0.25">
      <c r="A53" s="14" t="s">
        <v>635</v>
      </c>
      <c r="B53" s="14" t="s">
        <v>626</v>
      </c>
      <c r="C53" s="14" t="s">
        <v>693</v>
      </c>
      <c r="D53" s="16"/>
      <c r="F53">
        <f t="shared" si="0"/>
        <v>0</v>
      </c>
    </row>
    <row r="54" spans="1:6" ht="15" x14ac:dyDescent="0.25">
      <c r="A54" s="14" t="s">
        <v>635</v>
      </c>
      <c r="B54" s="14" t="s">
        <v>627</v>
      </c>
      <c r="C54" s="14" t="s">
        <v>692</v>
      </c>
      <c r="D54" s="16"/>
      <c r="F54">
        <f t="shared" si="0"/>
        <v>0</v>
      </c>
    </row>
    <row r="55" spans="1:6" ht="15" x14ac:dyDescent="0.25">
      <c r="A55" s="14" t="s">
        <v>635</v>
      </c>
      <c r="B55" s="14" t="s">
        <v>627</v>
      </c>
      <c r="C55" s="14" t="s">
        <v>693</v>
      </c>
      <c r="D55" s="16"/>
      <c r="F55">
        <f t="shared" si="0"/>
        <v>0</v>
      </c>
    </row>
    <row r="56" spans="1:6" ht="15" x14ac:dyDescent="0.25">
      <c r="A56" s="14" t="s">
        <v>635</v>
      </c>
      <c r="B56" s="14" t="s">
        <v>628</v>
      </c>
      <c r="C56" s="14" t="s">
        <v>692</v>
      </c>
      <c r="D56" s="16"/>
      <c r="F56">
        <f t="shared" si="0"/>
        <v>0</v>
      </c>
    </row>
    <row r="57" spans="1:6" ht="15" x14ac:dyDescent="0.25">
      <c r="A57" s="14" t="s">
        <v>635</v>
      </c>
      <c r="B57" s="14" t="s">
        <v>628</v>
      </c>
      <c r="C57" s="14" t="s">
        <v>693</v>
      </c>
      <c r="D57" s="16"/>
      <c r="F57">
        <f t="shared" si="0"/>
        <v>0</v>
      </c>
    </row>
    <row r="58" spans="1:6" ht="15" x14ac:dyDescent="0.25">
      <c r="A58" s="14" t="s">
        <v>635</v>
      </c>
      <c r="B58" s="14" t="s">
        <v>629</v>
      </c>
      <c r="C58" s="14" t="s">
        <v>692</v>
      </c>
      <c r="D58" s="16"/>
      <c r="F58">
        <f t="shared" si="0"/>
        <v>0</v>
      </c>
    </row>
    <row r="59" spans="1:6" ht="15" x14ac:dyDescent="0.25">
      <c r="A59" s="14" t="s">
        <v>635</v>
      </c>
      <c r="B59" s="14" t="s">
        <v>629</v>
      </c>
      <c r="C59" s="14" t="s">
        <v>693</v>
      </c>
      <c r="D59" s="16"/>
      <c r="F59">
        <f t="shared" si="0"/>
        <v>0</v>
      </c>
    </row>
    <row r="60" spans="1:6" ht="15" x14ac:dyDescent="0.25">
      <c r="A60" s="14" t="s">
        <v>635</v>
      </c>
      <c r="B60" s="14" t="s">
        <v>630</v>
      </c>
      <c r="C60" s="14" t="s">
        <v>692</v>
      </c>
      <c r="D60" s="16"/>
      <c r="F60">
        <f t="shared" si="0"/>
        <v>0</v>
      </c>
    </row>
    <row r="61" spans="1:6" ht="15" x14ac:dyDescent="0.25">
      <c r="A61" s="14" t="s">
        <v>635</v>
      </c>
      <c r="B61" s="14" t="s">
        <v>630</v>
      </c>
      <c r="C61" s="14" t="s">
        <v>693</v>
      </c>
      <c r="D61" s="16"/>
      <c r="F61">
        <f t="shared" si="0"/>
        <v>0</v>
      </c>
    </row>
    <row r="62" spans="1:6" ht="15" x14ac:dyDescent="0.25">
      <c r="A62" s="14" t="s">
        <v>636</v>
      </c>
      <c r="B62" s="14" t="s">
        <v>626</v>
      </c>
      <c r="C62" s="14" t="s">
        <v>692</v>
      </c>
      <c r="D62" s="16"/>
      <c r="F62">
        <f t="shared" si="0"/>
        <v>0</v>
      </c>
    </row>
    <row r="63" spans="1:6" ht="15" x14ac:dyDescent="0.25">
      <c r="A63" s="14" t="s">
        <v>636</v>
      </c>
      <c r="B63" s="14" t="s">
        <v>626</v>
      </c>
      <c r="C63" s="14" t="s">
        <v>693</v>
      </c>
      <c r="D63" s="16"/>
      <c r="F63">
        <f t="shared" si="0"/>
        <v>0</v>
      </c>
    </row>
    <row r="64" spans="1:6" ht="15" x14ac:dyDescent="0.25">
      <c r="A64" s="14" t="s">
        <v>636</v>
      </c>
      <c r="B64" s="14" t="s">
        <v>627</v>
      </c>
      <c r="C64" s="14" t="s">
        <v>692</v>
      </c>
      <c r="D64" s="16"/>
      <c r="F64">
        <f t="shared" si="0"/>
        <v>0</v>
      </c>
    </row>
    <row r="65" spans="1:6" ht="15" x14ac:dyDescent="0.25">
      <c r="A65" s="14" t="s">
        <v>636</v>
      </c>
      <c r="B65" s="14" t="s">
        <v>627</v>
      </c>
      <c r="C65" s="14" t="s">
        <v>693</v>
      </c>
      <c r="D65" s="16"/>
      <c r="F65">
        <f t="shared" si="0"/>
        <v>0</v>
      </c>
    </row>
    <row r="66" spans="1:6" ht="15" x14ac:dyDescent="0.25">
      <c r="A66" s="14" t="s">
        <v>636</v>
      </c>
      <c r="B66" s="14" t="s">
        <v>628</v>
      </c>
      <c r="C66" s="14" t="s">
        <v>692</v>
      </c>
      <c r="D66" s="16"/>
      <c r="F66">
        <f t="shared" si="0"/>
        <v>0</v>
      </c>
    </row>
    <row r="67" spans="1:6" ht="15" x14ac:dyDescent="0.25">
      <c r="A67" s="14" t="s">
        <v>636</v>
      </c>
      <c r="B67" s="14" t="s">
        <v>628</v>
      </c>
      <c r="C67" s="14" t="s">
        <v>693</v>
      </c>
      <c r="D67" s="16"/>
      <c r="F67">
        <f t="shared" ref="F67:F130" si="1">E67-D67</f>
        <v>0</v>
      </c>
    </row>
    <row r="68" spans="1:6" ht="15" x14ac:dyDescent="0.25">
      <c r="A68" s="14" t="s">
        <v>636</v>
      </c>
      <c r="B68" s="14" t="s">
        <v>629</v>
      </c>
      <c r="C68" s="14" t="s">
        <v>692</v>
      </c>
      <c r="D68" s="16"/>
      <c r="F68">
        <f t="shared" si="1"/>
        <v>0</v>
      </c>
    </row>
    <row r="69" spans="1:6" ht="15" x14ac:dyDescent="0.25">
      <c r="A69" s="14" t="s">
        <v>636</v>
      </c>
      <c r="B69" s="14" t="s">
        <v>629</v>
      </c>
      <c r="C69" s="14" t="s">
        <v>693</v>
      </c>
      <c r="D69" s="16"/>
      <c r="F69">
        <f t="shared" si="1"/>
        <v>0</v>
      </c>
    </row>
    <row r="70" spans="1:6" ht="15" x14ac:dyDescent="0.25">
      <c r="A70" s="14" t="s">
        <v>636</v>
      </c>
      <c r="B70" s="14" t="s">
        <v>630</v>
      </c>
      <c r="C70" s="14" t="s">
        <v>692</v>
      </c>
      <c r="D70" s="16"/>
      <c r="F70">
        <f t="shared" si="1"/>
        <v>0</v>
      </c>
    </row>
    <row r="71" spans="1:6" ht="15" x14ac:dyDescent="0.25">
      <c r="A71" s="14" t="s">
        <v>636</v>
      </c>
      <c r="B71" s="14" t="s">
        <v>630</v>
      </c>
      <c r="C71" s="14" t="s">
        <v>693</v>
      </c>
      <c r="D71" s="16"/>
      <c r="F71">
        <f t="shared" si="1"/>
        <v>0</v>
      </c>
    </row>
    <row r="72" spans="1:6" ht="15" x14ac:dyDescent="0.25">
      <c r="A72" s="14" t="s">
        <v>637</v>
      </c>
      <c r="B72" s="14" t="s">
        <v>626</v>
      </c>
      <c r="C72" s="14" t="s">
        <v>692</v>
      </c>
      <c r="D72" s="16"/>
      <c r="F72">
        <f t="shared" si="1"/>
        <v>0</v>
      </c>
    </row>
    <row r="73" spans="1:6" ht="15" x14ac:dyDescent="0.25">
      <c r="A73" s="14" t="s">
        <v>637</v>
      </c>
      <c r="B73" s="14" t="s">
        <v>626</v>
      </c>
      <c r="C73" s="14" t="s">
        <v>693</v>
      </c>
      <c r="D73" s="16"/>
      <c r="F73">
        <f t="shared" si="1"/>
        <v>0</v>
      </c>
    </row>
    <row r="74" spans="1:6" ht="15" x14ac:dyDescent="0.25">
      <c r="A74" s="14" t="s">
        <v>637</v>
      </c>
      <c r="B74" s="14" t="s">
        <v>627</v>
      </c>
      <c r="C74" s="14" t="s">
        <v>692</v>
      </c>
      <c r="D74" s="16"/>
      <c r="F74">
        <f t="shared" si="1"/>
        <v>0</v>
      </c>
    </row>
    <row r="75" spans="1:6" ht="15" x14ac:dyDescent="0.25">
      <c r="A75" s="14" t="s">
        <v>637</v>
      </c>
      <c r="B75" s="14" t="s">
        <v>627</v>
      </c>
      <c r="C75" s="14" t="s">
        <v>693</v>
      </c>
      <c r="D75" s="16"/>
      <c r="F75">
        <f t="shared" si="1"/>
        <v>0</v>
      </c>
    </row>
    <row r="76" spans="1:6" ht="15" x14ac:dyDescent="0.25">
      <c r="A76" s="14" t="s">
        <v>637</v>
      </c>
      <c r="B76" s="14" t="s">
        <v>628</v>
      </c>
      <c r="C76" s="14" t="s">
        <v>692</v>
      </c>
      <c r="D76" s="16"/>
      <c r="F76">
        <f t="shared" si="1"/>
        <v>0</v>
      </c>
    </row>
    <row r="77" spans="1:6" ht="15" x14ac:dyDescent="0.25">
      <c r="A77" s="14" t="s">
        <v>637</v>
      </c>
      <c r="B77" s="14" t="s">
        <v>628</v>
      </c>
      <c r="C77" s="14" t="s">
        <v>693</v>
      </c>
      <c r="D77" s="16"/>
      <c r="F77">
        <f t="shared" si="1"/>
        <v>0</v>
      </c>
    </row>
    <row r="78" spans="1:6" ht="15" x14ac:dyDescent="0.25">
      <c r="A78" s="14" t="s">
        <v>637</v>
      </c>
      <c r="B78" s="14" t="s">
        <v>629</v>
      </c>
      <c r="C78" s="14" t="s">
        <v>692</v>
      </c>
      <c r="D78" s="16"/>
      <c r="F78">
        <f t="shared" si="1"/>
        <v>0</v>
      </c>
    </row>
    <row r="79" spans="1:6" ht="15" x14ac:dyDescent="0.25">
      <c r="A79" s="14" t="s">
        <v>637</v>
      </c>
      <c r="B79" s="14" t="s">
        <v>629</v>
      </c>
      <c r="C79" s="14" t="s">
        <v>693</v>
      </c>
      <c r="D79" s="16"/>
      <c r="F79">
        <f t="shared" si="1"/>
        <v>0</v>
      </c>
    </row>
    <row r="80" spans="1:6" ht="15" x14ac:dyDescent="0.25">
      <c r="A80" s="14" t="s">
        <v>637</v>
      </c>
      <c r="B80" s="14" t="s">
        <v>630</v>
      </c>
      <c r="C80" s="14" t="s">
        <v>692</v>
      </c>
      <c r="D80" s="16"/>
      <c r="F80">
        <f t="shared" si="1"/>
        <v>0</v>
      </c>
    </row>
    <row r="81" spans="1:6" ht="15" x14ac:dyDescent="0.25">
      <c r="A81" s="14" t="s">
        <v>637</v>
      </c>
      <c r="B81" s="14" t="s">
        <v>630</v>
      </c>
      <c r="C81" s="14" t="s">
        <v>693</v>
      </c>
      <c r="D81" s="16"/>
      <c r="F81">
        <f t="shared" si="1"/>
        <v>0</v>
      </c>
    </row>
    <row r="82" spans="1:6" ht="15" x14ac:dyDescent="0.25">
      <c r="A82" s="14" t="s">
        <v>638</v>
      </c>
      <c r="B82" s="14" t="s">
        <v>626</v>
      </c>
      <c r="C82" s="14" t="s">
        <v>692</v>
      </c>
      <c r="D82" s="16"/>
      <c r="F82">
        <f t="shared" si="1"/>
        <v>0</v>
      </c>
    </row>
    <row r="83" spans="1:6" ht="15" x14ac:dyDescent="0.25">
      <c r="A83" s="14" t="s">
        <v>638</v>
      </c>
      <c r="B83" s="14" t="s">
        <v>626</v>
      </c>
      <c r="C83" s="14" t="s">
        <v>693</v>
      </c>
      <c r="D83" s="16"/>
      <c r="F83">
        <f t="shared" si="1"/>
        <v>0</v>
      </c>
    </row>
    <row r="84" spans="1:6" ht="15" x14ac:dyDescent="0.25">
      <c r="A84" s="14" t="s">
        <v>638</v>
      </c>
      <c r="B84" s="14" t="s">
        <v>627</v>
      </c>
      <c r="C84" s="14" t="s">
        <v>692</v>
      </c>
      <c r="D84" s="16"/>
      <c r="F84">
        <f t="shared" si="1"/>
        <v>0</v>
      </c>
    </row>
    <row r="85" spans="1:6" ht="15" x14ac:dyDescent="0.25">
      <c r="A85" s="14" t="s">
        <v>638</v>
      </c>
      <c r="B85" s="14" t="s">
        <v>627</v>
      </c>
      <c r="C85" s="14" t="s">
        <v>693</v>
      </c>
      <c r="D85" s="16"/>
      <c r="F85">
        <f t="shared" si="1"/>
        <v>0</v>
      </c>
    </row>
    <row r="86" spans="1:6" ht="15" x14ac:dyDescent="0.25">
      <c r="A86" s="14" t="s">
        <v>638</v>
      </c>
      <c r="B86" s="14" t="s">
        <v>628</v>
      </c>
      <c r="C86" s="14" t="s">
        <v>692</v>
      </c>
      <c r="D86" s="16"/>
      <c r="F86">
        <f t="shared" si="1"/>
        <v>0</v>
      </c>
    </row>
    <row r="87" spans="1:6" ht="15" x14ac:dyDescent="0.25">
      <c r="A87" s="14" t="s">
        <v>638</v>
      </c>
      <c r="B87" s="14" t="s">
        <v>628</v>
      </c>
      <c r="C87" s="14" t="s">
        <v>693</v>
      </c>
      <c r="D87" s="16"/>
      <c r="F87">
        <f t="shared" si="1"/>
        <v>0</v>
      </c>
    </row>
    <row r="88" spans="1:6" ht="15" x14ac:dyDescent="0.25">
      <c r="A88" s="14" t="s">
        <v>638</v>
      </c>
      <c r="B88" s="14" t="s">
        <v>629</v>
      </c>
      <c r="C88" s="14" t="s">
        <v>692</v>
      </c>
      <c r="D88" s="16"/>
      <c r="F88">
        <f t="shared" si="1"/>
        <v>0</v>
      </c>
    </row>
    <row r="89" spans="1:6" ht="15" x14ac:dyDescent="0.25">
      <c r="A89" s="14" t="s">
        <v>638</v>
      </c>
      <c r="B89" s="14" t="s">
        <v>629</v>
      </c>
      <c r="C89" s="14" t="s">
        <v>693</v>
      </c>
      <c r="D89" s="16"/>
      <c r="F89">
        <f t="shared" si="1"/>
        <v>0</v>
      </c>
    </row>
    <row r="90" spans="1:6" ht="15" x14ac:dyDescent="0.25">
      <c r="A90" s="14" t="s">
        <v>638</v>
      </c>
      <c r="B90" s="14" t="s">
        <v>630</v>
      </c>
      <c r="C90" s="14" t="s">
        <v>692</v>
      </c>
      <c r="D90" s="16"/>
      <c r="F90">
        <f t="shared" si="1"/>
        <v>0</v>
      </c>
    </row>
    <row r="91" spans="1:6" ht="15" x14ac:dyDescent="0.25">
      <c r="A91" s="14" t="s">
        <v>638</v>
      </c>
      <c r="B91" s="14" t="s">
        <v>630</v>
      </c>
      <c r="C91" s="14" t="s">
        <v>693</v>
      </c>
      <c r="D91" s="16"/>
      <c r="F91">
        <f t="shared" si="1"/>
        <v>0</v>
      </c>
    </row>
    <row r="92" spans="1:6" ht="15" x14ac:dyDescent="0.25">
      <c r="A92" s="14" t="s">
        <v>640</v>
      </c>
      <c r="B92" s="14" t="s">
        <v>626</v>
      </c>
      <c r="C92" s="14" t="s">
        <v>692</v>
      </c>
      <c r="D92" s="16"/>
      <c r="F92">
        <f t="shared" si="1"/>
        <v>0</v>
      </c>
    </row>
    <row r="93" spans="1:6" ht="15" x14ac:dyDescent="0.25">
      <c r="A93" s="14" t="s">
        <v>640</v>
      </c>
      <c r="B93" s="14" t="s">
        <v>626</v>
      </c>
      <c r="C93" s="14" t="s">
        <v>693</v>
      </c>
      <c r="D93" s="16"/>
      <c r="F93">
        <f t="shared" si="1"/>
        <v>0</v>
      </c>
    </row>
    <row r="94" spans="1:6" ht="15" x14ac:dyDescent="0.25">
      <c r="A94" s="14" t="s">
        <v>640</v>
      </c>
      <c r="B94" s="14" t="s">
        <v>627</v>
      </c>
      <c r="C94" s="14" t="s">
        <v>692</v>
      </c>
      <c r="D94" s="16"/>
      <c r="F94">
        <f t="shared" si="1"/>
        <v>0</v>
      </c>
    </row>
    <row r="95" spans="1:6" ht="15" x14ac:dyDescent="0.25">
      <c r="A95" s="14" t="s">
        <v>640</v>
      </c>
      <c r="B95" s="14" t="s">
        <v>627</v>
      </c>
      <c r="C95" s="14" t="s">
        <v>693</v>
      </c>
      <c r="D95" s="16"/>
      <c r="F95">
        <f t="shared" si="1"/>
        <v>0</v>
      </c>
    </row>
    <row r="96" spans="1:6" ht="15" x14ac:dyDescent="0.25">
      <c r="A96" s="14" t="s">
        <v>640</v>
      </c>
      <c r="B96" s="14" t="s">
        <v>628</v>
      </c>
      <c r="C96" s="14" t="s">
        <v>692</v>
      </c>
      <c r="D96" s="16"/>
      <c r="F96">
        <f t="shared" si="1"/>
        <v>0</v>
      </c>
    </row>
    <row r="97" spans="1:6" ht="15" x14ac:dyDescent="0.25">
      <c r="A97" s="14" t="s">
        <v>640</v>
      </c>
      <c r="B97" s="14" t="s">
        <v>628</v>
      </c>
      <c r="C97" s="14" t="s">
        <v>693</v>
      </c>
      <c r="D97" s="16"/>
      <c r="F97">
        <f t="shared" si="1"/>
        <v>0</v>
      </c>
    </row>
    <row r="98" spans="1:6" ht="15" x14ac:dyDescent="0.25">
      <c r="A98" s="14" t="s">
        <v>640</v>
      </c>
      <c r="B98" s="14" t="s">
        <v>629</v>
      </c>
      <c r="C98" s="14" t="s">
        <v>692</v>
      </c>
      <c r="D98" s="16"/>
      <c r="F98">
        <f t="shared" si="1"/>
        <v>0</v>
      </c>
    </row>
    <row r="99" spans="1:6" ht="15" x14ac:dyDescent="0.25">
      <c r="A99" s="14" t="s">
        <v>640</v>
      </c>
      <c r="B99" s="14" t="s">
        <v>629</v>
      </c>
      <c r="C99" s="14" t="s">
        <v>693</v>
      </c>
      <c r="D99" s="16"/>
      <c r="F99">
        <f t="shared" si="1"/>
        <v>0</v>
      </c>
    </row>
    <row r="100" spans="1:6" ht="15" x14ac:dyDescent="0.25">
      <c r="A100" s="14" t="s">
        <v>640</v>
      </c>
      <c r="B100" s="14" t="s">
        <v>630</v>
      </c>
      <c r="C100" s="14" t="s">
        <v>692</v>
      </c>
      <c r="D100" s="16"/>
      <c r="F100">
        <f t="shared" si="1"/>
        <v>0</v>
      </c>
    </row>
    <row r="101" spans="1:6" ht="15" x14ac:dyDescent="0.25">
      <c r="A101" s="14" t="s">
        <v>640</v>
      </c>
      <c r="B101" s="14" t="s">
        <v>630</v>
      </c>
      <c r="C101" s="14" t="s">
        <v>693</v>
      </c>
      <c r="D101" s="16"/>
      <c r="F101">
        <f t="shared" si="1"/>
        <v>0</v>
      </c>
    </row>
    <row r="102" spans="1:6" ht="15" x14ac:dyDescent="0.25">
      <c r="A102" s="14" t="s">
        <v>641</v>
      </c>
      <c r="B102" s="14" t="s">
        <v>626</v>
      </c>
      <c r="C102" s="14" t="s">
        <v>692</v>
      </c>
      <c r="D102" s="16"/>
      <c r="F102">
        <f t="shared" si="1"/>
        <v>0</v>
      </c>
    </row>
    <row r="103" spans="1:6" ht="15" x14ac:dyDescent="0.25">
      <c r="A103" s="14" t="s">
        <v>641</v>
      </c>
      <c r="B103" s="14" t="s">
        <v>626</v>
      </c>
      <c r="C103" s="14" t="s">
        <v>693</v>
      </c>
      <c r="D103" s="16"/>
      <c r="F103">
        <f t="shared" si="1"/>
        <v>0</v>
      </c>
    </row>
    <row r="104" spans="1:6" ht="15" x14ac:dyDescent="0.25">
      <c r="A104" s="14" t="s">
        <v>641</v>
      </c>
      <c r="B104" s="14" t="s">
        <v>627</v>
      </c>
      <c r="C104" s="14" t="s">
        <v>692</v>
      </c>
      <c r="D104" s="16"/>
      <c r="F104">
        <f t="shared" si="1"/>
        <v>0</v>
      </c>
    </row>
    <row r="105" spans="1:6" ht="15" x14ac:dyDescent="0.25">
      <c r="A105" s="14" t="s">
        <v>641</v>
      </c>
      <c r="B105" s="14" t="s">
        <v>627</v>
      </c>
      <c r="C105" s="14" t="s">
        <v>693</v>
      </c>
      <c r="D105" s="16"/>
      <c r="F105">
        <f t="shared" si="1"/>
        <v>0</v>
      </c>
    </row>
    <row r="106" spans="1:6" ht="15" x14ac:dyDescent="0.25">
      <c r="A106" s="14" t="s">
        <v>641</v>
      </c>
      <c r="B106" s="14" t="s">
        <v>628</v>
      </c>
      <c r="C106" s="14" t="s">
        <v>692</v>
      </c>
      <c r="D106" s="16"/>
      <c r="F106">
        <f t="shared" si="1"/>
        <v>0</v>
      </c>
    </row>
    <row r="107" spans="1:6" ht="15" x14ac:dyDescent="0.25">
      <c r="A107" s="14" t="s">
        <v>641</v>
      </c>
      <c r="B107" s="14" t="s">
        <v>628</v>
      </c>
      <c r="C107" s="14" t="s">
        <v>693</v>
      </c>
      <c r="D107" s="16"/>
      <c r="F107">
        <f t="shared" si="1"/>
        <v>0</v>
      </c>
    </row>
    <row r="108" spans="1:6" ht="15" x14ac:dyDescent="0.25">
      <c r="A108" s="14" t="s">
        <v>641</v>
      </c>
      <c r="B108" s="14" t="s">
        <v>629</v>
      </c>
      <c r="C108" s="14" t="s">
        <v>692</v>
      </c>
      <c r="D108" s="16"/>
      <c r="F108">
        <f t="shared" si="1"/>
        <v>0</v>
      </c>
    </row>
    <row r="109" spans="1:6" ht="15" x14ac:dyDescent="0.25">
      <c r="A109" s="14" t="s">
        <v>641</v>
      </c>
      <c r="B109" s="14" t="s">
        <v>629</v>
      </c>
      <c r="C109" s="14" t="s">
        <v>693</v>
      </c>
      <c r="D109" s="16"/>
      <c r="F109">
        <f t="shared" si="1"/>
        <v>0</v>
      </c>
    </row>
    <row r="110" spans="1:6" ht="15" x14ac:dyDescent="0.25">
      <c r="A110" s="14" t="s">
        <v>641</v>
      </c>
      <c r="B110" s="14" t="s">
        <v>630</v>
      </c>
      <c r="C110" s="14" t="s">
        <v>692</v>
      </c>
      <c r="D110" s="16"/>
      <c r="F110">
        <f t="shared" si="1"/>
        <v>0</v>
      </c>
    </row>
    <row r="111" spans="1:6" ht="15" x14ac:dyDescent="0.25">
      <c r="A111" s="14" t="s">
        <v>641</v>
      </c>
      <c r="B111" s="14" t="s">
        <v>630</v>
      </c>
      <c r="C111" s="14" t="s">
        <v>693</v>
      </c>
      <c r="D111" s="16"/>
      <c r="F111">
        <f t="shared" si="1"/>
        <v>0</v>
      </c>
    </row>
    <row r="112" spans="1:6" ht="15" x14ac:dyDescent="0.25">
      <c r="A112" s="14" t="s">
        <v>643</v>
      </c>
      <c r="B112" s="14" t="s">
        <v>626</v>
      </c>
      <c r="C112" s="14" t="s">
        <v>692</v>
      </c>
      <c r="D112" s="16"/>
      <c r="F112">
        <f t="shared" si="1"/>
        <v>0</v>
      </c>
    </row>
    <row r="113" spans="1:6" ht="15" x14ac:dyDescent="0.25">
      <c r="A113" s="14" t="s">
        <v>643</v>
      </c>
      <c r="B113" s="14" t="s">
        <v>626</v>
      </c>
      <c r="C113" s="14" t="s">
        <v>693</v>
      </c>
      <c r="D113" s="16"/>
      <c r="F113">
        <f t="shared" si="1"/>
        <v>0</v>
      </c>
    </row>
    <row r="114" spans="1:6" ht="15" x14ac:dyDescent="0.25">
      <c r="A114" s="14" t="s">
        <v>643</v>
      </c>
      <c r="B114" s="14" t="s">
        <v>627</v>
      </c>
      <c r="C114" s="14" t="s">
        <v>692</v>
      </c>
      <c r="D114" s="16"/>
      <c r="F114">
        <f t="shared" si="1"/>
        <v>0</v>
      </c>
    </row>
    <row r="115" spans="1:6" ht="15" x14ac:dyDescent="0.25">
      <c r="A115" s="14" t="s">
        <v>643</v>
      </c>
      <c r="B115" s="14" t="s">
        <v>627</v>
      </c>
      <c r="C115" s="14" t="s">
        <v>693</v>
      </c>
      <c r="D115" s="16"/>
      <c r="F115">
        <f t="shared" si="1"/>
        <v>0</v>
      </c>
    </row>
    <row r="116" spans="1:6" ht="15" x14ac:dyDescent="0.25">
      <c r="A116" s="14" t="s">
        <v>643</v>
      </c>
      <c r="B116" s="14" t="s">
        <v>628</v>
      </c>
      <c r="C116" s="14" t="s">
        <v>692</v>
      </c>
      <c r="D116" s="16"/>
      <c r="F116">
        <f t="shared" si="1"/>
        <v>0</v>
      </c>
    </row>
    <row r="117" spans="1:6" ht="15" x14ac:dyDescent="0.25">
      <c r="A117" s="14" t="s">
        <v>643</v>
      </c>
      <c r="B117" s="14" t="s">
        <v>628</v>
      </c>
      <c r="C117" s="14" t="s">
        <v>693</v>
      </c>
      <c r="D117" s="16"/>
      <c r="F117">
        <f t="shared" si="1"/>
        <v>0</v>
      </c>
    </row>
    <row r="118" spans="1:6" ht="15" x14ac:dyDescent="0.25">
      <c r="A118" s="14" t="s">
        <v>643</v>
      </c>
      <c r="B118" s="14" t="s">
        <v>629</v>
      </c>
      <c r="C118" s="14" t="s">
        <v>692</v>
      </c>
      <c r="D118" s="16"/>
      <c r="F118">
        <f t="shared" si="1"/>
        <v>0</v>
      </c>
    </row>
    <row r="119" spans="1:6" ht="15" x14ac:dyDescent="0.25">
      <c r="A119" s="14" t="s">
        <v>643</v>
      </c>
      <c r="B119" s="14" t="s">
        <v>629</v>
      </c>
      <c r="C119" s="14" t="s">
        <v>693</v>
      </c>
      <c r="D119" s="16"/>
      <c r="F119">
        <f t="shared" si="1"/>
        <v>0</v>
      </c>
    </row>
    <row r="120" spans="1:6" ht="15" x14ac:dyDescent="0.25">
      <c r="A120" s="14" t="s">
        <v>643</v>
      </c>
      <c r="B120" s="14" t="s">
        <v>630</v>
      </c>
      <c r="C120" s="14" t="s">
        <v>692</v>
      </c>
      <c r="D120" s="16"/>
      <c r="F120">
        <f t="shared" si="1"/>
        <v>0</v>
      </c>
    </row>
    <row r="121" spans="1:6" ht="15" x14ac:dyDescent="0.25">
      <c r="A121" s="14" t="s">
        <v>643</v>
      </c>
      <c r="B121" s="14" t="s">
        <v>630</v>
      </c>
      <c r="C121" s="14" t="s">
        <v>693</v>
      </c>
      <c r="D121" s="16"/>
      <c r="F121">
        <f t="shared" si="1"/>
        <v>0</v>
      </c>
    </row>
    <row r="122" spans="1:6" ht="15" x14ac:dyDescent="0.25">
      <c r="A122" s="14" t="s">
        <v>644</v>
      </c>
      <c r="B122" s="14" t="s">
        <v>626</v>
      </c>
      <c r="C122" s="14" t="s">
        <v>692</v>
      </c>
      <c r="D122" s="16"/>
      <c r="F122">
        <f t="shared" si="1"/>
        <v>0</v>
      </c>
    </row>
    <row r="123" spans="1:6" ht="15" x14ac:dyDescent="0.25">
      <c r="A123" s="14" t="s">
        <v>644</v>
      </c>
      <c r="B123" s="14" t="s">
        <v>626</v>
      </c>
      <c r="C123" s="14" t="s">
        <v>693</v>
      </c>
      <c r="D123" s="16"/>
      <c r="F123">
        <f t="shared" si="1"/>
        <v>0</v>
      </c>
    </row>
    <row r="124" spans="1:6" ht="15" x14ac:dyDescent="0.25">
      <c r="A124" s="14" t="s">
        <v>644</v>
      </c>
      <c r="B124" s="14" t="s">
        <v>627</v>
      </c>
      <c r="C124" s="14" t="s">
        <v>692</v>
      </c>
      <c r="D124" s="16"/>
      <c r="F124">
        <f t="shared" si="1"/>
        <v>0</v>
      </c>
    </row>
    <row r="125" spans="1:6" ht="15" x14ac:dyDescent="0.25">
      <c r="A125" s="14" t="s">
        <v>644</v>
      </c>
      <c r="B125" s="14" t="s">
        <v>627</v>
      </c>
      <c r="C125" s="14" t="s">
        <v>693</v>
      </c>
      <c r="D125" s="16"/>
      <c r="F125">
        <f t="shared" si="1"/>
        <v>0</v>
      </c>
    </row>
    <row r="126" spans="1:6" ht="15" x14ac:dyDescent="0.25">
      <c r="A126" s="14" t="s">
        <v>644</v>
      </c>
      <c r="B126" s="14" t="s">
        <v>628</v>
      </c>
      <c r="C126" s="14" t="s">
        <v>692</v>
      </c>
      <c r="D126" s="16"/>
      <c r="F126">
        <f t="shared" si="1"/>
        <v>0</v>
      </c>
    </row>
    <row r="127" spans="1:6" ht="15" x14ac:dyDescent="0.25">
      <c r="A127" s="14" t="s">
        <v>644</v>
      </c>
      <c r="B127" s="14" t="s">
        <v>628</v>
      </c>
      <c r="C127" s="14" t="s">
        <v>693</v>
      </c>
      <c r="D127" s="16"/>
      <c r="F127">
        <f t="shared" si="1"/>
        <v>0</v>
      </c>
    </row>
    <row r="128" spans="1:6" ht="15" x14ac:dyDescent="0.25">
      <c r="A128" s="14" t="s">
        <v>644</v>
      </c>
      <c r="B128" s="14" t="s">
        <v>629</v>
      </c>
      <c r="C128" s="14" t="s">
        <v>692</v>
      </c>
      <c r="D128" s="16"/>
      <c r="F128">
        <f t="shared" si="1"/>
        <v>0</v>
      </c>
    </row>
    <row r="129" spans="1:6" ht="15" x14ac:dyDescent="0.25">
      <c r="A129" s="14" t="s">
        <v>644</v>
      </c>
      <c r="B129" s="14" t="s">
        <v>629</v>
      </c>
      <c r="C129" s="14" t="s">
        <v>693</v>
      </c>
      <c r="D129" s="16"/>
      <c r="F129">
        <f t="shared" si="1"/>
        <v>0</v>
      </c>
    </row>
    <row r="130" spans="1:6" ht="15" x14ac:dyDescent="0.25">
      <c r="A130" s="14" t="s">
        <v>644</v>
      </c>
      <c r="B130" s="14" t="s">
        <v>630</v>
      </c>
      <c r="C130" s="14" t="s">
        <v>692</v>
      </c>
      <c r="D130" s="16"/>
      <c r="F130">
        <f t="shared" si="1"/>
        <v>0</v>
      </c>
    </row>
    <row r="131" spans="1:6" ht="15" x14ac:dyDescent="0.25">
      <c r="A131" s="14" t="s">
        <v>644</v>
      </c>
      <c r="B131" s="14" t="s">
        <v>630</v>
      </c>
      <c r="C131" s="14" t="s">
        <v>693</v>
      </c>
      <c r="D131" s="16"/>
      <c r="F131">
        <f t="shared" ref="F131:F182" si="2">E131-D131</f>
        <v>0</v>
      </c>
    </row>
    <row r="132" spans="1:6" ht="15" x14ac:dyDescent="0.25">
      <c r="A132" s="14" t="s">
        <v>645</v>
      </c>
      <c r="B132" s="14" t="s">
        <v>626</v>
      </c>
      <c r="C132" s="14" t="s">
        <v>692</v>
      </c>
      <c r="D132" s="16"/>
      <c r="F132">
        <f t="shared" si="2"/>
        <v>0</v>
      </c>
    </row>
    <row r="133" spans="1:6" ht="15" x14ac:dyDescent="0.25">
      <c r="A133" s="14" t="s">
        <v>645</v>
      </c>
      <c r="B133" s="14" t="s">
        <v>626</v>
      </c>
      <c r="C133" s="14" t="s">
        <v>693</v>
      </c>
      <c r="D133" s="16"/>
      <c r="F133">
        <f t="shared" si="2"/>
        <v>0</v>
      </c>
    </row>
    <row r="134" spans="1:6" ht="15" x14ac:dyDescent="0.25">
      <c r="A134" s="14" t="s">
        <v>645</v>
      </c>
      <c r="B134" s="14" t="s">
        <v>627</v>
      </c>
      <c r="C134" s="14" t="s">
        <v>692</v>
      </c>
      <c r="D134" s="16"/>
      <c r="F134">
        <f t="shared" si="2"/>
        <v>0</v>
      </c>
    </row>
    <row r="135" spans="1:6" ht="15" x14ac:dyDescent="0.25">
      <c r="A135" s="14" t="s">
        <v>645</v>
      </c>
      <c r="B135" s="14" t="s">
        <v>627</v>
      </c>
      <c r="C135" s="14" t="s">
        <v>693</v>
      </c>
      <c r="D135" s="16"/>
      <c r="F135">
        <f t="shared" si="2"/>
        <v>0</v>
      </c>
    </row>
    <row r="136" spans="1:6" ht="15" x14ac:dyDescent="0.25">
      <c r="A136" s="14" t="s">
        <v>645</v>
      </c>
      <c r="B136" s="14" t="s">
        <v>628</v>
      </c>
      <c r="C136" s="14" t="s">
        <v>692</v>
      </c>
      <c r="D136" s="16"/>
      <c r="F136">
        <f t="shared" si="2"/>
        <v>0</v>
      </c>
    </row>
    <row r="137" spans="1:6" ht="15" x14ac:dyDescent="0.25">
      <c r="A137" s="14" t="s">
        <v>645</v>
      </c>
      <c r="B137" s="14" t="s">
        <v>628</v>
      </c>
      <c r="C137" s="14" t="s">
        <v>693</v>
      </c>
      <c r="D137" s="16"/>
      <c r="F137">
        <f t="shared" si="2"/>
        <v>0</v>
      </c>
    </row>
    <row r="138" spans="1:6" ht="15" x14ac:dyDescent="0.25">
      <c r="A138" s="14" t="s">
        <v>645</v>
      </c>
      <c r="B138" s="14" t="s">
        <v>629</v>
      </c>
      <c r="C138" s="14" t="s">
        <v>692</v>
      </c>
      <c r="D138" s="16"/>
      <c r="F138">
        <f t="shared" si="2"/>
        <v>0</v>
      </c>
    </row>
    <row r="139" spans="1:6" ht="15" x14ac:dyDescent="0.25">
      <c r="A139" s="14" t="s">
        <v>645</v>
      </c>
      <c r="B139" s="14" t="s">
        <v>629</v>
      </c>
      <c r="C139" s="14" t="s">
        <v>693</v>
      </c>
      <c r="D139" s="16"/>
      <c r="F139">
        <f t="shared" si="2"/>
        <v>0</v>
      </c>
    </row>
    <row r="140" spans="1:6" ht="15" x14ac:dyDescent="0.25">
      <c r="A140" s="14" t="s">
        <v>645</v>
      </c>
      <c r="B140" s="14" t="s">
        <v>630</v>
      </c>
      <c r="C140" s="14" t="s">
        <v>692</v>
      </c>
      <c r="D140" s="16"/>
      <c r="F140">
        <f t="shared" si="2"/>
        <v>0</v>
      </c>
    </row>
    <row r="141" spans="1:6" ht="15" x14ac:dyDescent="0.25">
      <c r="A141" s="14" t="s">
        <v>645</v>
      </c>
      <c r="B141" s="14" t="s">
        <v>630</v>
      </c>
      <c r="C141" s="14" t="s">
        <v>693</v>
      </c>
      <c r="D141" s="16"/>
      <c r="F141">
        <f t="shared" si="2"/>
        <v>0</v>
      </c>
    </row>
    <row r="142" spans="1:6" ht="15" x14ac:dyDescent="0.25">
      <c r="A142" s="14" t="s">
        <v>646</v>
      </c>
      <c r="B142" s="14" t="s">
        <v>626</v>
      </c>
      <c r="C142" s="14" t="s">
        <v>692</v>
      </c>
      <c r="D142" s="16"/>
      <c r="F142">
        <f t="shared" si="2"/>
        <v>0</v>
      </c>
    </row>
    <row r="143" spans="1:6" ht="15" x14ac:dyDescent="0.25">
      <c r="A143" s="14" t="s">
        <v>646</v>
      </c>
      <c r="B143" s="14" t="s">
        <v>626</v>
      </c>
      <c r="C143" s="14" t="s">
        <v>693</v>
      </c>
      <c r="D143" s="16"/>
      <c r="F143">
        <f t="shared" si="2"/>
        <v>0</v>
      </c>
    </row>
    <row r="144" spans="1:6" ht="15" x14ac:dyDescent="0.25">
      <c r="A144" s="14" t="s">
        <v>646</v>
      </c>
      <c r="B144" s="14" t="s">
        <v>627</v>
      </c>
      <c r="C144" s="14" t="s">
        <v>692</v>
      </c>
      <c r="D144" s="16"/>
      <c r="F144">
        <f t="shared" si="2"/>
        <v>0</v>
      </c>
    </row>
    <row r="145" spans="1:6" ht="15" x14ac:dyDescent="0.25">
      <c r="A145" s="14" t="s">
        <v>646</v>
      </c>
      <c r="B145" s="14" t="s">
        <v>627</v>
      </c>
      <c r="C145" s="14" t="s">
        <v>693</v>
      </c>
      <c r="D145" s="16"/>
      <c r="F145">
        <f t="shared" si="2"/>
        <v>0</v>
      </c>
    </row>
    <row r="146" spans="1:6" ht="15" x14ac:dyDescent="0.25">
      <c r="A146" s="14" t="s">
        <v>646</v>
      </c>
      <c r="B146" s="14" t="s">
        <v>628</v>
      </c>
      <c r="C146" s="14" t="s">
        <v>692</v>
      </c>
      <c r="D146" s="16"/>
      <c r="F146">
        <f t="shared" si="2"/>
        <v>0</v>
      </c>
    </row>
    <row r="147" spans="1:6" ht="15" x14ac:dyDescent="0.25">
      <c r="A147" s="14" t="s">
        <v>646</v>
      </c>
      <c r="B147" s="14" t="s">
        <v>628</v>
      </c>
      <c r="C147" s="14" t="s">
        <v>693</v>
      </c>
      <c r="D147" s="16"/>
      <c r="F147">
        <f t="shared" si="2"/>
        <v>0</v>
      </c>
    </row>
    <row r="148" spans="1:6" ht="15" x14ac:dyDescent="0.25">
      <c r="A148" s="14" t="s">
        <v>646</v>
      </c>
      <c r="B148" s="14" t="s">
        <v>629</v>
      </c>
      <c r="C148" s="14" t="s">
        <v>692</v>
      </c>
      <c r="D148" s="16"/>
      <c r="F148">
        <f t="shared" si="2"/>
        <v>0</v>
      </c>
    </row>
    <row r="149" spans="1:6" ht="15" x14ac:dyDescent="0.25">
      <c r="A149" s="14" t="s">
        <v>646</v>
      </c>
      <c r="B149" s="14" t="s">
        <v>629</v>
      </c>
      <c r="C149" s="14" t="s">
        <v>693</v>
      </c>
      <c r="D149" s="16"/>
      <c r="F149">
        <f t="shared" si="2"/>
        <v>0</v>
      </c>
    </row>
    <row r="150" spans="1:6" ht="15" x14ac:dyDescent="0.25">
      <c r="A150" s="14" t="s">
        <v>646</v>
      </c>
      <c r="B150" s="14" t="s">
        <v>630</v>
      </c>
      <c r="C150" s="14" t="s">
        <v>692</v>
      </c>
      <c r="D150" s="16"/>
      <c r="F150">
        <f t="shared" si="2"/>
        <v>0</v>
      </c>
    </row>
    <row r="151" spans="1:6" ht="15" x14ac:dyDescent="0.25">
      <c r="A151" s="14" t="s">
        <v>646</v>
      </c>
      <c r="B151" s="14" t="s">
        <v>630</v>
      </c>
      <c r="C151" s="14" t="s">
        <v>693</v>
      </c>
      <c r="D151" s="16"/>
      <c r="F151">
        <f t="shared" si="2"/>
        <v>0</v>
      </c>
    </row>
    <row r="152" spans="1:6" ht="15" x14ac:dyDescent="0.25">
      <c r="A152" s="14" t="s">
        <v>647</v>
      </c>
      <c r="B152" s="14" t="s">
        <v>626</v>
      </c>
      <c r="C152" s="14" t="s">
        <v>694</v>
      </c>
      <c r="D152" s="16"/>
      <c r="F152">
        <f t="shared" si="2"/>
        <v>0</v>
      </c>
    </row>
    <row r="153" spans="1:6" ht="15" x14ac:dyDescent="0.25">
      <c r="A153" s="14" t="s">
        <v>647</v>
      </c>
      <c r="B153" s="14" t="s">
        <v>626</v>
      </c>
      <c r="C153" s="14" t="s">
        <v>695</v>
      </c>
      <c r="D153" s="16"/>
      <c r="F153">
        <f t="shared" si="2"/>
        <v>0</v>
      </c>
    </row>
    <row r="154" spans="1:6" ht="15" x14ac:dyDescent="0.25">
      <c r="A154" s="14" t="s">
        <v>647</v>
      </c>
      <c r="B154" s="14" t="s">
        <v>626</v>
      </c>
      <c r="C154" s="14" t="s">
        <v>693</v>
      </c>
      <c r="D154" s="16"/>
      <c r="F154">
        <f t="shared" si="2"/>
        <v>0</v>
      </c>
    </row>
    <row r="155" spans="1:6" ht="15" x14ac:dyDescent="0.25">
      <c r="A155" s="14" t="s">
        <v>647</v>
      </c>
      <c r="B155" s="14" t="s">
        <v>627</v>
      </c>
      <c r="C155" s="14" t="s">
        <v>692</v>
      </c>
      <c r="D155" s="16"/>
      <c r="F155">
        <f t="shared" si="2"/>
        <v>0</v>
      </c>
    </row>
    <row r="156" spans="1:6" ht="15" x14ac:dyDescent="0.25">
      <c r="A156" s="14" t="s">
        <v>647</v>
      </c>
      <c r="B156" s="14" t="s">
        <v>627</v>
      </c>
      <c r="C156" s="14" t="s">
        <v>693</v>
      </c>
      <c r="D156" s="16"/>
      <c r="F156">
        <f t="shared" si="2"/>
        <v>0</v>
      </c>
    </row>
    <row r="157" spans="1:6" ht="15" x14ac:dyDescent="0.25">
      <c r="A157" s="14" t="s">
        <v>647</v>
      </c>
      <c r="B157" s="14" t="s">
        <v>628</v>
      </c>
      <c r="C157" s="14" t="s">
        <v>692</v>
      </c>
      <c r="D157" s="14"/>
      <c r="F157">
        <f t="shared" si="2"/>
        <v>0</v>
      </c>
    </row>
    <row r="158" spans="1:6" ht="15" x14ac:dyDescent="0.25">
      <c r="A158" s="14" t="s">
        <v>647</v>
      </c>
      <c r="B158" s="14" t="s">
        <v>628</v>
      </c>
      <c r="C158" s="14" t="s">
        <v>693</v>
      </c>
      <c r="D158" s="16"/>
      <c r="F158">
        <f t="shared" si="2"/>
        <v>0</v>
      </c>
    </row>
    <row r="159" spans="1:6" ht="15" x14ac:dyDescent="0.25">
      <c r="A159" s="14" t="s">
        <v>647</v>
      </c>
      <c r="B159" s="14" t="s">
        <v>629</v>
      </c>
      <c r="C159" s="14" t="s">
        <v>692</v>
      </c>
      <c r="D159" s="16"/>
      <c r="F159">
        <f t="shared" si="2"/>
        <v>0</v>
      </c>
    </row>
    <row r="160" spans="1:6" ht="15" x14ac:dyDescent="0.25">
      <c r="A160" s="14" t="s">
        <v>647</v>
      </c>
      <c r="B160" s="14" t="s">
        <v>629</v>
      </c>
      <c r="C160" s="14" t="s">
        <v>693</v>
      </c>
      <c r="D160" s="16"/>
      <c r="F160">
        <f t="shared" si="2"/>
        <v>0</v>
      </c>
    </row>
    <row r="161" spans="1:6" ht="15" x14ac:dyDescent="0.25">
      <c r="A161" s="14" t="s">
        <v>647</v>
      </c>
      <c r="B161" s="14" t="s">
        <v>630</v>
      </c>
      <c r="C161" s="14" t="s">
        <v>692</v>
      </c>
      <c r="D161" s="16"/>
      <c r="F161">
        <f t="shared" si="2"/>
        <v>0</v>
      </c>
    </row>
    <row r="162" spans="1:6" ht="15" x14ac:dyDescent="0.25">
      <c r="A162" s="14" t="s">
        <v>647</v>
      </c>
      <c r="B162" s="14" t="s">
        <v>630</v>
      </c>
      <c r="C162" s="14" t="s">
        <v>693</v>
      </c>
      <c r="D162" s="16"/>
      <c r="F162">
        <f t="shared" si="2"/>
        <v>0</v>
      </c>
    </row>
    <row r="163" spans="1:6" ht="15" x14ac:dyDescent="0.25">
      <c r="A163" s="14" t="s">
        <v>648</v>
      </c>
      <c r="B163" s="14" t="s">
        <v>626</v>
      </c>
      <c r="C163" s="14" t="s">
        <v>692</v>
      </c>
      <c r="D163" s="16"/>
      <c r="F163">
        <f t="shared" si="2"/>
        <v>0</v>
      </c>
    </row>
    <row r="164" spans="1:6" ht="15" x14ac:dyDescent="0.25">
      <c r="A164" s="14" t="s">
        <v>648</v>
      </c>
      <c r="B164" s="14" t="s">
        <v>626</v>
      </c>
      <c r="C164" s="14" t="s">
        <v>693</v>
      </c>
      <c r="D164" s="16"/>
      <c r="F164">
        <f t="shared" si="2"/>
        <v>0</v>
      </c>
    </row>
    <row r="165" spans="1:6" ht="15" x14ac:dyDescent="0.25">
      <c r="A165" s="14" t="s">
        <v>648</v>
      </c>
      <c r="B165" s="14" t="s">
        <v>627</v>
      </c>
      <c r="C165" s="14" t="s">
        <v>692</v>
      </c>
      <c r="D165" s="16"/>
      <c r="F165">
        <f t="shared" si="2"/>
        <v>0</v>
      </c>
    </row>
    <row r="166" spans="1:6" ht="15" x14ac:dyDescent="0.25">
      <c r="A166" s="14" t="s">
        <v>648</v>
      </c>
      <c r="B166" s="14" t="s">
        <v>627</v>
      </c>
      <c r="C166" s="14" t="s">
        <v>693</v>
      </c>
      <c r="D166" s="16"/>
      <c r="F166">
        <f t="shared" si="2"/>
        <v>0</v>
      </c>
    </row>
    <row r="167" spans="1:6" ht="15" x14ac:dyDescent="0.25">
      <c r="A167" s="14" t="s">
        <v>648</v>
      </c>
      <c r="B167" s="14" t="s">
        <v>628</v>
      </c>
      <c r="C167" s="14" t="s">
        <v>692</v>
      </c>
      <c r="D167" s="16"/>
      <c r="F167">
        <f t="shared" si="2"/>
        <v>0</v>
      </c>
    </row>
    <row r="168" spans="1:6" ht="15" x14ac:dyDescent="0.25">
      <c r="A168" s="14" t="s">
        <v>648</v>
      </c>
      <c r="B168" s="14" t="s">
        <v>628</v>
      </c>
      <c r="C168" s="14" t="s">
        <v>693</v>
      </c>
      <c r="D168" s="16"/>
      <c r="F168">
        <f t="shared" si="2"/>
        <v>0</v>
      </c>
    </row>
    <row r="169" spans="1:6" ht="15" x14ac:dyDescent="0.25">
      <c r="A169" s="14" t="s">
        <v>648</v>
      </c>
      <c r="B169" s="14" t="s">
        <v>629</v>
      </c>
      <c r="C169" s="14" t="s">
        <v>692</v>
      </c>
      <c r="D169" s="16"/>
      <c r="F169">
        <f t="shared" si="2"/>
        <v>0</v>
      </c>
    </row>
    <row r="170" spans="1:6" ht="15" x14ac:dyDescent="0.25">
      <c r="A170" s="14" t="s">
        <v>648</v>
      </c>
      <c r="B170" s="14" t="s">
        <v>629</v>
      </c>
      <c r="C170" s="14" t="s">
        <v>693</v>
      </c>
      <c r="D170" s="16"/>
      <c r="F170">
        <f t="shared" si="2"/>
        <v>0</v>
      </c>
    </row>
    <row r="171" spans="1:6" ht="15" x14ac:dyDescent="0.25">
      <c r="A171" s="14" t="s">
        <v>648</v>
      </c>
      <c r="B171" s="14" t="s">
        <v>630</v>
      </c>
      <c r="C171" s="14" t="s">
        <v>692</v>
      </c>
      <c r="D171" s="16"/>
      <c r="F171">
        <f t="shared" si="2"/>
        <v>0</v>
      </c>
    </row>
    <row r="172" spans="1:6" ht="15" x14ac:dyDescent="0.25">
      <c r="A172" s="14" t="s">
        <v>648</v>
      </c>
      <c r="B172" s="14" t="s">
        <v>630</v>
      </c>
      <c r="C172" s="14" t="s">
        <v>693</v>
      </c>
      <c r="D172" s="16"/>
      <c r="F172">
        <f t="shared" si="2"/>
        <v>0</v>
      </c>
    </row>
    <row r="173" spans="1:6" ht="15" x14ac:dyDescent="0.25">
      <c r="A173" s="14" t="s">
        <v>649</v>
      </c>
      <c r="B173" s="14" t="s">
        <v>626</v>
      </c>
      <c r="C173" s="14" t="s">
        <v>692</v>
      </c>
      <c r="D173" s="16"/>
      <c r="F173">
        <f t="shared" si="2"/>
        <v>0</v>
      </c>
    </row>
    <row r="174" spans="1:6" ht="15" x14ac:dyDescent="0.25">
      <c r="A174" s="14" t="s">
        <v>649</v>
      </c>
      <c r="B174" s="14" t="s">
        <v>626</v>
      </c>
      <c r="C174" s="14" t="s">
        <v>693</v>
      </c>
      <c r="D174" s="16"/>
      <c r="F174">
        <f t="shared" si="2"/>
        <v>0</v>
      </c>
    </row>
    <row r="175" spans="1:6" ht="15" x14ac:dyDescent="0.25">
      <c r="A175" s="14" t="s">
        <v>649</v>
      </c>
      <c r="B175" s="14" t="s">
        <v>627</v>
      </c>
      <c r="C175" s="14" t="s">
        <v>692</v>
      </c>
      <c r="D175" s="16"/>
      <c r="F175">
        <f t="shared" si="2"/>
        <v>0</v>
      </c>
    </row>
    <row r="176" spans="1:6" ht="15" x14ac:dyDescent="0.25">
      <c r="A176" s="14" t="s">
        <v>649</v>
      </c>
      <c r="B176" s="14" t="s">
        <v>627</v>
      </c>
      <c r="C176" s="14" t="s">
        <v>693</v>
      </c>
      <c r="D176" s="16"/>
      <c r="F176">
        <f t="shared" si="2"/>
        <v>0</v>
      </c>
    </row>
    <row r="177" spans="1:6" ht="15" x14ac:dyDescent="0.25">
      <c r="A177" s="14" t="s">
        <v>649</v>
      </c>
      <c r="B177" s="14" t="s">
        <v>628</v>
      </c>
      <c r="C177" s="14" t="s">
        <v>692</v>
      </c>
      <c r="D177" s="16"/>
      <c r="F177">
        <f t="shared" si="2"/>
        <v>0</v>
      </c>
    </row>
    <row r="178" spans="1:6" ht="15" x14ac:dyDescent="0.25">
      <c r="A178" s="14" t="s">
        <v>649</v>
      </c>
      <c r="B178" s="14" t="s">
        <v>628</v>
      </c>
      <c r="C178" s="14" t="s">
        <v>693</v>
      </c>
      <c r="D178" s="16"/>
      <c r="F178">
        <f t="shared" si="2"/>
        <v>0</v>
      </c>
    </row>
    <row r="179" spans="1:6" ht="15" x14ac:dyDescent="0.25">
      <c r="A179" s="14" t="s">
        <v>649</v>
      </c>
      <c r="B179" s="14" t="s">
        <v>629</v>
      </c>
      <c r="C179" s="14" t="s">
        <v>692</v>
      </c>
      <c r="D179" s="16"/>
      <c r="F179">
        <f t="shared" si="2"/>
        <v>0</v>
      </c>
    </row>
    <row r="180" spans="1:6" ht="15" x14ac:dyDescent="0.25">
      <c r="A180" s="14" t="s">
        <v>649</v>
      </c>
      <c r="B180" s="14" t="s">
        <v>629</v>
      </c>
      <c r="C180" s="14" t="s">
        <v>693</v>
      </c>
      <c r="D180" s="16"/>
      <c r="F180">
        <f t="shared" si="2"/>
        <v>0</v>
      </c>
    </row>
    <row r="181" spans="1:6" ht="15" x14ac:dyDescent="0.25">
      <c r="A181" s="14" t="s">
        <v>649</v>
      </c>
      <c r="B181" s="14" t="s">
        <v>630</v>
      </c>
      <c r="C181" s="14" t="s">
        <v>692</v>
      </c>
      <c r="D181" s="16"/>
      <c r="F181">
        <f t="shared" si="2"/>
        <v>0</v>
      </c>
    </row>
    <row r="182" spans="1:6" ht="15" x14ac:dyDescent="0.25">
      <c r="A182" s="14" t="s">
        <v>649</v>
      </c>
      <c r="B182" s="14" t="s">
        <v>630</v>
      </c>
      <c r="C182" s="14" t="s">
        <v>693</v>
      </c>
      <c r="D182" s="16"/>
      <c r="F182">
        <f t="shared" si="2"/>
        <v>0</v>
      </c>
    </row>
    <row r="183" spans="1:6" x14ac:dyDescent="0.2">
      <c r="A183" s="20"/>
      <c r="B183" s="20"/>
      <c r="C183" s="20"/>
      <c r="D183" s="20"/>
    </row>
    <row r="184" spans="1:6" x14ac:dyDescent="0.2">
      <c r="A184" s="20"/>
      <c r="B184" s="20"/>
      <c r="C184" s="20"/>
      <c r="D184" s="20"/>
    </row>
    <row r="185" spans="1:6" x14ac:dyDescent="0.2">
      <c r="A185" s="20"/>
      <c r="B185" s="20"/>
      <c r="C185" s="20"/>
      <c r="D185" s="20"/>
    </row>
    <row r="186" spans="1:6" x14ac:dyDescent="0.2">
      <c r="A186" s="20"/>
      <c r="B186" s="20"/>
      <c r="C186" s="20"/>
      <c r="D186" s="20"/>
    </row>
    <row r="187" spans="1:6" x14ac:dyDescent="0.2">
      <c r="A187" s="20"/>
      <c r="B187" s="20"/>
      <c r="C187" s="20"/>
      <c r="D187" s="20"/>
    </row>
    <row r="188" spans="1:6" x14ac:dyDescent="0.2">
      <c r="A188" s="20"/>
      <c r="B188" s="20"/>
      <c r="C188" s="20"/>
      <c r="D188" s="20"/>
    </row>
    <row r="189" spans="1:6" x14ac:dyDescent="0.2">
      <c r="A189" s="20"/>
      <c r="B189" s="20"/>
      <c r="C189" s="20"/>
      <c r="D189" s="20"/>
    </row>
    <row r="190" spans="1:6" x14ac:dyDescent="0.2">
      <c r="A190" s="20"/>
      <c r="B190" s="20"/>
      <c r="C190" s="20"/>
      <c r="D190" s="20"/>
    </row>
    <row r="191" spans="1:6" x14ac:dyDescent="0.2">
      <c r="A191" s="20"/>
      <c r="B191" s="20"/>
      <c r="C191" s="20"/>
      <c r="D191" s="20"/>
    </row>
    <row r="192" spans="1:6" x14ac:dyDescent="0.2">
      <c r="A192" s="20"/>
      <c r="B192" s="20"/>
      <c r="C192" s="20"/>
      <c r="D192" s="20"/>
    </row>
    <row r="193" spans="1:4" x14ac:dyDescent="0.2">
      <c r="A193" s="20"/>
      <c r="B193" s="20"/>
      <c r="C193" s="20"/>
      <c r="D193" s="20"/>
    </row>
    <row r="194" spans="1:4" x14ac:dyDescent="0.2">
      <c r="A194" s="20"/>
      <c r="B194" s="20"/>
      <c r="C194" s="20"/>
      <c r="D194" s="20"/>
    </row>
    <row r="195" spans="1:4" x14ac:dyDescent="0.2">
      <c r="A195" s="20"/>
      <c r="B195" s="20"/>
      <c r="C195" s="20"/>
      <c r="D195" s="20"/>
    </row>
    <row r="196" spans="1:4" x14ac:dyDescent="0.2">
      <c r="A196" s="20"/>
      <c r="B196" s="20"/>
      <c r="C196" s="20"/>
      <c r="D196" s="20"/>
    </row>
    <row r="197" spans="1:4" x14ac:dyDescent="0.2">
      <c r="A197" s="20"/>
      <c r="B197" s="20"/>
      <c r="C197" s="20"/>
      <c r="D197" s="20"/>
    </row>
    <row r="198" spans="1:4" x14ac:dyDescent="0.2">
      <c r="A198" s="20"/>
      <c r="B198" s="20"/>
      <c r="C198" s="20"/>
      <c r="D198" s="20"/>
    </row>
    <row r="199" spans="1:4" x14ac:dyDescent="0.2">
      <c r="A199" s="20"/>
      <c r="B199" s="20"/>
      <c r="C199" s="20"/>
      <c r="D199" s="20"/>
    </row>
    <row r="200" spans="1:4" x14ac:dyDescent="0.2">
      <c r="A200" s="20"/>
      <c r="B200" s="20"/>
      <c r="C200" s="20"/>
      <c r="D200" s="20"/>
    </row>
    <row r="201" spans="1:4" x14ac:dyDescent="0.2">
      <c r="A201" s="20"/>
      <c r="B201" s="20"/>
      <c r="C201" s="20"/>
      <c r="D201" s="20"/>
    </row>
    <row r="202" spans="1:4" x14ac:dyDescent="0.2">
      <c r="A202" s="20"/>
      <c r="B202" s="20"/>
      <c r="C202" s="20"/>
      <c r="D202" s="20"/>
    </row>
    <row r="203" spans="1:4" x14ac:dyDescent="0.2">
      <c r="A203" s="20"/>
      <c r="B203" s="20"/>
      <c r="C203" s="20"/>
      <c r="D203" s="20"/>
    </row>
    <row r="204" spans="1:4" x14ac:dyDescent="0.2">
      <c r="A204" s="20"/>
      <c r="B204" s="20"/>
      <c r="C204" s="20"/>
      <c r="D204" s="20"/>
    </row>
    <row r="205" spans="1:4" x14ac:dyDescent="0.2">
      <c r="A205" s="20"/>
      <c r="B205" s="20"/>
      <c r="C205" s="20"/>
      <c r="D205" s="20"/>
    </row>
    <row r="206" spans="1:4" x14ac:dyDescent="0.2">
      <c r="A206" s="20"/>
      <c r="B206" s="20"/>
      <c r="C206" s="20"/>
      <c r="D206" s="20"/>
    </row>
    <row r="207" spans="1:4" x14ac:dyDescent="0.2">
      <c r="A207" s="20"/>
      <c r="B207" s="20"/>
      <c r="C207" s="20"/>
      <c r="D207" s="20"/>
    </row>
    <row r="208" spans="1:4" x14ac:dyDescent="0.2">
      <c r="A208" s="20"/>
      <c r="B208" s="20"/>
      <c r="C208" s="20"/>
      <c r="D208" s="20"/>
    </row>
    <row r="209" spans="1:4" x14ac:dyDescent="0.2">
      <c r="A209" s="20"/>
      <c r="B209" s="20"/>
      <c r="C209" s="20"/>
      <c r="D209" s="20"/>
    </row>
    <row r="210" spans="1:4" x14ac:dyDescent="0.2">
      <c r="A210" s="20"/>
      <c r="B210" s="20"/>
      <c r="C210" s="20"/>
      <c r="D210" s="20"/>
    </row>
    <row r="211" spans="1:4" x14ac:dyDescent="0.2">
      <c r="A211" s="20"/>
      <c r="B211" s="20"/>
      <c r="C211" s="20"/>
      <c r="D211" s="20"/>
    </row>
    <row r="212" spans="1:4" x14ac:dyDescent="0.2">
      <c r="A212" s="20"/>
      <c r="B212" s="20"/>
      <c r="C212" s="20"/>
      <c r="D212" s="20"/>
    </row>
    <row r="213" spans="1:4" x14ac:dyDescent="0.2">
      <c r="A213" s="20"/>
      <c r="B213" s="20"/>
      <c r="C213" s="20"/>
      <c r="D213" s="20"/>
    </row>
    <row r="214" spans="1:4" x14ac:dyDescent="0.2">
      <c r="A214" s="20"/>
      <c r="B214" s="20"/>
      <c r="C214" s="20"/>
      <c r="D214" s="20"/>
    </row>
    <row r="215" spans="1:4" x14ac:dyDescent="0.2">
      <c r="A215" s="20"/>
      <c r="B215" s="20"/>
      <c r="C215" s="20"/>
      <c r="D215" s="20"/>
    </row>
    <row r="216" spans="1:4" x14ac:dyDescent="0.2">
      <c r="A216" s="20"/>
      <c r="B216" s="20"/>
      <c r="C216" s="20"/>
      <c r="D216" s="20"/>
    </row>
    <row r="217" spans="1:4" x14ac:dyDescent="0.2">
      <c r="A217" s="20"/>
      <c r="B217" s="20"/>
      <c r="C217" s="20"/>
      <c r="D217" s="20"/>
    </row>
    <row r="218" spans="1:4" x14ac:dyDescent="0.2">
      <c r="A218" s="20"/>
      <c r="B218" s="20"/>
      <c r="C218" s="20"/>
      <c r="D218" s="20"/>
    </row>
    <row r="219" spans="1:4" x14ac:dyDescent="0.2">
      <c r="A219" s="20"/>
      <c r="B219" s="20"/>
      <c r="C219" s="20"/>
      <c r="D219" s="20"/>
    </row>
    <row r="220" spans="1:4" x14ac:dyDescent="0.2">
      <c r="A220" s="20"/>
      <c r="B220" s="20"/>
      <c r="C220" s="20"/>
      <c r="D220" s="20"/>
    </row>
    <row r="221" spans="1:4" x14ac:dyDescent="0.2">
      <c r="A221" s="20"/>
      <c r="B221" s="20"/>
      <c r="C221" s="20"/>
      <c r="D221" s="20"/>
    </row>
    <row r="222" spans="1:4" x14ac:dyDescent="0.2">
      <c r="A222" s="20"/>
      <c r="B222" s="20"/>
      <c r="C222" s="20"/>
      <c r="D222" s="20"/>
    </row>
    <row r="223" spans="1:4" x14ac:dyDescent="0.2">
      <c r="A223" s="20"/>
      <c r="B223" s="20"/>
      <c r="C223" s="20"/>
      <c r="D223" s="20"/>
    </row>
    <row r="224" spans="1:4" x14ac:dyDescent="0.2">
      <c r="A224" s="20"/>
      <c r="B224" s="20"/>
      <c r="C224" s="20"/>
      <c r="D224" s="20"/>
    </row>
    <row r="225" spans="1:4" x14ac:dyDescent="0.2">
      <c r="A225" s="20"/>
      <c r="B225" s="20"/>
      <c r="C225" s="20"/>
      <c r="D225" s="20"/>
    </row>
    <row r="226" spans="1:4" x14ac:dyDescent="0.2">
      <c r="A226" s="20"/>
      <c r="B226" s="20"/>
      <c r="C226" s="20"/>
      <c r="D226" s="20"/>
    </row>
    <row r="227" spans="1:4" x14ac:dyDescent="0.2">
      <c r="A227" s="20"/>
      <c r="B227" s="20"/>
      <c r="C227" s="20"/>
      <c r="D227" s="20"/>
    </row>
    <row r="228" spans="1:4" x14ac:dyDescent="0.2">
      <c r="A228" s="20"/>
      <c r="B228" s="20"/>
      <c r="C228" s="20"/>
      <c r="D228" s="20"/>
    </row>
    <row r="229" spans="1:4" x14ac:dyDescent="0.2">
      <c r="A229" s="20"/>
      <c r="B229" s="20"/>
      <c r="C229" s="20"/>
      <c r="D229" s="20"/>
    </row>
    <row r="230" spans="1:4" x14ac:dyDescent="0.2">
      <c r="A230" s="20"/>
      <c r="B230" s="20"/>
      <c r="C230" s="20"/>
      <c r="D230" s="20"/>
    </row>
    <row r="231" spans="1:4" x14ac:dyDescent="0.2">
      <c r="A231" s="20"/>
      <c r="B231" s="20"/>
      <c r="C231" s="20"/>
      <c r="D231" s="20"/>
    </row>
    <row r="232" spans="1:4" x14ac:dyDescent="0.2">
      <c r="A232" s="20"/>
      <c r="B232" s="20"/>
      <c r="C232" s="20"/>
      <c r="D232" s="20"/>
    </row>
    <row r="233" spans="1:4" x14ac:dyDescent="0.2">
      <c r="A233" s="20"/>
      <c r="B233" s="20"/>
      <c r="C233" s="20"/>
      <c r="D233" s="20"/>
    </row>
    <row r="234" spans="1:4" x14ac:dyDescent="0.2">
      <c r="A234" s="20"/>
      <c r="B234" s="20"/>
      <c r="C234" s="20"/>
      <c r="D234" s="20"/>
    </row>
    <row r="235" spans="1:4" x14ac:dyDescent="0.2">
      <c r="A235" s="20"/>
      <c r="B235" s="20"/>
      <c r="C235" s="20"/>
      <c r="D235" s="20"/>
    </row>
    <row r="236" spans="1:4" x14ac:dyDescent="0.2">
      <c r="A236" s="20"/>
      <c r="B236" s="20"/>
      <c r="C236" s="20"/>
      <c r="D236" s="20"/>
    </row>
    <row r="237" spans="1:4" x14ac:dyDescent="0.2">
      <c r="A237" s="20"/>
      <c r="B237" s="20"/>
      <c r="C237" s="20"/>
      <c r="D237" s="20"/>
    </row>
    <row r="238" spans="1:4" x14ac:dyDescent="0.2">
      <c r="A238" s="20"/>
      <c r="B238" s="20"/>
      <c r="C238" s="20"/>
      <c r="D238" s="20"/>
    </row>
    <row r="239" spans="1:4" x14ac:dyDescent="0.2">
      <c r="A239" s="20"/>
      <c r="B239" s="20"/>
      <c r="C239" s="20"/>
      <c r="D239" s="20"/>
    </row>
    <row r="240" spans="1:4" x14ac:dyDescent="0.2">
      <c r="A240" s="20"/>
      <c r="B240" s="20"/>
      <c r="C240" s="20"/>
      <c r="D240" s="20"/>
    </row>
    <row r="241" spans="1:4" x14ac:dyDescent="0.2">
      <c r="A241" s="20"/>
      <c r="B241" s="20"/>
      <c r="C241" s="20"/>
      <c r="D241" s="20"/>
    </row>
    <row r="242" spans="1:4" x14ac:dyDescent="0.2">
      <c r="A242" s="20"/>
      <c r="B242" s="20"/>
      <c r="C242" s="20"/>
      <c r="D242" s="20"/>
    </row>
    <row r="243" spans="1:4" x14ac:dyDescent="0.2">
      <c r="A243" s="20"/>
      <c r="B243" s="20"/>
      <c r="C243" s="20"/>
      <c r="D243" s="20"/>
    </row>
    <row r="244" spans="1:4" x14ac:dyDescent="0.2">
      <c r="A244" s="20"/>
      <c r="B244" s="20"/>
      <c r="C244" s="20"/>
      <c r="D244" s="20"/>
    </row>
    <row r="245" spans="1:4" x14ac:dyDescent="0.2">
      <c r="A245" s="20"/>
      <c r="B245" s="20"/>
      <c r="C245" s="20"/>
      <c r="D245" s="20"/>
    </row>
    <row r="246" spans="1:4" x14ac:dyDescent="0.2">
      <c r="A246" s="20"/>
      <c r="B246" s="20"/>
      <c r="C246" s="20"/>
      <c r="D246" s="20"/>
    </row>
    <row r="247" spans="1:4" x14ac:dyDescent="0.2">
      <c r="A247" s="20"/>
      <c r="B247" s="20"/>
      <c r="C247" s="20"/>
      <c r="D247" s="20"/>
    </row>
    <row r="248" spans="1:4" x14ac:dyDescent="0.2">
      <c r="A248" s="20"/>
      <c r="B248" s="20"/>
      <c r="C248" s="20"/>
      <c r="D248" s="20"/>
    </row>
    <row r="249" spans="1:4" x14ac:dyDescent="0.2">
      <c r="A249" s="20"/>
      <c r="B249" s="20"/>
      <c r="C249" s="20"/>
      <c r="D249" s="20"/>
    </row>
    <row r="250" spans="1:4" x14ac:dyDescent="0.2">
      <c r="A250" s="20"/>
      <c r="B250" s="20"/>
      <c r="C250" s="20"/>
      <c r="D250" s="20"/>
    </row>
    <row r="251" spans="1:4" x14ac:dyDescent="0.2">
      <c r="A251" s="20"/>
      <c r="B251" s="20"/>
      <c r="C251" s="20"/>
      <c r="D251" s="20"/>
    </row>
    <row r="252" spans="1:4" x14ac:dyDescent="0.2">
      <c r="A252" s="20"/>
      <c r="B252" s="20"/>
      <c r="C252" s="20"/>
      <c r="D252" s="20"/>
    </row>
    <row r="253" spans="1:4" x14ac:dyDescent="0.2">
      <c r="A253" s="20"/>
      <c r="B253" s="20"/>
      <c r="C253" s="20"/>
      <c r="D253" s="20"/>
    </row>
    <row r="254" spans="1:4" x14ac:dyDescent="0.2">
      <c r="A254" s="20"/>
      <c r="B254" s="20"/>
      <c r="C254" s="20"/>
      <c r="D254" s="20"/>
    </row>
    <row r="255" spans="1:4" x14ac:dyDescent="0.2">
      <c r="A255" s="20"/>
      <c r="B255" s="20"/>
      <c r="C255" s="20"/>
      <c r="D255" s="20"/>
    </row>
    <row r="256" spans="1:4" x14ac:dyDescent="0.2">
      <c r="A256" s="20"/>
      <c r="B256" s="20"/>
      <c r="C256" s="20"/>
      <c r="D256" s="20"/>
    </row>
    <row r="257" spans="1:4" x14ac:dyDescent="0.2">
      <c r="A257" s="20"/>
      <c r="B257" s="20"/>
      <c r="C257" s="20"/>
      <c r="D257" s="20"/>
    </row>
    <row r="258" spans="1:4" x14ac:dyDescent="0.2">
      <c r="A258" s="20"/>
      <c r="B258" s="20"/>
      <c r="C258" s="20"/>
      <c r="D258" s="20"/>
    </row>
    <row r="259" spans="1:4" x14ac:dyDescent="0.2">
      <c r="A259" s="20"/>
      <c r="B259" s="20"/>
      <c r="C259" s="20"/>
      <c r="D259" s="20"/>
    </row>
    <row r="260" spans="1:4" x14ac:dyDescent="0.2">
      <c r="A260" s="20"/>
      <c r="B260" s="20"/>
      <c r="C260" s="20"/>
      <c r="D260" s="20"/>
    </row>
    <row r="261" spans="1:4" x14ac:dyDescent="0.2">
      <c r="A261" s="20"/>
      <c r="B261" s="20"/>
      <c r="C261" s="20"/>
      <c r="D261" s="20"/>
    </row>
    <row r="262" spans="1:4" x14ac:dyDescent="0.2">
      <c r="A262" s="20"/>
      <c r="B262" s="20"/>
      <c r="C262" s="20"/>
      <c r="D262" s="20"/>
    </row>
    <row r="263" spans="1:4" x14ac:dyDescent="0.2">
      <c r="A263" s="20"/>
      <c r="B263" s="20"/>
      <c r="C263" s="20"/>
      <c r="D263" s="20"/>
    </row>
    <row r="264" spans="1:4" x14ac:dyDescent="0.2">
      <c r="A264" s="20"/>
      <c r="B264" s="20"/>
      <c r="C264" s="20"/>
      <c r="D264" s="20"/>
    </row>
    <row r="265" spans="1:4" x14ac:dyDescent="0.2">
      <c r="A265" s="20"/>
      <c r="B265" s="20"/>
      <c r="C265" s="20"/>
      <c r="D265" s="20"/>
    </row>
    <row r="266" spans="1:4" x14ac:dyDescent="0.2">
      <c r="A266" s="20"/>
      <c r="B266" s="20"/>
      <c r="C266" s="20"/>
      <c r="D266" s="20"/>
    </row>
    <row r="267" spans="1:4" x14ac:dyDescent="0.2">
      <c r="A267" s="20"/>
      <c r="B267" s="20"/>
      <c r="C267" s="20"/>
      <c r="D267" s="20"/>
    </row>
    <row r="268" spans="1:4" x14ac:dyDescent="0.2">
      <c r="A268" s="20"/>
      <c r="B268" s="20"/>
      <c r="C268" s="20"/>
      <c r="D268" s="20"/>
    </row>
    <row r="269" spans="1:4" x14ac:dyDescent="0.2">
      <c r="A269" s="20"/>
      <c r="B269" s="20"/>
      <c r="C269" s="20"/>
      <c r="D269" s="20"/>
    </row>
    <row r="270" spans="1:4" x14ac:dyDescent="0.2">
      <c r="A270" s="20"/>
      <c r="B270" s="20"/>
      <c r="C270" s="20"/>
      <c r="D270" s="20"/>
    </row>
    <row r="271" spans="1:4" x14ac:dyDescent="0.2">
      <c r="A271" s="20"/>
      <c r="B271" s="20"/>
      <c r="C271" s="20"/>
      <c r="D271" s="20"/>
    </row>
    <row r="272" spans="1:4" x14ac:dyDescent="0.2">
      <c r="A272" s="20"/>
      <c r="B272" s="20"/>
      <c r="C272" s="20"/>
      <c r="D272" s="20"/>
    </row>
    <row r="273" spans="1:4" x14ac:dyDescent="0.2">
      <c r="A273" s="20"/>
      <c r="B273" s="20"/>
      <c r="C273" s="20"/>
      <c r="D273" s="20"/>
    </row>
    <row r="274" spans="1:4" x14ac:dyDescent="0.2">
      <c r="A274" s="20"/>
      <c r="B274" s="20"/>
      <c r="C274" s="20"/>
      <c r="D274" s="20"/>
    </row>
    <row r="275" spans="1:4" x14ac:dyDescent="0.2">
      <c r="A275" s="20"/>
      <c r="B275" s="20"/>
      <c r="C275" s="20"/>
      <c r="D275" s="20"/>
    </row>
    <row r="276" spans="1:4" x14ac:dyDescent="0.2">
      <c r="A276" s="20"/>
      <c r="B276" s="20"/>
      <c r="C276" s="20"/>
      <c r="D276" s="20"/>
    </row>
    <row r="277" spans="1:4" x14ac:dyDescent="0.2">
      <c r="A277" s="20"/>
      <c r="B277" s="20"/>
      <c r="C277" s="20"/>
      <c r="D277" s="20"/>
    </row>
    <row r="278" spans="1:4" x14ac:dyDescent="0.2">
      <c r="A278" s="20"/>
      <c r="B278" s="20"/>
      <c r="C278" s="20"/>
      <c r="D278" s="20"/>
    </row>
    <row r="279" spans="1:4" x14ac:dyDescent="0.2">
      <c r="A279" s="20"/>
      <c r="B279" s="20"/>
      <c r="C279" s="20"/>
      <c r="D279" s="20"/>
    </row>
    <row r="280" spans="1:4" x14ac:dyDescent="0.2">
      <c r="A280" s="20"/>
      <c r="B280" s="20"/>
      <c r="C280" s="20"/>
      <c r="D280" s="20"/>
    </row>
    <row r="281" spans="1:4" x14ac:dyDescent="0.2">
      <c r="A281" s="20"/>
      <c r="B281" s="20"/>
      <c r="C281" s="20"/>
      <c r="D281" s="20"/>
    </row>
    <row r="282" spans="1:4" x14ac:dyDescent="0.2">
      <c r="A282" s="20"/>
      <c r="B282" s="20"/>
      <c r="C282" s="20"/>
      <c r="D282" s="20"/>
    </row>
    <row r="283" spans="1:4" x14ac:dyDescent="0.2">
      <c r="A283" s="20"/>
      <c r="B283" s="20"/>
      <c r="C283" s="20"/>
      <c r="D283" s="20"/>
    </row>
    <row r="284" spans="1:4" x14ac:dyDescent="0.2">
      <c r="A284" s="20"/>
      <c r="B284" s="20"/>
      <c r="C284" s="20"/>
      <c r="D284" s="20"/>
    </row>
    <row r="285" spans="1:4" x14ac:dyDescent="0.2">
      <c r="A285" s="20"/>
      <c r="B285" s="20"/>
      <c r="C285" s="20"/>
      <c r="D285" s="20"/>
    </row>
    <row r="286" spans="1:4" x14ac:dyDescent="0.2">
      <c r="A286" s="20"/>
      <c r="B286" s="20"/>
      <c r="C286" s="20"/>
      <c r="D286" s="20"/>
    </row>
    <row r="287" spans="1:4" x14ac:dyDescent="0.2">
      <c r="A287" s="20"/>
      <c r="B287" s="20"/>
      <c r="C287" s="20"/>
      <c r="D287" s="20"/>
    </row>
    <row r="288" spans="1:4" x14ac:dyDescent="0.2">
      <c r="A288" s="20"/>
      <c r="B288" s="20"/>
      <c r="C288" s="20"/>
      <c r="D288" s="20"/>
    </row>
    <row r="289" spans="1:4" x14ac:dyDescent="0.2">
      <c r="A289" s="20"/>
      <c r="B289" s="20"/>
      <c r="C289" s="20"/>
      <c r="D289" s="20"/>
    </row>
    <row r="290" spans="1:4" x14ac:dyDescent="0.2">
      <c r="A290" s="20"/>
      <c r="B290" s="20"/>
      <c r="C290" s="20"/>
      <c r="D290" s="20"/>
    </row>
    <row r="291" spans="1:4" x14ac:dyDescent="0.2">
      <c r="A291" s="20"/>
      <c r="B291" s="20"/>
      <c r="C291" s="20"/>
      <c r="D291" s="20"/>
    </row>
    <row r="292" spans="1:4" x14ac:dyDescent="0.2">
      <c r="A292" s="20"/>
      <c r="B292" s="20"/>
      <c r="C292" s="20"/>
      <c r="D292" s="20"/>
    </row>
    <row r="293" spans="1:4" x14ac:dyDescent="0.2">
      <c r="A293" s="20"/>
      <c r="B293" s="20"/>
      <c r="C293" s="20"/>
      <c r="D293" s="20"/>
    </row>
    <row r="294" spans="1:4" x14ac:dyDescent="0.2">
      <c r="A294" s="20"/>
      <c r="B294" s="20"/>
      <c r="C294" s="20"/>
      <c r="D294" s="20"/>
    </row>
    <row r="295" spans="1:4" x14ac:dyDescent="0.2">
      <c r="A295" s="20"/>
      <c r="B295" s="20"/>
      <c r="C295" s="20"/>
      <c r="D295" s="20"/>
    </row>
    <row r="296" spans="1:4" x14ac:dyDescent="0.2">
      <c r="A296" s="20"/>
      <c r="B296" s="20"/>
      <c r="C296" s="20"/>
      <c r="D296" s="20"/>
    </row>
    <row r="297" spans="1:4" x14ac:dyDescent="0.2">
      <c r="A297" s="20"/>
      <c r="B297" s="20"/>
      <c r="C297" s="20"/>
      <c r="D297" s="20"/>
    </row>
    <row r="298" spans="1:4" x14ac:dyDescent="0.2">
      <c r="A298" s="20"/>
      <c r="B298" s="20"/>
      <c r="C298" s="20"/>
      <c r="D298" s="20"/>
    </row>
    <row r="299" spans="1:4" x14ac:dyDescent="0.2">
      <c r="A299" s="20"/>
      <c r="B299" s="20"/>
      <c r="C299" s="20"/>
      <c r="D299" s="20"/>
    </row>
    <row r="300" spans="1:4" x14ac:dyDescent="0.2">
      <c r="A300" s="20"/>
      <c r="B300" s="20"/>
      <c r="C300" s="20"/>
      <c r="D300" s="20"/>
    </row>
    <row r="301" spans="1:4" x14ac:dyDescent="0.2">
      <c r="A301" s="20"/>
      <c r="B301" s="20"/>
      <c r="C301" s="20"/>
      <c r="D301" s="20"/>
    </row>
    <row r="302" spans="1:4" x14ac:dyDescent="0.2">
      <c r="A302" s="20"/>
      <c r="B302" s="20"/>
      <c r="C302" s="20"/>
      <c r="D302" s="20"/>
    </row>
    <row r="303" spans="1:4" x14ac:dyDescent="0.2">
      <c r="A303" s="20"/>
      <c r="B303" s="20"/>
      <c r="C303" s="20"/>
      <c r="D303" s="20"/>
    </row>
    <row r="304" spans="1:4" x14ac:dyDescent="0.2">
      <c r="A304" s="20"/>
      <c r="B304" s="20"/>
      <c r="C304" s="20"/>
      <c r="D304" s="20"/>
    </row>
    <row r="305" spans="1:4" x14ac:dyDescent="0.2">
      <c r="A305" s="20"/>
      <c r="B305" s="20"/>
      <c r="C305" s="20"/>
      <c r="D305" s="20"/>
    </row>
    <row r="306" spans="1:4" x14ac:dyDescent="0.2">
      <c r="A306" s="20"/>
      <c r="B306" s="20"/>
      <c r="C306" s="20"/>
      <c r="D306" s="20"/>
    </row>
    <row r="307" spans="1:4" x14ac:dyDescent="0.2">
      <c r="A307" s="20"/>
      <c r="B307" s="20"/>
      <c r="C307" s="20"/>
      <c r="D307" s="20"/>
    </row>
    <row r="308" spans="1:4" x14ac:dyDescent="0.2">
      <c r="A308" s="20"/>
      <c r="B308" s="20"/>
      <c r="C308" s="20"/>
      <c r="D308" s="20"/>
    </row>
    <row r="309" spans="1:4" x14ac:dyDescent="0.2">
      <c r="A309" s="20"/>
      <c r="B309" s="20"/>
      <c r="C309" s="20"/>
      <c r="D309" s="20"/>
    </row>
    <row r="310" spans="1:4" x14ac:dyDescent="0.2">
      <c r="A310" s="20"/>
      <c r="B310" s="20"/>
      <c r="C310" s="20"/>
      <c r="D310" s="20"/>
    </row>
    <row r="311" spans="1:4" x14ac:dyDescent="0.2">
      <c r="A311" s="20"/>
      <c r="B311" s="20"/>
      <c r="C311" s="20"/>
      <c r="D311" s="20"/>
    </row>
    <row r="312" spans="1:4" x14ac:dyDescent="0.2">
      <c r="A312" s="20"/>
      <c r="B312" s="20"/>
      <c r="C312" s="20"/>
      <c r="D312" s="20"/>
    </row>
    <row r="313" spans="1:4" x14ac:dyDescent="0.2">
      <c r="A313" s="20"/>
      <c r="B313" s="20"/>
      <c r="C313" s="20"/>
      <c r="D313" s="20"/>
    </row>
    <row r="314" spans="1:4" x14ac:dyDescent="0.2">
      <c r="A314" s="20"/>
      <c r="B314" s="20"/>
      <c r="C314" s="20"/>
      <c r="D314" s="20"/>
    </row>
    <row r="315" spans="1:4" x14ac:dyDescent="0.2">
      <c r="A315" s="20"/>
      <c r="B315" s="20"/>
      <c r="C315" s="20"/>
      <c r="D315" s="20"/>
    </row>
    <row r="316" spans="1:4" x14ac:dyDescent="0.2">
      <c r="A316" s="20"/>
      <c r="B316" s="20"/>
      <c r="C316" s="20"/>
      <c r="D316" s="20"/>
    </row>
    <row r="317" spans="1:4" x14ac:dyDescent="0.2">
      <c r="A317" s="20"/>
      <c r="B317" s="20"/>
      <c r="C317" s="20"/>
      <c r="D317" s="20"/>
    </row>
    <row r="318" spans="1:4" x14ac:dyDescent="0.2">
      <c r="A318" s="20"/>
      <c r="B318" s="20"/>
      <c r="C318" s="20"/>
      <c r="D318" s="20"/>
    </row>
    <row r="319" spans="1:4" x14ac:dyDescent="0.2">
      <c r="A319" s="20"/>
      <c r="B319" s="20"/>
      <c r="C319" s="20"/>
      <c r="D319" s="20"/>
    </row>
    <row r="320" spans="1:4" x14ac:dyDescent="0.2">
      <c r="A320" s="20"/>
      <c r="B320" s="20"/>
      <c r="C320" s="20"/>
      <c r="D320" s="20"/>
    </row>
    <row r="321" spans="1:4" x14ac:dyDescent="0.2">
      <c r="A321" s="20"/>
      <c r="B321" s="20"/>
      <c r="C321" s="20"/>
      <c r="D321" s="20"/>
    </row>
    <row r="322" spans="1:4" x14ac:dyDescent="0.2">
      <c r="A322" s="20"/>
      <c r="B322" s="20"/>
      <c r="C322" s="20"/>
      <c r="D322" s="20"/>
    </row>
    <row r="323" spans="1:4" x14ac:dyDescent="0.2">
      <c r="A323" s="20"/>
      <c r="B323" s="20"/>
      <c r="C323" s="20"/>
      <c r="D323" s="20"/>
    </row>
    <row r="324" spans="1:4" x14ac:dyDescent="0.2">
      <c r="A324" s="20"/>
      <c r="B324" s="20"/>
      <c r="C324" s="20"/>
      <c r="D324" s="20"/>
    </row>
    <row r="325" spans="1:4" x14ac:dyDescent="0.2">
      <c r="A325" s="20"/>
      <c r="B325" s="20"/>
      <c r="C325" s="20"/>
      <c r="D325" s="20"/>
    </row>
    <row r="326" spans="1:4" x14ac:dyDescent="0.2">
      <c r="A326" s="20"/>
      <c r="B326" s="20"/>
      <c r="C326" s="20"/>
      <c r="D326" s="20"/>
    </row>
    <row r="327" spans="1:4" x14ac:dyDescent="0.2">
      <c r="A327" s="20"/>
      <c r="B327" s="20"/>
      <c r="C327" s="20"/>
      <c r="D327" s="20"/>
    </row>
    <row r="328" spans="1:4" x14ac:dyDescent="0.2">
      <c r="A328" s="20"/>
      <c r="B328" s="20"/>
      <c r="C328" s="20"/>
      <c r="D328" s="20"/>
    </row>
    <row r="329" spans="1:4" x14ac:dyDescent="0.2">
      <c r="A329" s="20"/>
      <c r="B329" s="20"/>
      <c r="C329" s="20"/>
      <c r="D329" s="20"/>
    </row>
    <row r="330" spans="1:4" x14ac:dyDescent="0.2">
      <c r="A330" s="20"/>
      <c r="B330" s="20"/>
      <c r="C330" s="20"/>
      <c r="D330" s="20"/>
    </row>
    <row r="331" spans="1:4" x14ac:dyDescent="0.2">
      <c r="A331" s="20"/>
      <c r="B331" s="20"/>
      <c r="C331" s="20"/>
      <c r="D331" s="20"/>
    </row>
    <row r="332" spans="1:4" x14ac:dyDescent="0.2">
      <c r="A332" s="20"/>
      <c r="B332" s="20"/>
      <c r="C332" s="20"/>
      <c r="D332" s="20"/>
    </row>
    <row r="333" spans="1:4" x14ac:dyDescent="0.2">
      <c r="A333" s="20"/>
      <c r="B333" s="20"/>
      <c r="C333" s="20"/>
      <c r="D333" s="20"/>
    </row>
    <row r="334" spans="1:4" x14ac:dyDescent="0.2">
      <c r="A334" s="20"/>
      <c r="B334" s="20"/>
      <c r="C334" s="20"/>
      <c r="D334" s="20"/>
    </row>
    <row r="335" spans="1:4" x14ac:dyDescent="0.2">
      <c r="A335" s="20"/>
      <c r="B335" s="20"/>
      <c r="C335" s="20"/>
      <c r="D335" s="20"/>
    </row>
    <row r="336" spans="1:4" x14ac:dyDescent="0.2">
      <c r="A336" s="20"/>
      <c r="B336" s="20"/>
      <c r="C336" s="20"/>
      <c r="D336" s="20"/>
    </row>
    <row r="337" spans="1:4" x14ac:dyDescent="0.2">
      <c r="A337" s="20"/>
      <c r="B337" s="20"/>
      <c r="C337" s="20"/>
      <c r="D337" s="20"/>
    </row>
    <row r="338" spans="1:4" x14ac:dyDescent="0.2">
      <c r="A338" s="20"/>
      <c r="B338" s="20"/>
      <c r="C338" s="20"/>
      <c r="D338" s="20"/>
    </row>
    <row r="339" spans="1:4" x14ac:dyDescent="0.2">
      <c r="A339" s="20"/>
      <c r="B339" s="20"/>
      <c r="C339" s="20"/>
      <c r="D339" s="20"/>
    </row>
    <row r="340" spans="1:4" x14ac:dyDescent="0.2">
      <c r="A340" s="20"/>
      <c r="B340" s="20"/>
      <c r="C340" s="20"/>
      <c r="D340" s="20"/>
    </row>
    <row r="341" spans="1:4" x14ac:dyDescent="0.2">
      <c r="A341" s="20"/>
      <c r="B341" s="20"/>
      <c r="C341" s="20"/>
      <c r="D341" s="20"/>
    </row>
    <row r="342" spans="1:4" x14ac:dyDescent="0.2">
      <c r="A342" s="20"/>
      <c r="B342" s="20"/>
      <c r="C342" s="20"/>
      <c r="D342" s="20"/>
    </row>
    <row r="343" spans="1:4" x14ac:dyDescent="0.2">
      <c r="A343" s="20"/>
      <c r="B343" s="20"/>
      <c r="C343" s="20"/>
      <c r="D343" s="20"/>
    </row>
    <row r="344" spans="1:4" x14ac:dyDescent="0.2">
      <c r="A344" s="20"/>
      <c r="B344" s="20"/>
      <c r="C344" s="20"/>
      <c r="D344" s="20"/>
    </row>
    <row r="345" spans="1:4" x14ac:dyDescent="0.2">
      <c r="A345" s="20"/>
      <c r="B345" s="20"/>
      <c r="C345" s="20"/>
      <c r="D345" s="20"/>
    </row>
    <row r="346" spans="1:4" x14ac:dyDescent="0.2">
      <c r="A346" s="20"/>
      <c r="B346" s="20"/>
      <c r="C346" s="20"/>
      <c r="D346" s="20"/>
    </row>
    <row r="347" spans="1:4" x14ac:dyDescent="0.2">
      <c r="A347" s="20"/>
      <c r="B347" s="20"/>
      <c r="C347" s="20"/>
      <c r="D347" s="20"/>
    </row>
    <row r="348" spans="1:4" x14ac:dyDescent="0.2">
      <c r="A348" s="20"/>
      <c r="B348" s="20"/>
      <c r="C348" s="20"/>
      <c r="D348" s="20"/>
    </row>
    <row r="349" spans="1:4" x14ac:dyDescent="0.2">
      <c r="A349" s="20"/>
      <c r="B349" s="20"/>
      <c r="C349" s="20"/>
      <c r="D349" s="20"/>
    </row>
    <row r="350" spans="1:4" x14ac:dyDescent="0.2">
      <c r="A350" s="20"/>
      <c r="B350" s="20"/>
      <c r="C350" s="20"/>
      <c r="D350" s="20"/>
    </row>
    <row r="351" spans="1:4" x14ac:dyDescent="0.2">
      <c r="A351" s="20"/>
      <c r="B351" s="20"/>
      <c r="C351" s="20"/>
      <c r="D351" s="20"/>
    </row>
    <row r="352" spans="1:4" x14ac:dyDescent="0.2">
      <c r="A352" s="20"/>
      <c r="B352" s="20"/>
      <c r="C352" s="20"/>
      <c r="D352" s="20"/>
    </row>
    <row r="353" spans="1:4" x14ac:dyDescent="0.2">
      <c r="A353" s="20"/>
      <c r="B353" s="20"/>
      <c r="C353" s="20"/>
      <c r="D353" s="20"/>
    </row>
    <row r="354" spans="1:4" x14ac:dyDescent="0.2">
      <c r="A354" s="20"/>
      <c r="B354" s="20"/>
      <c r="C354" s="20"/>
      <c r="D354" s="20"/>
    </row>
    <row r="355" spans="1:4" x14ac:dyDescent="0.2">
      <c r="A355" s="20"/>
      <c r="B355" s="20"/>
      <c r="C355" s="20"/>
      <c r="D355" s="20"/>
    </row>
    <row r="356" spans="1:4" x14ac:dyDescent="0.2">
      <c r="A356" s="20"/>
      <c r="B356" s="20"/>
      <c r="C356" s="20"/>
      <c r="D356" s="20"/>
    </row>
    <row r="357" spans="1:4" x14ac:dyDescent="0.2">
      <c r="A357" s="20"/>
      <c r="B357" s="20"/>
      <c r="C357" s="20"/>
      <c r="D357" s="20"/>
    </row>
    <row r="358" spans="1:4" x14ac:dyDescent="0.2">
      <c r="A358" s="20"/>
      <c r="B358" s="20"/>
      <c r="C358" s="20"/>
      <c r="D358" s="20"/>
    </row>
    <row r="359" spans="1:4" x14ac:dyDescent="0.2">
      <c r="A359" s="20"/>
      <c r="B359" s="20"/>
      <c r="C359" s="20"/>
      <c r="D359" s="20"/>
    </row>
    <row r="360" spans="1:4" x14ac:dyDescent="0.2">
      <c r="A360" s="20"/>
      <c r="B360" s="20"/>
      <c r="C360" s="20"/>
      <c r="D360" s="20"/>
    </row>
    <row r="361" spans="1:4" x14ac:dyDescent="0.2">
      <c r="A361" s="20"/>
      <c r="B361" s="20"/>
      <c r="C361" s="20"/>
      <c r="D361" s="20"/>
    </row>
    <row r="362" spans="1:4" x14ac:dyDescent="0.2">
      <c r="A362" s="20"/>
      <c r="B362" s="20"/>
      <c r="C362" s="20"/>
      <c r="D362" s="20"/>
    </row>
    <row r="363" spans="1:4" x14ac:dyDescent="0.2">
      <c r="A363" s="20"/>
      <c r="B363" s="20"/>
      <c r="C363" s="20"/>
      <c r="D363" s="20"/>
    </row>
    <row r="364" spans="1:4" x14ac:dyDescent="0.2">
      <c r="A364" s="20"/>
      <c r="B364" s="20"/>
      <c r="C364" s="20"/>
      <c r="D364" s="20"/>
    </row>
    <row r="365" spans="1:4" x14ac:dyDescent="0.2">
      <c r="A365" s="20"/>
      <c r="B365" s="20"/>
      <c r="C365" s="20"/>
      <c r="D365" s="20"/>
    </row>
    <row r="366" spans="1:4" x14ac:dyDescent="0.2">
      <c r="A366" s="20"/>
      <c r="B366" s="20"/>
      <c r="C366" s="20"/>
      <c r="D366" s="20"/>
    </row>
    <row r="367" spans="1:4" x14ac:dyDescent="0.2">
      <c r="A367" s="20"/>
      <c r="B367" s="20"/>
      <c r="C367" s="20"/>
      <c r="D367" s="20"/>
    </row>
    <row r="368" spans="1:4" x14ac:dyDescent="0.2">
      <c r="A368" s="20"/>
      <c r="B368" s="20"/>
      <c r="C368" s="20"/>
      <c r="D368" s="20"/>
    </row>
    <row r="369" spans="1:4" x14ac:dyDescent="0.2">
      <c r="A369" s="20"/>
      <c r="B369" s="20"/>
      <c r="C369" s="20"/>
      <c r="D369" s="20"/>
    </row>
    <row r="370" spans="1:4" x14ac:dyDescent="0.2">
      <c r="A370" s="20"/>
      <c r="B370" s="20"/>
      <c r="C370" s="20"/>
      <c r="D370" s="20"/>
    </row>
    <row r="371" spans="1:4" x14ac:dyDescent="0.2">
      <c r="A371" s="20"/>
      <c r="B371" s="20"/>
      <c r="C371" s="20"/>
      <c r="D371" s="20"/>
    </row>
    <row r="372" spans="1:4" x14ac:dyDescent="0.2">
      <c r="A372" s="20"/>
      <c r="B372" s="20"/>
      <c r="C372" s="20"/>
      <c r="D372" s="20"/>
    </row>
    <row r="373" spans="1:4" x14ac:dyDescent="0.2">
      <c r="A373" s="20"/>
      <c r="B373" s="20"/>
      <c r="C373" s="20"/>
      <c r="D373" s="20"/>
    </row>
    <row r="374" spans="1:4" x14ac:dyDescent="0.2">
      <c r="A374" s="20"/>
      <c r="B374" s="20"/>
      <c r="C374" s="20"/>
      <c r="D374" s="20"/>
    </row>
    <row r="375" spans="1:4" x14ac:dyDescent="0.2">
      <c r="A375" s="20"/>
      <c r="B375" s="20"/>
      <c r="C375" s="20"/>
      <c r="D375" s="20"/>
    </row>
    <row r="376" spans="1:4" x14ac:dyDescent="0.2">
      <c r="A376" s="20"/>
      <c r="B376" s="20"/>
      <c r="C376" s="20"/>
      <c r="D376" s="20"/>
    </row>
    <row r="377" spans="1:4" x14ac:dyDescent="0.2">
      <c r="A377" s="20"/>
      <c r="B377" s="20"/>
      <c r="C377" s="20"/>
      <c r="D377" s="20"/>
    </row>
    <row r="378" spans="1:4" x14ac:dyDescent="0.2">
      <c r="A378" s="20"/>
      <c r="B378" s="20"/>
      <c r="C378" s="20"/>
      <c r="D378" s="20"/>
    </row>
    <row r="379" spans="1:4" x14ac:dyDescent="0.2">
      <c r="A379" s="20"/>
      <c r="B379" s="20"/>
      <c r="C379" s="20"/>
      <c r="D379" s="20"/>
    </row>
    <row r="380" spans="1:4" x14ac:dyDescent="0.2">
      <c r="A380" s="20"/>
      <c r="B380" s="20"/>
      <c r="C380" s="20"/>
      <c r="D380" s="20"/>
    </row>
    <row r="381" spans="1:4" x14ac:dyDescent="0.2">
      <c r="A381" s="20"/>
      <c r="B381" s="20"/>
      <c r="C381" s="20"/>
      <c r="D381" s="20"/>
    </row>
    <row r="382" spans="1:4" x14ac:dyDescent="0.2">
      <c r="A382" s="20"/>
      <c r="B382" s="20"/>
      <c r="C382" s="20"/>
      <c r="D382" s="20"/>
    </row>
    <row r="383" spans="1:4" x14ac:dyDescent="0.2">
      <c r="A383" s="20"/>
      <c r="B383" s="20"/>
      <c r="C383" s="20"/>
      <c r="D383" s="20"/>
    </row>
    <row r="384" spans="1:4" x14ac:dyDescent="0.2">
      <c r="A384" s="20"/>
      <c r="B384" s="20"/>
      <c r="C384" s="20"/>
      <c r="D384" s="20"/>
    </row>
    <row r="385" spans="1:4" x14ac:dyDescent="0.2">
      <c r="A385" s="20"/>
      <c r="B385" s="20"/>
      <c r="C385" s="20"/>
      <c r="D385" s="20"/>
    </row>
    <row r="386" spans="1:4" x14ac:dyDescent="0.2">
      <c r="A386" s="20"/>
      <c r="B386" s="20"/>
      <c r="C386" s="20"/>
      <c r="D386" s="20"/>
    </row>
    <row r="387" spans="1:4" x14ac:dyDescent="0.2">
      <c r="A387" s="20"/>
      <c r="B387" s="20"/>
      <c r="C387" s="20"/>
      <c r="D387" s="20"/>
    </row>
    <row r="388" spans="1:4" x14ac:dyDescent="0.2">
      <c r="A388" s="20"/>
      <c r="B388" s="20"/>
      <c r="C388" s="20"/>
      <c r="D388" s="20"/>
    </row>
    <row r="389" spans="1:4" x14ac:dyDescent="0.2">
      <c r="A389" s="20"/>
      <c r="B389" s="20"/>
      <c r="C389" s="20"/>
      <c r="D389" s="20"/>
    </row>
    <row r="390" spans="1:4" x14ac:dyDescent="0.2">
      <c r="A390" s="20"/>
      <c r="B390" s="20"/>
      <c r="C390" s="20"/>
      <c r="D390" s="20"/>
    </row>
    <row r="391" spans="1:4" x14ac:dyDescent="0.2">
      <c r="A391" s="20"/>
      <c r="B391" s="20"/>
      <c r="C391" s="20"/>
      <c r="D391" s="20"/>
    </row>
    <row r="392" spans="1:4" x14ac:dyDescent="0.2">
      <c r="A392" s="20"/>
      <c r="B392" s="20"/>
      <c r="C392" s="20"/>
      <c r="D392" s="20"/>
    </row>
    <row r="393" spans="1:4" x14ac:dyDescent="0.2">
      <c r="A393" s="20"/>
      <c r="B393" s="20"/>
      <c r="C393" s="20"/>
      <c r="D393" s="20"/>
    </row>
    <row r="394" spans="1:4" x14ac:dyDescent="0.2">
      <c r="A394" s="20"/>
      <c r="B394" s="20"/>
      <c r="C394" s="20"/>
      <c r="D394" s="20"/>
    </row>
    <row r="395" spans="1:4" x14ac:dyDescent="0.2">
      <c r="A395" s="20"/>
      <c r="B395" s="20"/>
      <c r="C395" s="20"/>
      <c r="D395" s="20"/>
    </row>
    <row r="396" spans="1:4" x14ac:dyDescent="0.2">
      <c r="A396" s="20"/>
      <c r="B396" s="20"/>
      <c r="C396" s="20"/>
      <c r="D396" s="20"/>
    </row>
    <row r="397" spans="1:4" x14ac:dyDescent="0.2">
      <c r="A397" s="20"/>
      <c r="B397" s="20"/>
      <c r="C397" s="20"/>
      <c r="D397" s="20"/>
    </row>
    <row r="398" spans="1:4" x14ac:dyDescent="0.2">
      <c r="A398" s="20"/>
      <c r="B398" s="20"/>
      <c r="C398" s="20"/>
      <c r="D398" s="20"/>
    </row>
    <row r="399" spans="1:4" x14ac:dyDescent="0.2">
      <c r="A399" s="20"/>
      <c r="B399" s="20"/>
      <c r="C399" s="20"/>
      <c r="D399" s="20"/>
    </row>
    <row r="400" spans="1:4" x14ac:dyDescent="0.2">
      <c r="A400" s="20"/>
      <c r="B400" s="20"/>
      <c r="C400" s="20"/>
      <c r="D400" s="20"/>
    </row>
    <row r="401" spans="1:4" x14ac:dyDescent="0.2">
      <c r="A401" s="20"/>
      <c r="B401" s="20"/>
      <c r="C401" s="20"/>
      <c r="D401" s="20"/>
    </row>
    <row r="402" spans="1:4" x14ac:dyDescent="0.2">
      <c r="A402" s="20"/>
      <c r="B402" s="20"/>
      <c r="C402" s="20"/>
      <c r="D402" s="20"/>
    </row>
    <row r="403" spans="1:4" x14ac:dyDescent="0.2">
      <c r="A403" s="20"/>
      <c r="B403" s="20"/>
      <c r="C403" s="20"/>
      <c r="D403" s="20"/>
    </row>
    <row r="404" spans="1:4" x14ac:dyDescent="0.2">
      <c r="A404" s="20"/>
      <c r="B404" s="20"/>
      <c r="C404" s="20"/>
      <c r="D404" s="20"/>
    </row>
    <row r="405" spans="1:4" x14ac:dyDescent="0.2">
      <c r="A405" s="20"/>
      <c r="B405" s="20"/>
      <c r="C405" s="20"/>
      <c r="D405" s="20"/>
    </row>
    <row r="406" spans="1:4" x14ac:dyDescent="0.2">
      <c r="A406" s="20"/>
      <c r="B406" s="20"/>
      <c r="C406" s="20"/>
      <c r="D406" s="20"/>
    </row>
    <row r="407" spans="1:4" x14ac:dyDescent="0.2">
      <c r="A407" s="20"/>
      <c r="B407" s="20"/>
      <c r="C407" s="20"/>
      <c r="D407" s="20"/>
    </row>
    <row r="408" spans="1:4" x14ac:dyDescent="0.2">
      <c r="A408" s="20"/>
      <c r="B408" s="20"/>
      <c r="C408" s="20"/>
      <c r="D408" s="20"/>
    </row>
    <row r="409" spans="1:4" x14ac:dyDescent="0.2">
      <c r="A409" s="20"/>
      <c r="B409" s="20"/>
      <c r="C409" s="20"/>
      <c r="D409" s="20"/>
    </row>
    <row r="410" spans="1:4" x14ac:dyDescent="0.2">
      <c r="A410" s="20"/>
      <c r="B410" s="20"/>
      <c r="C410" s="20"/>
      <c r="D410" s="20"/>
    </row>
    <row r="411" spans="1:4" x14ac:dyDescent="0.2">
      <c r="A411" s="20"/>
      <c r="B411" s="20"/>
      <c r="C411" s="20"/>
      <c r="D411" s="20"/>
    </row>
    <row r="412" spans="1:4" x14ac:dyDescent="0.2">
      <c r="A412" s="20"/>
      <c r="B412" s="20"/>
      <c r="C412" s="20"/>
      <c r="D412" s="20"/>
    </row>
    <row r="413" spans="1:4" x14ac:dyDescent="0.2">
      <c r="A413" s="20"/>
      <c r="B413" s="20"/>
      <c r="C413" s="20"/>
      <c r="D413" s="20"/>
    </row>
    <row r="414" spans="1:4" x14ac:dyDescent="0.2">
      <c r="A414" s="20"/>
      <c r="B414" s="20"/>
      <c r="C414" s="20"/>
      <c r="D414" s="20"/>
    </row>
    <row r="415" spans="1:4" x14ac:dyDescent="0.2">
      <c r="A415" s="20"/>
      <c r="B415" s="20"/>
      <c r="C415" s="20"/>
      <c r="D415" s="20"/>
    </row>
    <row r="416" spans="1:4" x14ac:dyDescent="0.2">
      <c r="A416" s="20"/>
      <c r="B416" s="20"/>
      <c r="C416" s="20"/>
      <c r="D416" s="20"/>
    </row>
    <row r="417" spans="1:4" x14ac:dyDescent="0.2">
      <c r="A417" s="20"/>
      <c r="B417" s="20"/>
      <c r="C417" s="20"/>
      <c r="D417" s="20"/>
    </row>
    <row r="418" spans="1:4" x14ac:dyDescent="0.2">
      <c r="A418" s="20"/>
      <c r="B418" s="20"/>
      <c r="C418" s="20"/>
      <c r="D418" s="20"/>
    </row>
    <row r="419" spans="1:4" x14ac:dyDescent="0.2">
      <c r="A419" s="20"/>
      <c r="B419" s="20"/>
      <c r="C419" s="20"/>
      <c r="D419" s="20"/>
    </row>
    <row r="420" spans="1:4" x14ac:dyDescent="0.2">
      <c r="A420" s="20"/>
      <c r="B420" s="20"/>
      <c r="C420" s="20"/>
      <c r="D420" s="20"/>
    </row>
    <row r="421" spans="1:4" x14ac:dyDescent="0.2">
      <c r="A421" s="20"/>
      <c r="B421" s="20"/>
      <c r="C421" s="20"/>
      <c r="D421" s="20"/>
    </row>
    <row r="422" spans="1:4" x14ac:dyDescent="0.2">
      <c r="A422" s="20"/>
      <c r="B422" s="20"/>
      <c r="C422" s="20"/>
      <c r="D422" s="20"/>
    </row>
    <row r="423" spans="1:4" x14ac:dyDescent="0.2">
      <c r="A423" s="20"/>
      <c r="B423" s="20"/>
      <c r="C423" s="20"/>
      <c r="D423" s="20"/>
    </row>
    <row r="424" spans="1:4" x14ac:dyDescent="0.2">
      <c r="A424" s="20"/>
      <c r="B424" s="20"/>
      <c r="C424" s="20"/>
      <c r="D424" s="20"/>
    </row>
    <row r="425" spans="1:4" x14ac:dyDescent="0.2">
      <c r="A425" s="20"/>
      <c r="B425" s="20"/>
      <c r="C425" s="20"/>
      <c r="D425" s="20"/>
    </row>
    <row r="426" spans="1:4" x14ac:dyDescent="0.2">
      <c r="A426" s="20"/>
      <c r="B426" s="20"/>
      <c r="C426" s="20"/>
      <c r="D426" s="20"/>
    </row>
    <row r="427" spans="1:4" x14ac:dyDescent="0.2">
      <c r="A427" s="20"/>
      <c r="B427" s="20"/>
      <c r="C427" s="20"/>
      <c r="D427" s="20"/>
    </row>
    <row r="428" spans="1:4" x14ac:dyDescent="0.2">
      <c r="A428" s="20"/>
      <c r="B428" s="20"/>
      <c r="C428" s="20"/>
      <c r="D428" s="20"/>
    </row>
    <row r="429" spans="1:4" x14ac:dyDescent="0.2">
      <c r="A429" s="20"/>
      <c r="B429" s="20"/>
      <c r="C429" s="20"/>
      <c r="D429" s="20"/>
    </row>
    <row r="430" spans="1:4" x14ac:dyDescent="0.2">
      <c r="A430" s="20"/>
      <c r="B430" s="20"/>
      <c r="C430" s="20"/>
      <c r="D430" s="20"/>
    </row>
    <row r="431" spans="1:4" x14ac:dyDescent="0.2">
      <c r="A431" s="20"/>
      <c r="B431" s="20"/>
      <c r="C431" s="20"/>
      <c r="D431" s="20"/>
    </row>
    <row r="432" spans="1:4" x14ac:dyDescent="0.2">
      <c r="A432" s="20"/>
      <c r="B432" s="20"/>
      <c r="C432" s="20"/>
      <c r="D432" s="20"/>
    </row>
    <row r="433" spans="1:4" x14ac:dyDescent="0.2">
      <c r="A433" s="20"/>
      <c r="B433" s="20"/>
      <c r="C433" s="20"/>
      <c r="D433" s="20"/>
    </row>
    <row r="434" spans="1:4" x14ac:dyDescent="0.2">
      <c r="A434" s="20"/>
      <c r="B434" s="20"/>
      <c r="C434" s="20"/>
      <c r="D434" s="20"/>
    </row>
    <row r="435" spans="1:4" x14ac:dyDescent="0.2">
      <c r="A435" s="20"/>
      <c r="B435" s="20"/>
      <c r="C435" s="20"/>
      <c r="D435" s="20"/>
    </row>
    <row r="436" spans="1:4" x14ac:dyDescent="0.2">
      <c r="A436" s="20"/>
      <c r="B436" s="20"/>
      <c r="C436" s="20"/>
      <c r="D436" s="20"/>
    </row>
    <row r="437" spans="1:4" x14ac:dyDescent="0.2">
      <c r="A437" s="20"/>
      <c r="B437" s="20"/>
      <c r="C437" s="20"/>
      <c r="D437" s="20"/>
    </row>
    <row r="438" spans="1:4" x14ac:dyDescent="0.2">
      <c r="A438" s="20"/>
      <c r="B438" s="20"/>
      <c r="C438" s="20"/>
      <c r="D438" s="20"/>
    </row>
    <row r="439" spans="1:4" x14ac:dyDescent="0.2">
      <c r="A439" s="20"/>
      <c r="B439" s="20"/>
      <c r="C439" s="20"/>
      <c r="D439" s="20"/>
    </row>
    <row r="440" spans="1:4" x14ac:dyDescent="0.2">
      <c r="A440" s="20"/>
      <c r="B440" s="20"/>
      <c r="C440" s="20"/>
      <c r="D440" s="20"/>
    </row>
    <row r="441" spans="1:4" x14ac:dyDescent="0.2">
      <c r="A441" s="20"/>
      <c r="B441" s="20"/>
      <c r="C441" s="20"/>
      <c r="D441" s="20"/>
    </row>
    <row r="442" spans="1:4" x14ac:dyDescent="0.2">
      <c r="A442" s="20"/>
      <c r="B442" s="20"/>
      <c r="C442" s="20"/>
      <c r="D442" s="20"/>
    </row>
    <row r="443" spans="1:4" x14ac:dyDescent="0.2">
      <c r="A443" s="20"/>
      <c r="B443" s="20"/>
      <c r="C443" s="20"/>
      <c r="D443" s="20"/>
    </row>
    <row r="444" spans="1:4" x14ac:dyDescent="0.2">
      <c r="A444" s="20"/>
      <c r="B444" s="20"/>
      <c r="C444" s="20"/>
      <c r="D444" s="20"/>
    </row>
    <row r="445" spans="1:4" x14ac:dyDescent="0.2">
      <c r="A445" s="20"/>
      <c r="B445" s="20"/>
      <c r="C445" s="20"/>
      <c r="D445" s="20"/>
    </row>
    <row r="446" spans="1:4" x14ac:dyDescent="0.2">
      <c r="A446" s="20"/>
      <c r="B446" s="20"/>
      <c r="C446" s="20"/>
      <c r="D446" s="20"/>
    </row>
    <row r="447" spans="1:4" x14ac:dyDescent="0.2">
      <c r="A447" s="20"/>
      <c r="B447" s="20"/>
      <c r="C447" s="20"/>
      <c r="D447" s="20"/>
    </row>
    <row r="448" spans="1:4" x14ac:dyDescent="0.2">
      <c r="A448" s="20"/>
      <c r="B448" s="20"/>
      <c r="C448" s="20"/>
      <c r="D448" s="20"/>
    </row>
    <row r="449" spans="1:4" x14ac:dyDescent="0.2">
      <c r="A449" s="20"/>
      <c r="B449" s="20"/>
      <c r="C449" s="20"/>
      <c r="D449" s="20"/>
    </row>
    <row r="450" spans="1:4" x14ac:dyDescent="0.2">
      <c r="A450" s="20"/>
      <c r="B450" s="20"/>
      <c r="C450" s="20"/>
      <c r="D450" s="20"/>
    </row>
    <row r="451" spans="1:4" x14ac:dyDescent="0.2">
      <c r="A451" s="20"/>
      <c r="B451" s="20"/>
      <c r="C451" s="20"/>
      <c r="D451" s="20"/>
    </row>
    <row r="452" spans="1:4" x14ac:dyDescent="0.2">
      <c r="A452" s="20"/>
      <c r="B452" s="20"/>
      <c r="C452" s="20"/>
      <c r="D452" s="20"/>
    </row>
    <row r="453" spans="1:4" x14ac:dyDescent="0.2">
      <c r="A453" s="20"/>
      <c r="B453" s="20"/>
      <c r="C453" s="20"/>
      <c r="D453" s="20"/>
    </row>
    <row r="454" spans="1:4" x14ac:dyDescent="0.2">
      <c r="A454" s="20"/>
      <c r="B454" s="20"/>
      <c r="C454" s="20"/>
      <c r="D454" s="20"/>
    </row>
    <row r="455" spans="1:4" x14ac:dyDescent="0.2">
      <c r="A455" s="20"/>
      <c r="B455" s="20"/>
      <c r="C455" s="20"/>
      <c r="D455" s="20"/>
    </row>
    <row r="456" spans="1:4" x14ac:dyDescent="0.2">
      <c r="A456" s="20"/>
      <c r="B456" s="20"/>
      <c r="C456" s="20"/>
      <c r="D456" s="20"/>
    </row>
    <row r="457" spans="1:4" x14ac:dyDescent="0.2">
      <c r="A457" s="20"/>
      <c r="B457" s="20"/>
      <c r="C457" s="20"/>
      <c r="D457" s="20"/>
    </row>
    <row r="458" spans="1:4" x14ac:dyDescent="0.2">
      <c r="A458" s="20"/>
      <c r="B458" s="20"/>
      <c r="C458" s="20"/>
      <c r="D458" s="20"/>
    </row>
    <row r="459" spans="1:4" x14ac:dyDescent="0.2">
      <c r="A459" s="20"/>
      <c r="B459" s="20"/>
      <c r="C459" s="20"/>
      <c r="D459" s="20"/>
    </row>
    <row r="460" spans="1:4" x14ac:dyDescent="0.2">
      <c r="A460" s="20"/>
      <c r="B460" s="20"/>
      <c r="C460" s="20"/>
      <c r="D460" s="20"/>
    </row>
    <row r="461" spans="1:4" x14ac:dyDescent="0.2">
      <c r="A461" s="20"/>
      <c r="B461" s="20"/>
      <c r="C461" s="20"/>
      <c r="D461" s="20"/>
    </row>
    <row r="462" spans="1:4" x14ac:dyDescent="0.2">
      <c r="A462" s="20"/>
      <c r="B462" s="20"/>
      <c r="C462" s="20"/>
      <c r="D462" s="20"/>
    </row>
    <row r="463" spans="1:4" x14ac:dyDescent="0.2">
      <c r="A463" s="20"/>
      <c r="B463" s="20"/>
      <c r="C463" s="20"/>
      <c r="D463" s="20"/>
    </row>
    <row r="464" spans="1:4" x14ac:dyDescent="0.2">
      <c r="A464" s="20"/>
      <c r="B464" s="20"/>
      <c r="C464" s="20"/>
      <c r="D464" s="20"/>
    </row>
    <row r="465" spans="1:4" x14ac:dyDescent="0.2">
      <c r="A465" s="20"/>
      <c r="B465" s="20"/>
      <c r="C465" s="20"/>
      <c r="D465" s="20"/>
    </row>
    <row r="466" spans="1:4" x14ac:dyDescent="0.2">
      <c r="A466" s="20"/>
      <c r="B466" s="20"/>
      <c r="C466" s="20"/>
      <c r="D466" s="20"/>
    </row>
    <row r="467" spans="1:4" x14ac:dyDescent="0.2">
      <c r="A467" s="20"/>
      <c r="B467" s="20"/>
      <c r="C467" s="20"/>
      <c r="D467" s="20"/>
    </row>
    <row r="468" spans="1:4" x14ac:dyDescent="0.2">
      <c r="A468" s="20"/>
      <c r="B468" s="20"/>
      <c r="C468" s="20"/>
      <c r="D468" s="20"/>
    </row>
    <row r="469" spans="1:4" x14ac:dyDescent="0.2">
      <c r="A469" s="20"/>
      <c r="B469" s="20"/>
      <c r="C469" s="20"/>
      <c r="D469" s="20"/>
    </row>
    <row r="470" spans="1:4" x14ac:dyDescent="0.2">
      <c r="A470" s="20"/>
      <c r="B470" s="20"/>
      <c r="C470" s="20"/>
      <c r="D470" s="20"/>
    </row>
    <row r="471" spans="1:4" x14ac:dyDescent="0.2">
      <c r="A471" s="20"/>
      <c r="B471" s="20"/>
      <c r="C471" s="20"/>
      <c r="D471" s="20"/>
    </row>
    <row r="472" spans="1:4" x14ac:dyDescent="0.2">
      <c r="A472" s="20"/>
      <c r="B472" s="20"/>
      <c r="C472" s="20"/>
      <c r="D472" s="20"/>
    </row>
    <row r="473" spans="1:4" x14ac:dyDescent="0.2">
      <c r="A473" s="20"/>
      <c r="B473" s="20"/>
      <c r="C473" s="20"/>
      <c r="D473" s="20"/>
    </row>
    <row r="474" spans="1:4" x14ac:dyDescent="0.2">
      <c r="A474" s="20"/>
      <c r="B474" s="20"/>
      <c r="C474" s="20"/>
      <c r="D474" s="20"/>
    </row>
    <row r="475" spans="1:4" x14ac:dyDescent="0.2">
      <c r="A475" s="20"/>
      <c r="B475" s="20"/>
      <c r="C475" s="20"/>
      <c r="D475" s="20"/>
    </row>
    <row r="476" spans="1:4" x14ac:dyDescent="0.2">
      <c r="A476" s="20"/>
      <c r="B476" s="20"/>
      <c r="C476" s="20"/>
      <c r="D476" s="20"/>
    </row>
    <row r="477" spans="1:4" x14ac:dyDescent="0.2">
      <c r="A477" s="20"/>
      <c r="B477" s="20"/>
      <c r="C477" s="20"/>
      <c r="D477" s="20"/>
    </row>
    <row r="478" spans="1:4" x14ac:dyDescent="0.2">
      <c r="A478" s="20"/>
      <c r="B478" s="20"/>
      <c r="C478" s="20"/>
      <c r="D478" s="20"/>
    </row>
    <row r="479" spans="1:4" x14ac:dyDescent="0.2">
      <c r="A479" s="20"/>
      <c r="B479" s="20"/>
      <c r="C479" s="20"/>
      <c r="D479" s="20"/>
    </row>
    <row r="480" spans="1:4" x14ac:dyDescent="0.2">
      <c r="A480" s="20"/>
      <c r="B480" s="20"/>
      <c r="C480" s="20"/>
      <c r="D480" s="20"/>
    </row>
    <row r="481" spans="1:4" x14ac:dyDescent="0.2">
      <c r="A481" s="20"/>
      <c r="B481" s="20"/>
      <c r="C481" s="20"/>
      <c r="D481" s="20"/>
    </row>
    <row r="482" spans="1:4" x14ac:dyDescent="0.2">
      <c r="A482" s="20"/>
      <c r="B482" s="20"/>
      <c r="C482" s="20"/>
      <c r="D482" s="20"/>
    </row>
    <row r="483" spans="1:4" x14ac:dyDescent="0.2">
      <c r="A483" s="20"/>
      <c r="B483" s="20"/>
      <c r="C483" s="20"/>
      <c r="D483" s="20"/>
    </row>
    <row r="484" spans="1:4" x14ac:dyDescent="0.2">
      <c r="A484" s="20"/>
      <c r="B484" s="20"/>
      <c r="C484" s="20"/>
      <c r="D484" s="20"/>
    </row>
    <row r="485" spans="1:4" x14ac:dyDescent="0.2">
      <c r="A485" s="20"/>
      <c r="B485" s="20"/>
      <c r="C485" s="20"/>
      <c r="D485" s="20"/>
    </row>
    <row r="486" spans="1:4" x14ac:dyDescent="0.2">
      <c r="A486" s="20"/>
      <c r="B486" s="20"/>
      <c r="C486" s="20"/>
      <c r="D486" s="20"/>
    </row>
    <row r="487" spans="1:4" x14ac:dyDescent="0.2">
      <c r="A487" s="20"/>
      <c r="B487" s="20"/>
      <c r="C487" s="20"/>
      <c r="D487" s="20"/>
    </row>
    <row r="488" spans="1:4" x14ac:dyDescent="0.2">
      <c r="A488" s="20"/>
      <c r="B488" s="20"/>
      <c r="C488" s="20"/>
      <c r="D488" s="20"/>
    </row>
    <row r="489" spans="1:4" x14ac:dyDescent="0.2">
      <c r="A489" s="20"/>
      <c r="B489" s="20"/>
      <c r="C489" s="20"/>
      <c r="D489" s="20"/>
    </row>
    <row r="490" spans="1:4" x14ac:dyDescent="0.2">
      <c r="A490" s="20"/>
      <c r="B490" s="20"/>
      <c r="C490" s="20"/>
      <c r="D490" s="20"/>
    </row>
    <row r="491" spans="1:4" x14ac:dyDescent="0.2">
      <c r="A491" s="20"/>
      <c r="B491" s="20"/>
      <c r="C491" s="20"/>
      <c r="D491" s="20"/>
    </row>
    <row r="492" spans="1:4" x14ac:dyDescent="0.2">
      <c r="A492" s="20"/>
      <c r="B492" s="20"/>
      <c r="C492" s="20"/>
      <c r="D492" s="20"/>
    </row>
    <row r="493" spans="1:4" x14ac:dyDescent="0.2">
      <c r="A493" s="20"/>
      <c r="B493" s="20"/>
      <c r="C493" s="20"/>
      <c r="D493" s="20"/>
    </row>
    <row r="494" spans="1:4" x14ac:dyDescent="0.2">
      <c r="A494" s="20"/>
      <c r="B494" s="20"/>
      <c r="C494" s="20"/>
      <c r="D494" s="20"/>
    </row>
    <row r="495" spans="1:4" x14ac:dyDescent="0.2">
      <c r="A495" s="20"/>
      <c r="B495" s="20"/>
      <c r="C495" s="20"/>
      <c r="D495" s="20"/>
    </row>
    <row r="496" spans="1:4" x14ac:dyDescent="0.2">
      <c r="A496" s="20"/>
      <c r="B496" s="20"/>
      <c r="C496" s="20"/>
      <c r="D496" s="20"/>
    </row>
    <row r="497" spans="1:4" x14ac:dyDescent="0.2">
      <c r="A497" s="20"/>
      <c r="B497" s="20"/>
      <c r="C497" s="20"/>
      <c r="D497" s="20"/>
    </row>
    <row r="498" spans="1:4" x14ac:dyDescent="0.2">
      <c r="A498" s="20"/>
      <c r="B498" s="20"/>
      <c r="C498" s="20"/>
      <c r="D498" s="20"/>
    </row>
    <row r="499" spans="1:4" x14ac:dyDescent="0.2">
      <c r="A499" s="20"/>
      <c r="B499" s="20"/>
      <c r="C499" s="20"/>
      <c r="D499" s="20"/>
    </row>
    <row r="500" spans="1:4" x14ac:dyDescent="0.2">
      <c r="A500" s="20"/>
      <c r="B500" s="20"/>
      <c r="C500" s="20"/>
      <c r="D500" s="20"/>
    </row>
    <row r="501" spans="1:4" x14ac:dyDescent="0.2">
      <c r="A501" s="20"/>
      <c r="B501" s="20"/>
      <c r="C501" s="20"/>
      <c r="D501" s="20"/>
    </row>
    <row r="502" spans="1:4" x14ac:dyDescent="0.2">
      <c r="A502" s="20"/>
      <c r="B502" s="20"/>
      <c r="C502" s="20"/>
      <c r="D502" s="20"/>
    </row>
    <row r="503" spans="1:4" x14ac:dyDescent="0.2">
      <c r="A503" s="20"/>
      <c r="B503" s="20"/>
      <c r="C503" s="20"/>
      <c r="D503" s="20"/>
    </row>
    <row r="504" spans="1:4" x14ac:dyDescent="0.2">
      <c r="A504" s="20"/>
      <c r="B504" s="20"/>
      <c r="C504" s="20"/>
      <c r="D504" s="20"/>
    </row>
    <row r="505" spans="1:4" x14ac:dyDescent="0.2">
      <c r="A505" s="20"/>
      <c r="B505" s="20"/>
      <c r="C505" s="20"/>
      <c r="D505" s="20"/>
    </row>
    <row r="506" spans="1:4" x14ac:dyDescent="0.2">
      <c r="A506" s="20"/>
      <c r="B506" s="20"/>
      <c r="C506" s="20"/>
      <c r="D506" s="20"/>
    </row>
    <row r="507" spans="1:4" x14ac:dyDescent="0.2">
      <c r="A507" s="20"/>
      <c r="B507" s="20"/>
      <c r="C507" s="20"/>
      <c r="D507" s="20"/>
    </row>
    <row r="508" spans="1:4" x14ac:dyDescent="0.2">
      <c r="A508" s="20"/>
      <c r="B508" s="20"/>
      <c r="C508" s="20"/>
      <c r="D508" s="20"/>
    </row>
    <row r="509" spans="1:4" x14ac:dyDescent="0.2">
      <c r="A509" s="20"/>
      <c r="B509" s="20"/>
      <c r="C509" s="20"/>
      <c r="D509" s="20"/>
    </row>
    <row r="510" spans="1:4" x14ac:dyDescent="0.2">
      <c r="A510" s="20"/>
      <c r="B510" s="20"/>
      <c r="C510" s="20"/>
      <c r="D510" s="20"/>
    </row>
    <row r="511" spans="1:4" x14ac:dyDescent="0.2">
      <c r="A511" s="20"/>
      <c r="B511" s="20"/>
      <c r="C511" s="20"/>
      <c r="D511" s="20"/>
    </row>
    <row r="512" spans="1:4" x14ac:dyDescent="0.2">
      <c r="A512" s="20"/>
      <c r="B512" s="20"/>
      <c r="C512" s="20"/>
      <c r="D512" s="20"/>
    </row>
    <row r="513" spans="1:4" x14ac:dyDescent="0.2">
      <c r="A513" s="20"/>
      <c r="B513" s="20"/>
      <c r="C513" s="20"/>
      <c r="D513" s="20"/>
    </row>
    <row r="514" spans="1:4" x14ac:dyDescent="0.2">
      <c r="A514" s="20"/>
      <c r="B514" s="20"/>
      <c r="C514" s="20"/>
      <c r="D514" s="20"/>
    </row>
    <row r="515" spans="1:4" x14ac:dyDescent="0.2">
      <c r="A515" s="20"/>
      <c r="B515" s="20"/>
      <c r="C515" s="20"/>
      <c r="D515" s="20"/>
    </row>
    <row r="516" spans="1:4" x14ac:dyDescent="0.2">
      <c r="A516" s="20"/>
      <c r="B516" s="20"/>
      <c r="C516" s="20"/>
      <c r="D516" s="20"/>
    </row>
    <row r="517" spans="1:4" x14ac:dyDescent="0.2">
      <c r="A517" s="20"/>
      <c r="B517" s="20"/>
      <c r="C517" s="20"/>
      <c r="D517" s="20"/>
    </row>
    <row r="518" spans="1:4" x14ac:dyDescent="0.2">
      <c r="A518" s="20"/>
      <c r="B518" s="20"/>
      <c r="C518" s="20"/>
      <c r="D518" s="20"/>
    </row>
    <row r="519" spans="1:4" x14ac:dyDescent="0.2">
      <c r="A519" s="20"/>
      <c r="B519" s="20"/>
      <c r="C519" s="20"/>
      <c r="D519" s="20"/>
    </row>
    <row r="520" spans="1:4" x14ac:dyDescent="0.2">
      <c r="A520" s="20"/>
      <c r="B520" s="20"/>
      <c r="C520" s="20"/>
      <c r="D520" s="20"/>
    </row>
    <row r="521" spans="1:4" x14ac:dyDescent="0.2">
      <c r="A521" s="20"/>
      <c r="B521" s="20"/>
      <c r="C521" s="20"/>
      <c r="D521" s="20"/>
    </row>
    <row r="522" spans="1:4" x14ac:dyDescent="0.2">
      <c r="A522" s="20"/>
      <c r="B522" s="20"/>
      <c r="C522" s="20"/>
      <c r="D522" s="20"/>
    </row>
    <row r="523" spans="1:4" x14ac:dyDescent="0.2">
      <c r="A523" s="20"/>
      <c r="B523" s="20"/>
      <c r="C523" s="20"/>
      <c r="D523" s="20"/>
    </row>
    <row r="524" spans="1:4" x14ac:dyDescent="0.2">
      <c r="A524" s="20"/>
      <c r="B524" s="20"/>
      <c r="C524" s="20"/>
      <c r="D524" s="20"/>
    </row>
    <row r="525" spans="1:4" x14ac:dyDescent="0.2">
      <c r="A525" s="20"/>
      <c r="B525" s="20"/>
      <c r="C525" s="20"/>
      <c r="D525" s="20"/>
    </row>
    <row r="526" spans="1:4" x14ac:dyDescent="0.2">
      <c r="A526" s="20"/>
      <c r="B526" s="20"/>
      <c r="C526" s="20"/>
      <c r="D526" s="20"/>
    </row>
    <row r="527" spans="1:4" x14ac:dyDescent="0.2">
      <c r="A527" s="20"/>
      <c r="B527" s="20"/>
      <c r="C527" s="20"/>
      <c r="D527" s="20"/>
    </row>
    <row r="528" spans="1:4" x14ac:dyDescent="0.2">
      <c r="A528" s="20"/>
      <c r="B528" s="20"/>
      <c r="C528" s="20"/>
      <c r="D528" s="20"/>
    </row>
    <row r="529" spans="1:4" x14ac:dyDescent="0.2">
      <c r="A529" s="20"/>
      <c r="B529" s="20"/>
      <c r="C529" s="20"/>
      <c r="D529" s="20"/>
    </row>
    <row r="530" spans="1:4" x14ac:dyDescent="0.2">
      <c r="A530" s="20"/>
      <c r="B530" s="20"/>
      <c r="C530" s="20"/>
      <c r="D530" s="20"/>
    </row>
    <row r="531" spans="1:4" x14ac:dyDescent="0.2">
      <c r="A531" s="20"/>
      <c r="B531" s="20"/>
      <c r="C531" s="20"/>
      <c r="D531" s="20"/>
    </row>
    <row r="532" spans="1:4" x14ac:dyDescent="0.2">
      <c r="A532" s="20"/>
      <c r="B532" s="20"/>
      <c r="C532" s="20"/>
      <c r="D532" s="20"/>
    </row>
    <row r="533" spans="1:4" x14ac:dyDescent="0.2">
      <c r="A533" s="20"/>
      <c r="B533" s="20"/>
      <c r="C533" s="20"/>
      <c r="D533" s="20"/>
    </row>
    <row r="534" spans="1:4" x14ac:dyDescent="0.2">
      <c r="A534" s="20"/>
      <c r="B534" s="20"/>
      <c r="C534" s="20"/>
      <c r="D534" s="20"/>
    </row>
    <row r="535" spans="1:4" x14ac:dyDescent="0.2">
      <c r="A535" s="20"/>
      <c r="B535" s="20"/>
      <c r="C535" s="20"/>
      <c r="D535" s="20"/>
    </row>
    <row r="536" spans="1:4" x14ac:dyDescent="0.2">
      <c r="A536" s="20"/>
      <c r="B536" s="20"/>
      <c r="C536" s="20"/>
      <c r="D536" s="20"/>
    </row>
    <row r="537" spans="1:4" x14ac:dyDescent="0.2">
      <c r="A537" s="20"/>
      <c r="B537" s="20"/>
      <c r="C537" s="20"/>
      <c r="D537" s="20"/>
    </row>
    <row r="538" spans="1:4" x14ac:dyDescent="0.2">
      <c r="A538" s="20"/>
      <c r="B538" s="20"/>
      <c r="C538" s="20"/>
      <c r="D538" s="20"/>
    </row>
    <row r="539" spans="1:4" x14ac:dyDescent="0.2">
      <c r="A539" s="20"/>
      <c r="B539" s="20"/>
      <c r="C539" s="20"/>
      <c r="D539" s="20"/>
    </row>
    <row r="540" spans="1:4" x14ac:dyDescent="0.2">
      <c r="A540" s="20"/>
      <c r="B540" s="20"/>
      <c r="C540" s="20"/>
      <c r="D540" s="20"/>
    </row>
    <row r="541" spans="1:4" x14ac:dyDescent="0.2">
      <c r="A541" s="20"/>
      <c r="B541" s="20"/>
      <c r="C541" s="20"/>
      <c r="D541" s="20"/>
    </row>
    <row r="542" spans="1:4" x14ac:dyDescent="0.2">
      <c r="A542" s="20"/>
      <c r="B542" s="20"/>
      <c r="C542" s="20"/>
      <c r="D542" s="20"/>
    </row>
    <row r="543" spans="1:4" x14ac:dyDescent="0.2">
      <c r="A543" s="20"/>
      <c r="B543" s="20"/>
      <c r="C543" s="20"/>
      <c r="D543" s="20"/>
    </row>
    <row r="544" spans="1:4" x14ac:dyDescent="0.2">
      <c r="A544" s="20"/>
      <c r="B544" s="20"/>
      <c r="C544" s="20"/>
      <c r="D544" s="20"/>
    </row>
    <row r="545" spans="1:4" x14ac:dyDescent="0.2">
      <c r="A545" s="20"/>
      <c r="B545" s="20"/>
      <c r="C545" s="20"/>
      <c r="D545" s="20"/>
    </row>
    <row r="546" spans="1:4" x14ac:dyDescent="0.2">
      <c r="A546" s="20"/>
      <c r="B546" s="20"/>
      <c r="C546" s="20"/>
      <c r="D546" s="20"/>
    </row>
    <row r="547" spans="1:4" x14ac:dyDescent="0.2">
      <c r="A547" s="20"/>
      <c r="B547" s="20"/>
      <c r="C547" s="20"/>
      <c r="D547" s="20"/>
    </row>
    <row r="548" spans="1:4" x14ac:dyDescent="0.2">
      <c r="A548" s="20"/>
      <c r="B548" s="20"/>
      <c r="C548" s="20"/>
      <c r="D548" s="20"/>
    </row>
    <row r="549" spans="1:4" x14ac:dyDescent="0.2">
      <c r="A549" s="20"/>
      <c r="B549" s="20"/>
      <c r="C549" s="20"/>
      <c r="D549" s="20"/>
    </row>
    <row r="550" spans="1:4" x14ac:dyDescent="0.2">
      <c r="A550" s="20"/>
      <c r="B550" s="20"/>
      <c r="C550" s="20"/>
      <c r="D550" s="20"/>
    </row>
    <row r="551" spans="1:4" x14ac:dyDescent="0.2">
      <c r="A551" s="20"/>
      <c r="B551" s="20"/>
      <c r="C551" s="20"/>
      <c r="D551" s="20"/>
    </row>
    <row r="552" spans="1:4" x14ac:dyDescent="0.2">
      <c r="A552" s="20"/>
      <c r="B552" s="20"/>
      <c r="C552" s="20"/>
      <c r="D552" s="20"/>
    </row>
    <row r="553" spans="1:4" x14ac:dyDescent="0.2">
      <c r="A553" s="20"/>
      <c r="B553" s="20"/>
      <c r="C553" s="20"/>
      <c r="D553" s="20"/>
    </row>
    <row r="554" spans="1:4" x14ac:dyDescent="0.2">
      <c r="A554" s="20"/>
      <c r="B554" s="20"/>
      <c r="C554" s="20"/>
      <c r="D554" s="20"/>
    </row>
    <row r="555" spans="1:4" x14ac:dyDescent="0.2">
      <c r="A555" s="20"/>
      <c r="B555" s="20"/>
      <c r="C555" s="20"/>
      <c r="D555" s="20"/>
    </row>
    <row r="556" spans="1:4" x14ac:dyDescent="0.2">
      <c r="A556" s="20"/>
      <c r="B556" s="20"/>
      <c r="C556" s="20"/>
      <c r="D556" s="20"/>
    </row>
    <row r="557" spans="1:4" x14ac:dyDescent="0.2">
      <c r="A557" s="20"/>
      <c r="B557" s="20"/>
      <c r="C557" s="20"/>
      <c r="D557" s="20"/>
    </row>
    <row r="558" spans="1:4" x14ac:dyDescent="0.2">
      <c r="A558" s="20"/>
      <c r="B558" s="20"/>
      <c r="C558" s="20"/>
      <c r="D558" s="20"/>
    </row>
    <row r="559" spans="1:4" x14ac:dyDescent="0.2">
      <c r="A559" s="20"/>
      <c r="B559" s="20"/>
      <c r="C559" s="20"/>
      <c r="D559" s="20"/>
    </row>
    <row r="560" spans="1:4" x14ac:dyDescent="0.2">
      <c r="A560" s="20"/>
      <c r="B560" s="20"/>
      <c r="C560" s="20"/>
      <c r="D560" s="20"/>
    </row>
    <row r="561" spans="1:4" x14ac:dyDescent="0.2">
      <c r="A561" s="20"/>
      <c r="B561" s="20"/>
      <c r="C561" s="20"/>
      <c r="D561" s="20"/>
    </row>
    <row r="562" spans="1:4" x14ac:dyDescent="0.2">
      <c r="A562" s="20"/>
      <c r="B562" s="20"/>
      <c r="C562" s="20"/>
      <c r="D562" s="20"/>
    </row>
    <row r="563" spans="1:4" x14ac:dyDescent="0.2">
      <c r="A563" s="20"/>
      <c r="B563" s="20"/>
      <c r="C563" s="20"/>
      <c r="D563" s="20"/>
    </row>
    <row r="564" spans="1:4" x14ac:dyDescent="0.2">
      <c r="A564" s="20"/>
      <c r="B564" s="20"/>
      <c r="C564" s="20"/>
      <c r="D564" s="20"/>
    </row>
    <row r="565" spans="1:4" x14ac:dyDescent="0.2">
      <c r="A565" s="20"/>
      <c r="B565" s="20"/>
      <c r="C565" s="20"/>
      <c r="D565" s="20"/>
    </row>
    <row r="566" spans="1:4" x14ac:dyDescent="0.2">
      <c r="A566" s="20"/>
      <c r="B566" s="20"/>
      <c r="C566" s="20"/>
      <c r="D566" s="20"/>
    </row>
    <row r="567" spans="1:4" x14ac:dyDescent="0.2">
      <c r="A567" s="20"/>
      <c r="B567" s="20"/>
      <c r="C567" s="20"/>
      <c r="D567" s="20"/>
    </row>
    <row r="568" spans="1:4" x14ac:dyDescent="0.2">
      <c r="A568" s="20"/>
      <c r="B568" s="20"/>
      <c r="C568" s="20"/>
      <c r="D568" s="20"/>
    </row>
    <row r="569" spans="1:4" x14ac:dyDescent="0.2">
      <c r="A569" s="20"/>
      <c r="B569" s="20"/>
      <c r="C569" s="20"/>
      <c r="D569" s="20"/>
    </row>
    <row r="570" spans="1:4" x14ac:dyDescent="0.2">
      <c r="A570" s="20"/>
      <c r="B570" s="20"/>
      <c r="C570" s="20"/>
      <c r="D570" s="20"/>
    </row>
    <row r="571" spans="1:4" x14ac:dyDescent="0.2">
      <c r="A571" s="20"/>
      <c r="B571" s="20"/>
      <c r="C571" s="20"/>
      <c r="D571" s="20"/>
    </row>
    <row r="572" spans="1:4" x14ac:dyDescent="0.2">
      <c r="A572" s="20"/>
      <c r="B572" s="20"/>
      <c r="C572" s="20"/>
      <c r="D572" s="20"/>
    </row>
    <row r="573" spans="1:4" x14ac:dyDescent="0.2">
      <c r="A573" s="20"/>
      <c r="B573" s="20"/>
      <c r="C573" s="20"/>
      <c r="D573" s="20"/>
    </row>
    <row r="574" spans="1:4" x14ac:dyDescent="0.2">
      <c r="A574" s="20"/>
      <c r="B574" s="20"/>
      <c r="C574" s="20"/>
      <c r="D574" s="20"/>
    </row>
    <row r="575" spans="1:4" x14ac:dyDescent="0.2">
      <c r="A575" s="20"/>
      <c r="B575" s="20"/>
      <c r="C575" s="20"/>
      <c r="D575" s="20"/>
    </row>
    <row r="576" spans="1:4" x14ac:dyDescent="0.2">
      <c r="A576" s="20"/>
      <c r="B576" s="20"/>
      <c r="C576" s="20"/>
      <c r="D576" s="20"/>
    </row>
    <row r="577" spans="1:4" x14ac:dyDescent="0.2">
      <c r="A577" s="20"/>
      <c r="B577" s="20"/>
      <c r="C577" s="20"/>
      <c r="D577" s="20"/>
    </row>
    <row r="578" spans="1:4" x14ac:dyDescent="0.2">
      <c r="A578" s="20"/>
      <c r="B578" s="20"/>
      <c r="C578" s="20"/>
      <c r="D578" s="20"/>
    </row>
    <row r="579" spans="1:4" x14ac:dyDescent="0.2">
      <c r="A579" s="20"/>
      <c r="B579" s="20"/>
      <c r="C579" s="20"/>
      <c r="D579" s="20"/>
    </row>
    <row r="580" spans="1:4" x14ac:dyDescent="0.2">
      <c r="A580" s="20"/>
      <c r="B580" s="20"/>
      <c r="C580" s="20"/>
      <c r="D580" s="20"/>
    </row>
    <row r="581" spans="1:4" x14ac:dyDescent="0.2">
      <c r="A581" s="20"/>
      <c r="B581" s="20"/>
      <c r="C581" s="20"/>
      <c r="D581" s="20"/>
    </row>
    <row r="582" spans="1:4" x14ac:dyDescent="0.2">
      <c r="A582" s="20"/>
      <c r="B582" s="20"/>
      <c r="C582" s="20"/>
      <c r="D582" s="20"/>
    </row>
    <row r="583" spans="1:4" x14ac:dyDescent="0.2">
      <c r="A583" s="20"/>
      <c r="B583" s="20"/>
      <c r="C583" s="20"/>
      <c r="D583" s="20"/>
    </row>
    <row r="584" spans="1:4" x14ac:dyDescent="0.2">
      <c r="A584" s="20"/>
      <c r="B584" s="20"/>
      <c r="C584" s="20"/>
      <c r="D584" s="20"/>
    </row>
    <row r="585" spans="1:4" x14ac:dyDescent="0.2">
      <c r="A585" s="20"/>
      <c r="B585" s="20"/>
      <c r="C585" s="20"/>
      <c r="D585" s="20"/>
    </row>
    <row r="586" spans="1:4" x14ac:dyDescent="0.2">
      <c r="A586" s="20"/>
      <c r="B586" s="20"/>
      <c r="C586" s="20"/>
      <c r="D586" s="20"/>
    </row>
    <row r="587" spans="1:4" x14ac:dyDescent="0.2">
      <c r="A587" s="20"/>
      <c r="B587" s="20"/>
      <c r="C587" s="20"/>
      <c r="D587" s="20"/>
    </row>
    <row r="588" spans="1:4" x14ac:dyDescent="0.2">
      <c r="A588" s="20"/>
      <c r="B588" s="20"/>
      <c r="C588" s="20"/>
      <c r="D588" s="20"/>
    </row>
    <row r="589" spans="1:4" x14ac:dyDescent="0.2">
      <c r="A589" s="20"/>
      <c r="B589" s="20"/>
      <c r="C589" s="20"/>
      <c r="D589" s="20"/>
    </row>
    <row r="590" spans="1:4" x14ac:dyDescent="0.2">
      <c r="A590" s="20"/>
      <c r="B590" s="20"/>
      <c r="C590" s="20"/>
      <c r="D590" s="20"/>
    </row>
    <row r="591" spans="1:4" x14ac:dyDescent="0.2">
      <c r="A591" s="20"/>
      <c r="B591" s="20"/>
      <c r="C591" s="20"/>
      <c r="D591" s="20"/>
    </row>
    <row r="592" spans="1:4" x14ac:dyDescent="0.2">
      <c r="A592" s="20"/>
      <c r="B592" s="20"/>
      <c r="C592" s="20"/>
      <c r="D592" s="20"/>
    </row>
    <row r="593" spans="1:4" x14ac:dyDescent="0.2">
      <c r="A593" s="20"/>
      <c r="B593" s="20"/>
      <c r="C593" s="20"/>
      <c r="D593" s="20"/>
    </row>
    <row r="594" spans="1:4" x14ac:dyDescent="0.2">
      <c r="A594" s="20"/>
      <c r="B594" s="20"/>
      <c r="C594" s="20"/>
      <c r="D594" s="20"/>
    </row>
    <row r="595" spans="1:4" x14ac:dyDescent="0.2">
      <c r="A595" s="20"/>
      <c r="B595" s="20"/>
      <c r="C595" s="20"/>
      <c r="D595" s="20"/>
    </row>
    <row r="596" spans="1:4" x14ac:dyDescent="0.2">
      <c r="A596" s="20"/>
      <c r="B596" s="20"/>
      <c r="C596" s="20"/>
      <c r="D596" s="20"/>
    </row>
    <row r="597" spans="1:4" x14ac:dyDescent="0.2">
      <c r="A597" s="20"/>
      <c r="B597" s="20"/>
      <c r="C597" s="20"/>
      <c r="D597" s="20"/>
    </row>
    <row r="598" spans="1:4" x14ac:dyDescent="0.2">
      <c r="A598" s="20"/>
      <c r="B598" s="20"/>
      <c r="C598" s="20"/>
      <c r="D598" s="20"/>
    </row>
    <row r="599" spans="1:4" x14ac:dyDescent="0.2">
      <c r="A599" s="20"/>
      <c r="B599" s="20"/>
      <c r="C599" s="20"/>
      <c r="D599" s="20"/>
    </row>
    <row r="600" spans="1:4" x14ac:dyDescent="0.2">
      <c r="A600" s="20"/>
      <c r="B600" s="20"/>
      <c r="C600" s="20"/>
      <c r="D600" s="20"/>
    </row>
    <row r="601" spans="1:4" x14ac:dyDescent="0.2">
      <c r="A601" s="20"/>
      <c r="B601" s="20"/>
      <c r="C601" s="20"/>
      <c r="D601" s="20"/>
    </row>
    <row r="602" spans="1:4" x14ac:dyDescent="0.2">
      <c r="A602" s="20"/>
      <c r="B602" s="20"/>
      <c r="C602" s="20"/>
      <c r="D602" s="20"/>
    </row>
    <row r="603" spans="1:4" x14ac:dyDescent="0.2">
      <c r="A603" s="20"/>
      <c r="B603" s="20"/>
      <c r="C603" s="20"/>
      <c r="D603" s="20"/>
    </row>
    <row r="604" spans="1:4" x14ac:dyDescent="0.2">
      <c r="A604" s="20"/>
      <c r="B604" s="20"/>
      <c r="C604" s="20"/>
      <c r="D604" s="20"/>
    </row>
    <row r="605" spans="1:4" x14ac:dyDescent="0.2">
      <c r="A605" s="20"/>
      <c r="B605" s="20"/>
      <c r="C605" s="20"/>
      <c r="D605" s="20"/>
    </row>
    <row r="606" spans="1:4" x14ac:dyDescent="0.2">
      <c r="A606" s="20"/>
      <c r="B606" s="20"/>
      <c r="C606" s="20"/>
      <c r="D606" s="20"/>
    </row>
    <row r="607" spans="1:4" x14ac:dyDescent="0.2">
      <c r="A607" s="20"/>
      <c r="B607" s="20"/>
      <c r="C607" s="20"/>
      <c r="D607" s="20"/>
    </row>
    <row r="608" spans="1:4" x14ac:dyDescent="0.2">
      <c r="A608" s="20"/>
      <c r="B608" s="20"/>
      <c r="C608" s="20"/>
      <c r="D608" s="20"/>
    </row>
    <row r="609" spans="1:4" x14ac:dyDescent="0.2">
      <c r="A609" s="20"/>
      <c r="B609" s="20"/>
      <c r="C609" s="20"/>
      <c r="D609" s="20"/>
    </row>
    <row r="610" spans="1:4" x14ac:dyDescent="0.2">
      <c r="A610" s="20"/>
      <c r="B610" s="20"/>
      <c r="C610" s="20"/>
      <c r="D610" s="20"/>
    </row>
    <row r="611" spans="1:4" x14ac:dyDescent="0.2">
      <c r="A611" s="20"/>
      <c r="B611" s="20"/>
      <c r="C611" s="20"/>
      <c r="D611" s="20"/>
    </row>
    <row r="612" spans="1:4" x14ac:dyDescent="0.2">
      <c r="A612" s="20"/>
      <c r="B612" s="20"/>
      <c r="C612" s="20"/>
      <c r="D612" s="20"/>
    </row>
    <row r="613" spans="1:4" x14ac:dyDescent="0.2">
      <c r="A613" s="20"/>
      <c r="B613" s="20"/>
      <c r="C613" s="20"/>
      <c r="D613" s="20"/>
    </row>
    <row r="614" spans="1:4" x14ac:dyDescent="0.2">
      <c r="A614" s="20"/>
      <c r="B614" s="20"/>
      <c r="C614" s="20"/>
      <c r="D614" s="20"/>
    </row>
    <row r="615" spans="1:4" x14ac:dyDescent="0.2">
      <c r="A615" s="20"/>
      <c r="B615" s="20"/>
      <c r="C615" s="20"/>
      <c r="D615" s="20"/>
    </row>
    <row r="616" spans="1:4" x14ac:dyDescent="0.2">
      <c r="A616" s="20"/>
      <c r="B616" s="20"/>
      <c r="C616" s="20"/>
      <c r="D616" s="20"/>
    </row>
    <row r="617" spans="1:4" x14ac:dyDescent="0.2">
      <c r="A617" s="20"/>
      <c r="B617" s="20"/>
      <c r="C617" s="20"/>
      <c r="D617" s="20"/>
    </row>
    <row r="618" spans="1:4" x14ac:dyDescent="0.2">
      <c r="A618" s="20"/>
      <c r="B618" s="20"/>
      <c r="C618" s="20"/>
      <c r="D618" s="20"/>
    </row>
    <row r="619" spans="1:4" x14ac:dyDescent="0.2">
      <c r="A619" s="20"/>
      <c r="B619" s="20"/>
      <c r="C619" s="20"/>
      <c r="D619" s="20"/>
    </row>
    <row r="620" spans="1:4" x14ac:dyDescent="0.2">
      <c r="A620" s="20"/>
      <c r="B620" s="20"/>
      <c r="C620" s="20"/>
      <c r="D620" s="20"/>
    </row>
    <row r="621" spans="1:4" x14ac:dyDescent="0.2">
      <c r="A621" s="20"/>
      <c r="B621" s="20"/>
      <c r="C621" s="20"/>
      <c r="D621" s="20"/>
    </row>
    <row r="622" spans="1:4" x14ac:dyDescent="0.2">
      <c r="A622" s="20"/>
      <c r="B622" s="20"/>
      <c r="C622" s="20"/>
      <c r="D622" s="20"/>
    </row>
    <row r="623" spans="1:4" x14ac:dyDescent="0.2">
      <c r="A623" s="20"/>
      <c r="B623" s="20"/>
      <c r="C623" s="20"/>
      <c r="D623" s="20"/>
    </row>
    <row r="624" spans="1:4" x14ac:dyDescent="0.2">
      <c r="A624" s="20"/>
      <c r="B624" s="20"/>
      <c r="C624" s="20"/>
      <c r="D624" s="20"/>
    </row>
    <row r="625" spans="1:4" x14ac:dyDescent="0.2">
      <c r="A625" s="20"/>
      <c r="B625" s="20"/>
      <c r="C625" s="20"/>
      <c r="D625" s="20"/>
    </row>
    <row r="626" spans="1:4" x14ac:dyDescent="0.2">
      <c r="A626" s="20"/>
      <c r="B626" s="20"/>
      <c r="C626" s="20"/>
      <c r="D626" s="20"/>
    </row>
    <row r="627" spans="1:4" x14ac:dyDescent="0.2">
      <c r="A627" s="20"/>
      <c r="B627" s="20"/>
      <c r="C627" s="20"/>
      <c r="D627" s="20"/>
    </row>
    <row r="628" spans="1:4" x14ac:dyDescent="0.2">
      <c r="A628" s="20"/>
      <c r="B628" s="20"/>
      <c r="C628" s="20"/>
      <c r="D628" s="20"/>
    </row>
    <row r="629" spans="1:4" x14ac:dyDescent="0.2">
      <c r="A629" s="20"/>
      <c r="B629" s="20"/>
      <c r="C629" s="20"/>
      <c r="D629" s="20"/>
    </row>
    <row r="630" spans="1:4" x14ac:dyDescent="0.2">
      <c r="A630" s="20"/>
      <c r="B630" s="20"/>
      <c r="C630" s="20"/>
      <c r="D630" s="20"/>
    </row>
    <row r="631" spans="1:4" x14ac:dyDescent="0.2">
      <c r="A631" s="20"/>
      <c r="B631" s="20"/>
      <c r="C631" s="20"/>
      <c r="D631" s="20"/>
    </row>
    <row r="632" spans="1:4" x14ac:dyDescent="0.2">
      <c r="A632" s="20"/>
      <c r="B632" s="20"/>
      <c r="C632" s="20"/>
      <c r="D632" s="20"/>
    </row>
    <row r="633" spans="1:4" x14ac:dyDescent="0.2">
      <c r="A633" s="20"/>
      <c r="B633" s="20"/>
      <c r="C633" s="20"/>
      <c r="D633" s="20"/>
    </row>
    <row r="634" spans="1:4" x14ac:dyDescent="0.2">
      <c r="A634" s="20"/>
      <c r="B634" s="20"/>
      <c r="C634" s="20"/>
      <c r="D634" s="20"/>
    </row>
    <row r="635" spans="1:4" x14ac:dyDescent="0.2">
      <c r="A635" s="20"/>
      <c r="B635" s="20"/>
      <c r="C635" s="20"/>
      <c r="D635" s="20"/>
    </row>
    <row r="636" spans="1:4" x14ac:dyDescent="0.2">
      <c r="A636" s="20"/>
      <c r="B636" s="20"/>
      <c r="C636" s="20"/>
      <c r="D636" s="20"/>
    </row>
    <row r="637" spans="1:4" x14ac:dyDescent="0.2">
      <c r="A637" s="20"/>
      <c r="B637" s="20"/>
      <c r="C637" s="20"/>
      <c r="D637" s="20"/>
    </row>
    <row r="638" spans="1:4" x14ac:dyDescent="0.2">
      <c r="A638" s="20"/>
      <c r="B638" s="20"/>
      <c r="C638" s="20"/>
      <c r="D638" s="20"/>
    </row>
    <row r="639" spans="1:4" x14ac:dyDescent="0.2">
      <c r="A639" s="20"/>
      <c r="B639" s="20"/>
      <c r="C639" s="20"/>
      <c r="D639" s="20"/>
    </row>
    <row r="640" spans="1:4" x14ac:dyDescent="0.2">
      <c r="A640" s="20"/>
      <c r="B640" s="20"/>
      <c r="C640" s="20"/>
      <c r="D640" s="20"/>
    </row>
    <row r="641" spans="1:4" x14ac:dyDescent="0.2">
      <c r="A641" s="20"/>
      <c r="B641" s="20"/>
      <c r="C641" s="20"/>
      <c r="D641" s="20"/>
    </row>
    <row r="642" spans="1:4" x14ac:dyDescent="0.2">
      <c r="A642" s="20"/>
      <c r="B642" s="20"/>
      <c r="C642" s="20"/>
      <c r="D642" s="20"/>
    </row>
    <row r="643" spans="1:4" x14ac:dyDescent="0.2">
      <c r="A643" s="20"/>
      <c r="B643" s="20"/>
      <c r="C643" s="20"/>
      <c r="D643" s="20"/>
    </row>
    <row r="644" spans="1:4" x14ac:dyDescent="0.2">
      <c r="A644" s="20"/>
      <c r="B644" s="20"/>
      <c r="C644" s="20"/>
      <c r="D644" s="20"/>
    </row>
    <row r="645" spans="1:4" x14ac:dyDescent="0.2">
      <c r="A645" s="20"/>
      <c r="B645" s="20"/>
      <c r="C645" s="20"/>
      <c r="D645" s="20"/>
    </row>
    <row r="646" spans="1:4" x14ac:dyDescent="0.2">
      <c r="A646" s="20"/>
      <c r="B646" s="20"/>
      <c r="C646" s="20"/>
      <c r="D646" s="20"/>
    </row>
    <row r="647" spans="1:4" x14ac:dyDescent="0.2">
      <c r="A647" s="20"/>
      <c r="B647" s="20"/>
      <c r="C647" s="20"/>
      <c r="D647" s="20"/>
    </row>
    <row r="648" spans="1:4" x14ac:dyDescent="0.2">
      <c r="A648" s="20"/>
      <c r="B648" s="20"/>
      <c r="C648" s="20"/>
      <c r="D648" s="20"/>
    </row>
    <row r="649" spans="1:4" x14ac:dyDescent="0.2">
      <c r="A649" s="20"/>
      <c r="B649" s="20"/>
      <c r="C649" s="20"/>
      <c r="D649" s="20"/>
    </row>
    <row r="650" spans="1:4" x14ac:dyDescent="0.2">
      <c r="A650" s="20"/>
      <c r="B650" s="20"/>
      <c r="C650" s="20"/>
      <c r="D650" s="20"/>
    </row>
    <row r="651" spans="1:4" x14ac:dyDescent="0.2">
      <c r="A651" s="20"/>
      <c r="B651" s="20"/>
      <c r="C651" s="20"/>
      <c r="D651" s="20"/>
    </row>
    <row r="652" spans="1:4" x14ac:dyDescent="0.2">
      <c r="A652" s="20"/>
      <c r="B652" s="20"/>
      <c r="C652" s="20"/>
      <c r="D652" s="20"/>
    </row>
    <row r="653" spans="1:4" x14ac:dyDescent="0.2">
      <c r="A653" s="20"/>
      <c r="B653" s="20"/>
      <c r="C653" s="20"/>
      <c r="D653" s="20"/>
    </row>
    <row r="654" spans="1:4" x14ac:dyDescent="0.2">
      <c r="A654" s="20"/>
      <c r="B654" s="20"/>
      <c r="C654" s="20"/>
      <c r="D654" s="20"/>
    </row>
    <row r="655" spans="1:4" x14ac:dyDescent="0.2">
      <c r="A655" s="20"/>
      <c r="B655" s="20"/>
      <c r="C655" s="20"/>
      <c r="D655" s="20"/>
    </row>
    <row r="656" spans="1:4" x14ac:dyDescent="0.2">
      <c r="A656" s="20"/>
      <c r="B656" s="20"/>
      <c r="C656" s="20"/>
      <c r="D656" s="20"/>
    </row>
    <row r="657" spans="1:4" x14ac:dyDescent="0.2">
      <c r="A657" s="20"/>
      <c r="B657" s="20"/>
      <c r="C657" s="20"/>
      <c r="D657" s="20"/>
    </row>
    <row r="658" spans="1:4" x14ac:dyDescent="0.2">
      <c r="A658" s="20"/>
      <c r="B658" s="20"/>
      <c r="C658" s="20"/>
      <c r="D658" s="20"/>
    </row>
    <row r="659" spans="1:4" x14ac:dyDescent="0.2">
      <c r="A659" s="20"/>
      <c r="B659" s="20"/>
      <c r="C659" s="20"/>
      <c r="D659" s="20"/>
    </row>
    <row r="660" spans="1:4" x14ac:dyDescent="0.2">
      <c r="A660" s="20"/>
      <c r="B660" s="20"/>
      <c r="C660" s="20"/>
      <c r="D660" s="20"/>
    </row>
    <row r="661" spans="1:4" x14ac:dyDescent="0.2">
      <c r="A661" s="20"/>
      <c r="B661" s="20"/>
      <c r="C661" s="20"/>
      <c r="D661" s="20"/>
    </row>
    <row r="662" spans="1:4" x14ac:dyDescent="0.2">
      <c r="A662" s="20"/>
      <c r="B662" s="20"/>
      <c r="C662" s="20"/>
      <c r="D662" s="20"/>
    </row>
    <row r="663" spans="1:4" x14ac:dyDescent="0.2">
      <c r="A663" s="20"/>
      <c r="B663" s="20"/>
      <c r="C663" s="20"/>
      <c r="D663" s="20"/>
    </row>
    <row r="664" spans="1:4" x14ac:dyDescent="0.2">
      <c r="A664" s="20"/>
      <c r="B664" s="20"/>
      <c r="C664" s="20"/>
      <c r="D664" s="20"/>
    </row>
    <row r="665" spans="1:4" x14ac:dyDescent="0.2">
      <c r="A665" s="20"/>
      <c r="B665" s="20"/>
      <c r="C665" s="20"/>
      <c r="D665" s="20"/>
    </row>
    <row r="666" spans="1:4" x14ac:dyDescent="0.2">
      <c r="A666" s="20"/>
      <c r="B666" s="20"/>
      <c r="C666" s="20"/>
      <c r="D666" s="20"/>
    </row>
    <row r="667" spans="1:4" x14ac:dyDescent="0.2">
      <c r="A667" s="20"/>
      <c r="B667" s="20"/>
      <c r="C667" s="20"/>
      <c r="D667" s="20"/>
    </row>
    <row r="668" spans="1:4" x14ac:dyDescent="0.2">
      <c r="A668" s="20"/>
      <c r="B668" s="20"/>
      <c r="C668" s="20"/>
      <c r="D668" s="20"/>
    </row>
    <row r="669" spans="1:4" x14ac:dyDescent="0.2">
      <c r="A669" s="20"/>
      <c r="B669" s="20"/>
      <c r="C669" s="20"/>
      <c r="D669" s="20"/>
    </row>
    <row r="670" spans="1:4" x14ac:dyDescent="0.2">
      <c r="A670" s="20"/>
      <c r="B670" s="20"/>
      <c r="C670" s="20"/>
      <c r="D670" s="20"/>
    </row>
    <row r="671" spans="1:4" x14ac:dyDescent="0.2">
      <c r="A671" s="20"/>
      <c r="B671" s="20"/>
      <c r="C671" s="20"/>
      <c r="D671" s="20"/>
    </row>
    <row r="672" spans="1:4" x14ac:dyDescent="0.2">
      <c r="A672" s="20"/>
      <c r="B672" s="20"/>
      <c r="C672" s="20"/>
      <c r="D672" s="20"/>
    </row>
    <row r="673" spans="1:4" x14ac:dyDescent="0.2">
      <c r="A673" s="20"/>
      <c r="B673" s="20"/>
      <c r="C673" s="20"/>
      <c r="D673" s="20"/>
    </row>
    <row r="674" spans="1:4" x14ac:dyDescent="0.2">
      <c r="A674" s="20"/>
      <c r="B674" s="20"/>
      <c r="C674" s="20"/>
      <c r="D674" s="20"/>
    </row>
    <row r="675" spans="1:4" x14ac:dyDescent="0.2">
      <c r="A675" s="20"/>
      <c r="B675" s="20"/>
      <c r="C675" s="20"/>
      <c r="D675" s="20"/>
    </row>
    <row r="676" spans="1:4" x14ac:dyDescent="0.2">
      <c r="A676" s="20"/>
      <c r="B676" s="20"/>
      <c r="C676" s="20"/>
      <c r="D676" s="20"/>
    </row>
    <row r="677" spans="1:4" x14ac:dyDescent="0.2">
      <c r="A677" s="20"/>
      <c r="B677" s="20"/>
      <c r="C677" s="20"/>
      <c r="D677" s="20"/>
    </row>
    <row r="678" spans="1:4" x14ac:dyDescent="0.2">
      <c r="A678" s="20"/>
      <c r="B678" s="20"/>
      <c r="C678" s="20"/>
      <c r="D678" s="20"/>
    </row>
    <row r="679" spans="1:4" x14ac:dyDescent="0.2">
      <c r="A679" s="20"/>
      <c r="B679" s="20"/>
      <c r="C679" s="20"/>
      <c r="D679" s="20"/>
    </row>
    <row r="680" spans="1:4" x14ac:dyDescent="0.2">
      <c r="A680" s="20"/>
      <c r="B680" s="20"/>
      <c r="C680" s="20"/>
      <c r="D680" s="20"/>
    </row>
    <row r="681" spans="1:4" x14ac:dyDescent="0.2">
      <c r="A681" s="20"/>
      <c r="B681" s="20"/>
      <c r="C681" s="20"/>
      <c r="D681" s="20"/>
    </row>
    <row r="682" spans="1:4" x14ac:dyDescent="0.2">
      <c r="A682" s="20"/>
      <c r="B682" s="20"/>
      <c r="C682" s="20"/>
      <c r="D682" s="20"/>
    </row>
    <row r="683" spans="1:4" x14ac:dyDescent="0.2">
      <c r="A683" s="20"/>
      <c r="B683" s="20"/>
      <c r="C683" s="20"/>
      <c r="D683" s="20"/>
    </row>
    <row r="684" spans="1:4" x14ac:dyDescent="0.2">
      <c r="A684" s="20"/>
      <c r="B684" s="20"/>
      <c r="C684" s="20"/>
      <c r="D684" s="20"/>
    </row>
    <row r="685" spans="1:4" x14ac:dyDescent="0.2">
      <c r="A685" s="20"/>
      <c r="B685" s="20"/>
      <c r="C685" s="20"/>
      <c r="D685" s="20"/>
    </row>
    <row r="686" spans="1:4" x14ac:dyDescent="0.2">
      <c r="A686" s="20"/>
      <c r="B686" s="20"/>
      <c r="C686" s="20"/>
      <c r="D686" s="20"/>
    </row>
    <row r="687" spans="1:4" x14ac:dyDescent="0.2">
      <c r="A687" s="20"/>
      <c r="B687" s="20"/>
      <c r="C687" s="20"/>
      <c r="D687" s="20"/>
    </row>
    <row r="688" spans="1:4" x14ac:dyDescent="0.2">
      <c r="A688" s="20"/>
      <c r="B688" s="20"/>
      <c r="C688" s="20"/>
      <c r="D688" s="20"/>
    </row>
    <row r="689" spans="1:4" x14ac:dyDescent="0.2">
      <c r="A689" s="20"/>
      <c r="B689" s="20"/>
      <c r="C689" s="20"/>
      <c r="D689" s="20"/>
    </row>
    <row r="690" spans="1:4" x14ac:dyDescent="0.2">
      <c r="A690" s="20"/>
      <c r="B690" s="20"/>
      <c r="C690" s="20"/>
      <c r="D690" s="20"/>
    </row>
    <row r="691" spans="1:4" x14ac:dyDescent="0.2">
      <c r="A691" s="20"/>
      <c r="B691" s="20"/>
      <c r="C691" s="20"/>
      <c r="D691" s="20"/>
    </row>
    <row r="692" spans="1:4" x14ac:dyDescent="0.2">
      <c r="A692" s="20"/>
      <c r="B692" s="20"/>
      <c r="C692" s="20"/>
      <c r="D692" s="20"/>
    </row>
    <row r="693" spans="1:4" x14ac:dyDescent="0.2">
      <c r="A693" s="20"/>
      <c r="B693" s="20"/>
      <c r="C693" s="20"/>
      <c r="D693" s="20"/>
    </row>
    <row r="694" spans="1:4" x14ac:dyDescent="0.2">
      <c r="A694" s="20"/>
      <c r="B694" s="20"/>
      <c r="C694" s="20"/>
      <c r="D694" s="20"/>
    </row>
    <row r="695" spans="1:4" x14ac:dyDescent="0.2">
      <c r="A695" s="20"/>
      <c r="B695" s="20"/>
      <c r="C695" s="20"/>
      <c r="D695" s="20"/>
    </row>
    <row r="696" spans="1:4" x14ac:dyDescent="0.2">
      <c r="A696" s="20"/>
      <c r="B696" s="20"/>
      <c r="C696" s="20"/>
      <c r="D696" s="20"/>
    </row>
    <row r="697" spans="1:4" x14ac:dyDescent="0.2">
      <c r="A697" s="20"/>
      <c r="B697" s="20"/>
      <c r="C697" s="20"/>
      <c r="D697" s="20"/>
    </row>
    <row r="698" spans="1:4" x14ac:dyDescent="0.2">
      <c r="A698" s="20"/>
      <c r="B698" s="20"/>
      <c r="C698" s="20"/>
      <c r="D698" s="20"/>
    </row>
    <row r="699" spans="1:4" x14ac:dyDescent="0.2">
      <c r="A699" s="20"/>
      <c r="B699" s="20"/>
      <c r="C699" s="20"/>
      <c r="D699" s="20"/>
    </row>
    <row r="700" spans="1:4" x14ac:dyDescent="0.2">
      <c r="A700" s="20"/>
      <c r="B700" s="20"/>
      <c r="C700" s="20"/>
      <c r="D700" s="20"/>
    </row>
    <row r="701" spans="1:4" x14ac:dyDescent="0.2">
      <c r="A701" s="20"/>
      <c r="B701" s="20"/>
      <c r="C701" s="20"/>
      <c r="D701" s="20"/>
    </row>
    <row r="702" spans="1:4" x14ac:dyDescent="0.2">
      <c r="A702" s="20"/>
      <c r="B702" s="20"/>
      <c r="C702" s="20"/>
      <c r="D702" s="20"/>
    </row>
    <row r="703" spans="1:4" x14ac:dyDescent="0.2">
      <c r="A703" s="20"/>
      <c r="B703" s="20"/>
      <c r="C703" s="20"/>
      <c r="D703" s="20"/>
    </row>
    <row r="704" spans="1:4" x14ac:dyDescent="0.2">
      <c r="A704" s="20"/>
      <c r="B704" s="20"/>
      <c r="C704" s="20"/>
      <c r="D704" s="20"/>
    </row>
    <row r="705" spans="1:4" x14ac:dyDescent="0.2">
      <c r="A705" s="20"/>
      <c r="B705" s="20"/>
      <c r="C705" s="20"/>
      <c r="D705" s="20"/>
    </row>
    <row r="706" spans="1:4" x14ac:dyDescent="0.2">
      <c r="A706" s="20"/>
      <c r="B706" s="20"/>
      <c r="C706" s="20"/>
      <c r="D706" s="20"/>
    </row>
    <row r="707" spans="1:4" x14ac:dyDescent="0.2">
      <c r="A707" s="20"/>
      <c r="B707" s="20"/>
      <c r="C707" s="20"/>
      <c r="D707" s="20"/>
    </row>
    <row r="708" spans="1:4" x14ac:dyDescent="0.2">
      <c r="A708" s="20"/>
      <c r="B708" s="20"/>
      <c r="C708" s="20"/>
      <c r="D708" s="20"/>
    </row>
    <row r="709" spans="1:4" x14ac:dyDescent="0.2">
      <c r="A709" s="20"/>
      <c r="B709" s="20"/>
      <c r="C709" s="20"/>
      <c r="D709" s="20"/>
    </row>
    <row r="710" spans="1:4" x14ac:dyDescent="0.2">
      <c r="A710" s="20"/>
      <c r="B710" s="20"/>
      <c r="C710" s="20"/>
      <c r="D710" s="20"/>
    </row>
    <row r="711" spans="1:4" x14ac:dyDescent="0.2">
      <c r="A711" s="20"/>
      <c r="B711" s="20"/>
      <c r="C711" s="20"/>
      <c r="D711" s="20"/>
    </row>
    <row r="712" spans="1:4" x14ac:dyDescent="0.2">
      <c r="A712" s="20"/>
      <c r="B712" s="20"/>
      <c r="C712" s="20"/>
      <c r="D712" s="20"/>
    </row>
    <row r="713" spans="1:4" x14ac:dyDescent="0.2">
      <c r="A713" s="20"/>
      <c r="B713" s="20"/>
      <c r="C713" s="20"/>
      <c r="D713" s="20"/>
    </row>
    <row r="714" spans="1:4" x14ac:dyDescent="0.2">
      <c r="A714" s="20"/>
      <c r="B714" s="20"/>
      <c r="C714" s="20"/>
      <c r="D714" s="20"/>
    </row>
    <row r="715" spans="1:4" x14ac:dyDescent="0.2">
      <c r="A715" s="20"/>
      <c r="B715" s="20"/>
      <c r="C715" s="20"/>
      <c r="D715" s="20"/>
    </row>
    <row r="716" spans="1:4" x14ac:dyDescent="0.2">
      <c r="A716" s="20"/>
      <c r="B716" s="20"/>
      <c r="C716" s="20"/>
      <c r="D716" s="20"/>
    </row>
    <row r="717" spans="1:4" x14ac:dyDescent="0.2">
      <c r="A717" s="20"/>
      <c r="B717" s="20"/>
      <c r="C717" s="20"/>
      <c r="D717" s="20"/>
    </row>
    <row r="718" spans="1:4" x14ac:dyDescent="0.2">
      <c r="A718" s="20"/>
      <c r="B718" s="20"/>
      <c r="C718" s="20"/>
      <c r="D718" s="20"/>
    </row>
    <row r="719" spans="1:4" x14ac:dyDescent="0.2">
      <c r="A719" s="20"/>
      <c r="B719" s="20"/>
      <c r="C719" s="20"/>
      <c r="D719" s="20"/>
    </row>
    <row r="720" spans="1:4" x14ac:dyDescent="0.2">
      <c r="A720" s="20"/>
      <c r="B720" s="20"/>
      <c r="C720" s="20"/>
      <c r="D720" s="20"/>
    </row>
    <row r="721" spans="1:4" x14ac:dyDescent="0.2">
      <c r="A721" s="20"/>
      <c r="B721" s="20"/>
      <c r="C721" s="20"/>
      <c r="D721" s="20"/>
    </row>
    <row r="722" spans="1:4" x14ac:dyDescent="0.2">
      <c r="A722" s="20"/>
      <c r="B722" s="20"/>
      <c r="C722" s="20"/>
      <c r="D722" s="20"/>
    </row>
    <row r="723" spans="1:4" x14ac:dyDescent="0.2">
      <c r="A723" s="20"/>
      <c r="B723" s="20"/>
      <c r="C723" s="20"/>
      <c r="D723" s="20"/>
    </row>
    <row r="724" spans="1:4" x14ac:dyDescent="0.2">
      <c r="A724" s="20"/>
      <c r="B724" s="20"/>
      <c r="C724" s="20"/>
      <c r="D724" s="20"/>
    </row>
    <row r="725" spans="1:4" x14ac:dyDescent="0.2">
      <c r="A725" s="20"/>
      <c r="B725" s="20"/>
      <c r="C725" s="20"/>
      <c r="D725" s="20"/>
    </row>
    <row r="726" spans="1:4" x14ac:dyDescent="0.2">
      <c r="A726" s="20"/>
      <c r="B726" s="20"/>
      <c r="C726" s="20"/>
      <c r="D726" s="20"/>
    </row>
    <row r="727" spans="1:4" x14ac:dyDescent="0.2">
      <c r="A727" s="20"/>
      <c r="B727" s="20"/>
      <c r="C727" s="20"/>
      <c r="D727" s="20"/>
    </row>
    <row r="728" spans="1:4" x14ac:dyDescent="0.2">
      <c r="A728" s="20"/>
      <c r="B728" s="20"/>
      <c r="C728" s="20"/>
      <c r="D728" s="20"/>
    </row>
    <row r="729" spans="1:4" x14ac:dyDescent="0.2">
      <c r="A729" s="20"/>
      <c r="B729" s="20"/>
      <c r="C729" s="20"/>
      <c r="D729" s="20"/>
    </row>
    <row r="730" spans="1:4" x14ac:dyDescent="0.2">
      <c r="A730" s="20"/>
      <c r="B730" s="20"/>
      <c r="C730" s="20"/>
      <c r="D730" s="20"/>
    </row>
    <row r="731" spans="1:4" x14ac:dyDescent="0.2">
      <c r="A731" s="20"/>
      <c r="B731" s="20"/>
      <c r="C731" s="20"/>
      <c r="D731" s="20"/>
    </row>
    <row r="732" spans="1:4" x14ac:dyDescent="0.2">
      <c r="A732" s="20"/>
      <c r="B732" s="20"/>
      <c r="C732" s="20"/>
      <c r="D732" s="20"/>
    </row>
    <row r="733" spans="1:4" x14ac:dyDescent="0.2">
      <c r="A733" s="20"/>
      <c r="B733" s="20"/>
      <c r="C733" s="20"/>
      <c r="D733" s="20"/>
    </row>
    <row r="734" spans="1:4" x14ac:dyDescent="0.2">
      <c r="A734" s="20"/>
      <c r="B734" s="20"/>
      <c r="C734" s="20"/>
      <c r="D734" s="20"/>
    </row>
    <row r="735" spans="1:4" x14ac:dyDescent="0.2">
      <c r="A735" s="20"/>
      <c r="B735" s="20"/>
      <c r="C735" s="20"/>
      <c r="D735" s="20"/>
    </row>
    <row r="736" spans="1:4" x14ac:dyDescent="0.2">
      <c r="A736" s="20"/>
      <c r="B736" s="20"/>
      <c r="C736" s="20"/>
      <c r="D736" s="20"/>
    </row>
    <row r="737" spans="1:4" x14ac:dyDescent="0.2">
      <c r="A737" s="20"/>
      <c r="B737" s="20"/>
      <c r="C737" s="20"/>
      <c r="D737" s="20"/>
    </row>
    <row r="738" spans="1:4" x14ac:dyDescent="0.2">
      <c r="A738" s="20"/>
      <c r="B738" s="20"/>
      <c r="C738" s="20"/>
      <c r="D738" s="20"/>
    </row>
    <row r="739" spans="1:4" x14ac:dyDescent="0.2">
      <c r="A739" s="20"/>
      <c r="B739" s="20"/>
      <c r="C739" s="20"/>
      <c r="D739" s="20"/>
    </row>
    <row r="740" spans="1:4" x14ac:dyDescent="0.2">
      <c r="A740" s="20"/>
      <c r="B740" s="20"/>
      <c r="C740" s="20"/>
      <c r="D740" s="20"/>
    </row>
    <row r="741" spans="1:4" x14ac:dyDescent="0.2">
      <c r="A741" s="20"/>
      <c r="B741" s="20"/>
      <c r="C741" s="20"/>
      <c r="D741" s="20"/>
    </row>
    <row r="742" spans="1:4" x14ac:dyDescent="0.2">
      <c r="A742" s="20"/>
      <c r="B742" s="20"/>
      <c r="C742" s="20"/>
      <c r="D742" s="20"/>
    </row>
    <row r="743" spans="1:4" x14ac:dyDescent="0.2">
      <c r="A743" s="20"/>
      <c r="B743" s="20"/>
      <c r="C743" s="20"/>
      <c r="D743" s="20"/>
    </row>
    <row r="744" spans="1:4" x14ac:dyDescent="0.2">
      <c r="A744" s="20"/>
      <c r="B744" s="20"/>
      <c r="C744" s="20"/>
      <c r="D744" s="20"/>
    </row>
    <row r="745" spans="1:4" x14ac:dyDescent="0.2">
      <c r="A745" s="20"/>
      <c r="B745" s="20"/>
      <c r="C745" s="20"/>
      <c r="D745" s="20"/>
    </row>
    <row r="746" spans="1:4" x14ac:dyDescent="0.2">
      <c r="A746" s="20"/>
      <c r="B746" s="20"/>
      <c r="C746" s="20"/>
      <c r="D746" s="20"/>
    </row>
    <row r="747" spans="1:4" x14ac:dyDescent="0.2">
      <c r="A747" s="20"/>
      <c r="B747" s="20"/>
      <c r="C747" s="20"/>
      <c r="D747" s="20"/>
    </row>
    <row r="748" spans="1:4" x14ac:dyDescent="0.2">
      <c r="A748" s="20"/>
      <c r="B748" s="20"/>
      <c r="C748" s="20"/>
      <c r="D748" s="20"/>
    </row>
    <row r="749" spans="1:4" x14ac:dyDescent="0.2">
      <c r="A749" s="20"/>
      <c r="B749" s="20"/>
      <c r="C749" s="20"/>
      <c r="D749" s="20"/>
    </row>
    <row r="750" spans="1:4" x14ac:dyDescent="0.2">
      <c r="A750" s="20"/>
      <c r="B750" s="20"/>
      <c r="C750" s="20"/>
      <c r="D750" s="20"/>
    </row>
    <row r="751" spans="1:4" x14ac:dyDescent="0.2">
      <c r="A751" s="20"/>
      <c r="B751" s="20"/>
      <c r="C751" s="20"/>
      <c r="D751" s="20"/>
    </row>
    <row r="752" spans="1:4" x14ac:dyDescent="0.2">
      <c r="A752" s="20"/>
      <c r="B752" s="20"/>
      <c r="C752" s="20"/>
      <c r="D752" s="20"/>
    </row>
    <row r="753" spans="1:4" x14ac:dyDescent="0.2">
      <c r="A753" s="20"/>
      <c r="B753" s="20"/>
      <c r="C753" s="20"/>
      <c r="D753" s="20"/>
    </row>
    <row r="754" spans="1:4" x14ac:dyDescent="0.2">
      <c r="A754" s="20"/>
      <c r="B754" s="20"/>
      <c r="C754" s="20"/>
      <c r="D754" s="20"/>
    </row>
    <row r="755" spans="1:4" x14ac:dyDescent="0.2">
      <c r="A755" s="20"/>
      <c r="B755" s="20"/>
      <c r="C755" s="20"/>
      <c r="D755" s="20"/>
    </row>
    <row r="756" spans="1:4" x14ac:dyDescent="0.2">
      <c r="A756" s="20"/>
      <c r="B756" s="20"/>
      <c r="C756" s="20"/>
      <c r="D756" s="20"/>
    </row>
    <row r="757" spans="1:4" x14ac:dyDescent="0.2">
      <c r="A757" s="20"/>
      <c r="B757" s="20"/>
      <c r="C757" s="20"/>
      <c r="D757" s="20"/>
    </row>
    <row r="758" spans="1:4" x14ac:dyDescent="0.2">
      <c r="A758" s="20"/>
      <c r="B758" s="20"/>
      <c r="C758" s="20"/>
      <c r="D758" s="20"/>
    </row>
    <row r="759" spans="1:4" x14ac:dyDescent="0.2">
      <c r="A759" s="20"/>
      <c r="B759" s="20"/>
      <c r="C759" s="20"/>
      <c r="D759" s="20"/>
    </row>
    <row r="760" spans="1:4" x14ac:dyDescent="0.2">
      <c r="A760" s="20"/>
      <c r="B760" s="20"/>
      <c r="C760" s="20"/>
      <c r="D760" s="20"/>
    </row>
    <row r="761" spans="1:4" x14ac:dyDescent="0.2">
      <c r="A761" s="20"/>
      <c r="B761" s="20"/>
      <c r="C761" s="20"/>
      <c r="D761" s="20"/>
    </row>
    <row r="762" spans="1:4" x14ac:dyDescent="0.2">
      <c r="A762" s="20"/>
      <c r="B762" s="20"/>
      <c r="C762" s="20"/>
      <c r="D762" s="20"/>
    </row>
    <row r="763" spans="1:4" x14ac:dyDescent="0.2">
      <c r="A763" s="20"/>
      <c r="B763" s="20"/>
      <c r="C763" s="20"/>
      <c r="D763" s="20"/>
    </row>
    <row r="764" spans="1:4" x14ac:dyDescent="0.2">
      <c r="A764" s="20"/>
      <c r="B764" s="20"/>
      <c r="C764" s="20"/>
      <c r="D764" s="20"/>
    </row>
    <row r="765" spans="1:4" x14ac:dyDescent="0.2">
      <c r="A765" s="20"/>
      <c r="B765" s="20"/>
      <c r="C765" s="20"/>
      <c r="D765" s="20"/>
    </row>
    <row r="766" spans="1:4" x14ac:dyDescent="0.2">
      <c r="A766" s="20"/>
      <c r="B766" s="20"/>
      <c r="C766" s="20"/>
      <c r="D766" s="20"/>
    </row>
    <row r="767" spans="1:4" x14ac:dyDescent="0.2">
      <c r="A767" s="20"/>
      <c r="B767" s="20"/>
      <c r="C767" s="20"/>
      <c r="D767" s="20"/>
    </row>
    <row r="768" spans="1:4" x14ac:dyDescent="0.2">
      <c r="A768" s="20"/>
      <c r="B768" s="20"/>
      <c r="C768" s="20"/>
      <c r="D768" s="20"/>
    </row>
    <row r="769" spans="1:4" x14ac:dyDescent="0.2">
      <c r="A769" s="20"/>
      <c r="B769" s="20"/>
      <c r="C769" s="20"/>
      <c r="D769" s="20"/>
    </row>
    <row r="770" spans="1:4" x14ac:dyDescent="0.2">
      <c r="A770" s="20"/>
      <c r="B770" s="20"/>
      <c r="C770" s="20"/>
      <c r="D770" s="20"/>
    </row>
    <row r="771" spans="1:4" x14ac:dyDescent="0.2">
      <c r="A771" s="20"/>
      <c r="B771" s="20"/>
      <c r="C771" s="20"/>
      <c r="D771" s="20"/>
    </row>
    <row r="772" spans="1:4" x14ac:dyDescent="0.2">
      <c r="A772" s="20"/>
      <c r="B772" s="20"/>
      <c r="C772" s="20"/>
      <c r="D772" s="20"/>
    </row>
    <row r="773" spans="1:4" x14ac:dyDescent="0.2">
      <c r="A773" s="20"/>
      <c r="B773" s="20"/>
      <c r="C773" s="20"/>
      <c r="D773" s="20"/>
    </row>
    <row r="774" spans="1:4" x14ac:dyDescent="0.2">
      <c r="A774" s="20"/>
      <c r="B774" s="20"/>
      <c r="C774" s="20"/>
      <c r="D774" s="20"/>
    </row>
    <row r="775" spans="1:4" x14ac:dyDescent="0.2">
      <c r="A775" s="20"/>
      <c r="B775" s="20"/>
      <c r="C775" s="20"/>
      <c r="D775" s="20"/>
    </row>
    <row r="776" spans="1:4" x14ac:dyDescent="0.2">
      <c r="A776" s="20"/>
      <c r="B776" s="20"/>
      <c r="C776" s="20"/>
      <c r="D776" s="20"/>
    </row>
    <row r="777" spans="1:4" x14ac:dyDescent="0.2">
      <c r="A777" s="20"/>
      <c r="B777" s="20"/>
      <c r="C777" s="20"/>
      <c r="D777" s="20"/>
    </row>
    <row r="778" spans="1:4" x14ac:dyDescent="0.2">
      <c r="A778" s="20"/>
      <c r="B778" s="20"/>
      <c r="C778" s="20"/>
      <c r="D778" s="20"/>
    </row>
    <row r="779" spans="1:4" x14ac:dyDescent="0.2">
      <c r="A779" s="20"/>
      <c r="B779" s="20"/>
      <c r="C779" s="20"/>
      <c r="D779" s="20"/>
    </row>
    <row r="780" spans="1:4" x14ac:dyDescent="0.2">
      <c r="A780" s="20"/>
      <c r="B780" s="20"/>
      <c r="C780" s="20"/>
      <c r="D780" s="20"/>
    </row>
    <row r="781" spans="1:4" x14ac:dyDescent="0.2">
      <c r="A781" s="20"/>
      <c r="B781" s="20"/>
      <c r="C781" s="20"/>
      <c r="D781" s="20"/>
    </row>
    <row r="782" spans="1:4" x14ac:dyDescent="0.2">
      <c r="A782" s="20"/>
      <c r="B782" s="20"/>
      <c r="C782" s="20"/>
      <c r="D782" s="20"/>
    </row>
    <row r="783" spans="1:4" x14ac:dyDescent="0.2">
      <c r="A783" s="20"/>
      <c r="B783" s="20"/>
      <c r="C783" s="20"/>
      <c r="D783" s="20"/>
    </row>
    <row r="784" spans="1:4" x14ac:dyDescent="0.2">
      <c r="A784" s="20"/>
      <c r="B784" s="20"/>
      <c r="C784" s="20"/>
      <c r="D784" s="20"/>
    </row>
    <row r="785" spans="1:4" x14ac:dyDescent="0.2">
      <c r="A785" s="20"/>
      <c r="B785" s="20"/>
      <c r="C785" s="20"/>
      <c r="D785" s="20"/>
    </row>
    <row r="786" spans="1:4" x14ac:dyDescent="0.2">
      <c r="A786" s="20"/>
      <c r="B786" s="20"/>
      <c r="C786" s="20"/>
      <c r="D786" s="20"/>
    </row>
    <row r="787" spans="1:4" x14ac:dyDescent="0.2">
      <c r="A787" s="20"/>
      <c r="B787" s="20"/>
      <c r="C787" s="20"/>
      <c r="D787" s="20"/>
    </row>
    <row r="788" spans="1:4" x14ac:dyDescent="0.2">
      <c r="A788" s="20"/>
      <c r="B788" s="20"/>
      <c r="C788" s="20"/>
      <c r="D788" s="20"/>
    </row>
    <row r="789" spans="1:4" x14ac:dyDescent="0.2">
      <c r="A789" s="20"/>
      <c r="B789" s="20"/>
      <c r="C789" s="20"/>
      <c r="D789" s="20"/>
    </row>
    <row r="790" spans="1:4" x14ac:dyDescent="0.2">
      <c r="A790" s="20"/>
      <c r="B790" s="20"/>
      <c r="C790" s="20"/>
      <c r="D790" s="20"/>
    </row>
    <row r="791" spans="1:4" x14ac:dyDescent="0.2">
      <c r="A791" s="20"/>
      <c r="B791" s="20"/>
      <c r="C791" s="20"/>
      <c r="D791" s="20"/>
    </row>
    <row r="792" spans="1:4" x14ac:dyDescent="0.2">
      <c r="A792" s="20"/>
      <c r="B792" s="20"/>
      <c r="C792" s="20"/>
      <c r="D792" s="20"/>
    </row>
    <row r="793" spans="1:4" x14ac:dyDescent="0.2">
      <c r="A793" s="20"/>
      <c r="B793" s="20"/>
      <c r="C793" s="20"/>
      <c r="D793" s="20"/>
    </row>
    <row r="794" spans="1:4" x14ac:dyDescent="0.2">
      <c r="A794" s="20"/>
      <c r="B794" s="20"/>
      <c r="C794" s="20"/>
      <c r="D794" s="20"/>
    </row>
    <row r="795" spans="1:4" x14ac:dyDescent="0.2">
      <c r="A795" s="20"/>
      <c r="B795" s="20"/>
      <c r="C795" s="20"/>
      <c r="D795" s="20"/>
    </row>
    <row r="796" spans="1:4" x14ac:dyDescent="0.2">
      <c r="A796" s="20"/>
      <c r="B796" s="20"/>
      <c r="C796" s="20"/>
      <c r="D796" s="20"/>
    </row>
    <row r="797" spans="1:4" x14ac:dyDescent="0.2">
      <c r="A797" s="20"/>
      <c r="B797" s="20"/>
      <c r="C797" s="20"/>
      <c r="D797" s="20"/>
    </row>
    <row r="798" spans="1:4" x14ac:dyDescent="0.2">
      <c r="A798" s="20"/>
      <c r="B798" s="20"/>
      <c r="C798" s="20"/>
      <c r="D798" s="20"/>
    </row>
    <row r="799" spans="1:4" x14ac:dyDescent="0.2">
      <c r="A799" s="20"/>
      <c r="B799" s="20"/>
      <c r="C799" s="20"/>
      <c r="D799" s="20"/>
    </row>
    <row r="800" spans="1:4" x14ac:dyDescent="0.2">
      <c r="A800" s="20"/>
      <c r="B800" s="20"/>
      <c r="C800" s="20"/>
      <c r="D800" s="20"/>
    </row>
    <row r="801" spans="1:4" x14ac:dyDescent="0.2">
      <c r="A801" s="20"/>
      <c r="B801" s="20"/>
      <c r="C801" s="20"/>
      <c r="D801" s="20"/>
    </row>
    <row r="802" spans="1:4" x14ac:dyDescent="0.2">
      <c r="A802" s="20"/>
      <c r="B802" s="20"/>
      <c r="C802" s="20"/>
      <c r="D802" s="20"/>
    </row>
    <row r="803" spans="1:4" x14ac:dyDescent="0.2">
      <c r="A803" s="20"/>
      <c r="B803" s="20"/>
      <c r="C803" s="20"/>
      <c r="D803" s="20"/>
    </row>
    <row r="804" spans="1:4" x14ac:dyDescent="0.2">
      <c r="A804" s="20"/>
      <c r="B804" s="20"/>
      <c r="C804" s="20"/>
      <c r="D804" s="20"/>
    </row>
    <row r="805" spans="1:4" x14ac:dyDescent="0.2">
      <c r="A805" s="20"/>
      <c r="B805" s="20"/>
      <c r="C805" s="20"/>
      <c r="D805" s="20"/>
    </row>
    <row r="806" spans="1:4" x14ac:dyDescent="0.2">
      <c r="A806" s="20"/>
      <c r="B806" s="20"/>
      <c r="C806" s="20"/>
      <c r="D806" s="20"/>
    </row>
    <row r="807" spans="1:4" x14ac:dyDescent="0.2">
      <c r="A807" s="20"/>
      <c r="B807" s="20"/>
      <c r="C807" s="20"/>
      <c r="D807" s="20"/>
    </row>
    <row r="808" spans="1:4" x14ac:dyDescent="0.2">
      <c r="A808" s="20"/>
      <c r="B808" s="20"/>
      <c r="C808" s="20"/>
      <c r="D808" s="20"/>
    </row>
    <row r="809" spans="1:4" x14ac:dyDescent="0.2">
      <c r="A809" s="20"/>
      <c r="B809" s="20"/>
      <c r="C809" s="20"/>
      <c r="D809" s="20"/>
    </row>
    <row r="810" spans="1:4" x14ac:dyDescent="0.2">
      <c r="A810" s="20"/>
      <c r="B810" s="20"/>
      <c r="C810" s="20"/>
      <c r="D810" s="20"/>
    </row>
    <row r="811" spans="1:4" x14ac:dyDescent="0.2">
      <c r="A811" s="20"/>
      <c r="B811" s="20"/>
      <c r="C811" s="20"/>
      <c r="D811" s="20"/>
    </row>
    <row r="812" spans="1:4" x14ac:dyDescent="0.2">
      <c r="A812" s="20"/>
      <c r="B812" s="20"/>
      <c r="C812" s="20"/>
      <c r="D812" s="20"/>
    </row>
    <row r="813" spans="1:4" x14ac:dyDescent="0.2">
      <c r="A813" s="20"/>
      <c r="B813" s="20"/>
      <c r="C813" s="20"/>
      <c r="D813" s="20"/>
    </row>
    <row r="814" spans="1:4" x14ac:dyDescent="0.2">
      <c r="A814" s="20"/>
      <c r="B814" s="20"/>
      <c r="C814" s="20"/>
      <c r="D814" s="20"/>
    </row>
    <row r="815" spans="1:4" x14ac:dyDescent="0.2">
      <c r="A815" s="20"/>
      <c r="B815" s="20"/>
      <c r="C815" s="20"/>
      <c r="D815" s="20"/>
    </row>
    <row r="816" spans="1:4" x14ac:dyDescent="0.2">
      <c r="A816" s="20"/>
      <c r="B816" s="20"/>
      <c r="C816" s="20"/>
      <c r="D816" s="20"/>
    </row>
    <row r="817" spans="1:4" x14ac:dyDescent="0.2">
      <c r="A817" s="20"/>
      <c r="B817" s="20"/>
      <c r="C817" s="20"/>
      <c r="D817" s="20"/>
    </row>
    <row r="818" spans="1:4" x14ac:dyDescent="0.2">
      <c r="A818" s="20"/>
      <c r="B818" s="20"/>
      <c r="C818" s="20"/>
      <c r="D818" s="20"/>
    </row>
    <row r="819" spans="1:4" x14ac:dyDescent="0.2">
      <c r="A819" s="20"/>
      <c r="B819" s="20"/>
      <c r="C819" s="20"/>
      <c r="D819" s="20"/>
    </row>
    <row r="820" spans="1:4" x14ac:dyDescent="0.2">
      <c r="A820" s="20"/>
      <c r="B820" s="20"/>
      <c r="C820" s="20"/>
      <c r="D820" s="20"/>
    </row>
    <row r="821" spans="1:4" x14ac:dyDescent="0.2">
      <c r="A821" s="20"/>
      <c r="B821" s="20"/>
      <c r="C821" s="20"/>
      <c r="D821" s="20"/>
    </row>
    <row r="822" spans="1:4" x14ac:dyDescent="0.2">
      <c r="A822" s="20"/>
      <c r="B822" s="20"/>
      <c r="C822" s="20"/>
      <c r="D822" s="20"/>
    </row>
    <row r="823" spans="1:4" x14ac:dyDescent="0.2">
      <c r="A823" s="20"/>
      <c r="B823" s="20"/>
      <c r="C823" s="20"/>
      <c r="D823" s="20"/>
    </row>
    <row r="824" spans="1:4" x14ac:dyDescent="0.2">
      <c r="A824" s="20"/>
      <c r="B824" s="20"/>
      <c r="C824" s="20"/>
      <c r="D824" s="20"/>
    </row>
    <row r="825" spans="1:4" x14ac:dyDescent="0.2">
      <c r="A825" s="20"/>
      <c r="B825" s="20"/>
      <c r="C825" s="20"/>
      <c r="D825" s="20"/>
    </row>
    <row r="826" spans="1:4" x14ac:dyDescent="0.2">
      <c r="A826" s="20"/>
      <c r="B826" s="20"/>
      <c r="C826" s="20"/>
      <c r="D826" s="20"/>
    </row>
    <row r="827" spans="1:4" x14ac:dyDescent="0.2">
      <c r="A827" s="20"/>
      <c r="B827" s="20"/>
      <c r="C827" s="20"/>
      <c r="D827" s="20"/>
    </row>
    <row r="828" spans="1:4" x14ac:dyDescent="0.2">
      <c r="A828" s="20"/>
      <c r="B828" s="20"/>
      <c r="C828" s="20"/>
      <c r="D828" s="20"/>
    </row>
    <row r="829" spans="1:4" x14ac:dyDescent="0.2">
      <c r="A829" s="20"/>
      <c r="B829" s="20"/>
      <c r="C829" s="20"/>
      <c r="D829" s="20"/>
    </row>
    <row r="830" spans="1:4" x14ac:dyDescent="0.2">
      <c r="A830" s="20"/>
      <c r="B830" s="20"/>
      <c r="C830" s="20"/>
      <c r="D830" s="20"/>
    </row>
    <row r="831" spans="1:4" x14ac:dyDescent="0.2">
      <c r="A831" s="20"/>
      <c r="B831" s="20"/>
      <c r="C831" s="20"/>
      <c r="D831" s="20"/>
    </row>
    <row r="832" spans="1:4" x14ac:dyDescent="0.2">
      <c r="A832" s="20"/>
      <c r="B832" s="20"/>
      <c r="C832" s="20"/>
      <c r="D832" s="20"/>
    </row>
    <row r="833" spans="1:4" x14ac:dyDescent="0.2">
      <c r="A833" s="20"/>
      <c r="B833" s="20"/>
      <c r="C833" s="20"/>
      <c r="D833" s="20"/>
    </row>
    <row r="834" spans="1:4" x14ac:dyDescent="0.2">
      <c r="A834" s="20"/>
      <c r="B834" s="20"/>
      <c r="C834" s="20"/>
      <c r="D834" s="20"/>
    </row>
    <row r="835" spans="1:4" x14ac:dyDescent="0.2">
      <c r="A835" s="20"/>
      <c r="B835" s="20"/>
      <c r="C835" s="20"/>
      <c r="D835" s="20"/>
    </row>
    <row r="836" spans="1:4" x14ac:dyDescent="0.2">
      <c r="A836" s="20"/>
      <c r="B836" s="20"/>
      <c r="C836" s="20"/>
      <c r="D836" s="20"/>
    </row>
    <row r="837" spans="1:4" x14ac:dyDescent="0.2">
      <c r="A837" s="20"/>
      <c r="B837" s="20"/>
      <c r="C837" s="20"/>
      <c r="D837" s="20"/>
    </row>
    <row r="838" spans="1:4" x14ac:dyDescent="0.2">
      <c r="A838" s="20"/>
      <c r="B838" s="20"/>
      <c r="C838" s="20"/>
      <c r="D838" s="20"/>
    </row>
    <row r="839" spans="1:4" x14ac:dyDescent="0.2">
      <c r="A839" s="20"/>
      <c r="B839" s="20"/>
      <c r="C839" s="20"/>
      <c r="D839" s="20"/>
    </row>
    <row r="840" spans="1:4" x14ac:dyDescent="0.2">
      <c r="A840" s="20"/>
      <c r="B840" s="20"/>
      <c r="C840" s="20"/>
      <c r="D840" s="20"/>
    </row>
    <row r="841" spans="1:4" x14ac:dyDescent="0.2">
      <c r="A841" s="20"/>
      <c r="B841" s="20"/>
      <c r="C841" s="20"/>
      <c r="D841" s="20"/>
    </row>
    <row r="842" spans="1:4" x14ac:dyDescent="0.2">
      <c r="A842" s="20"/>
      <c r="B842" s="20"/>
      <c r="C842" s="20"/>
      <c r="D842" s="20"/>
    </row>
    <row r="843" spans="1:4" x14ac:dyDescent="0.2">
      <c r="A843" s="20"/>
      <c r="B843" s="20"/>
      <c r="C843" s="20"/>
      <c r="D843" s="20"/>
    </row>
    <row r="844" spans="1:4" x14ac:dyDescent="0.2">
      <c r="A844" s="20"/>
      <c r="B844" s="20"/>
      <c r="C844" s="20"/>
      <c r="D844" s="20"/>
    </row>
    <row r="845" spans="1:4" x14ac:dyDescent="0.2">
      <c r="A845" s="20"/>
      <c r="B845" s="20"/>
      <c r="C845" s="20"/>
      <c r="D845" s="20"/>
    </row>
    <row r="846" spans="1:4" x14ac:dyDescent="0.2">
      <c r="A846" s="20"/>
      <c r="B846" s="20"/>
      <c r="C846" s="20"/>
      <c r="D846" s="20"/>
    </row>
    <row r="847" spans="1:4" x14ac:dyDescent="0.2">
      <c r="A847" s="20"/>
      <c r="B847" s="20"/>
      <c r="C847" s="20"/>
      <c r="D847" s="20"/>
    </row>
    <row r="848" spans="1:4" x14ac:dyDescent="0.2">
      <c r="A848" s="20"/>
      <c r="B848" s="20"/>
      <c r="C848" s="20"/>
      <c r="D848" s="20"/>
    </row>
    <row r="849" spans="1:4" x14ac:dyDescent="0.2">
      <c r="A849" s="20"/>
      <c r="B849" s="20"/>
      <c r="C849" s="20"/>
      <c r="D849" s="20"/>
    </row>
    <row r="850" spans="1:4" x14ac:dyDescent="0.2">
      <c r="A850" s="20"/>
      <c r="B850" s="20"/>
      <c r="C850" s="20"/>
      <c r="D850" s="20"/>
    </row>
    <row r="851" spans="1:4" x14ac:dyDescent="0.2">
      <c r="A851" s="20"/>
      <c r="B851" s="20"/>
      <c r="C851" s="20"/>
      <c r="D851" s="20"/>
    </row>
    <row r="852" spans="1:4" x14ac:dyDescent="0.2">
      <c r="A852" s="20"/>
      <c r="B852" s="20"/>
      <c r="C852" s="20"/>
      <c r="D852" s="20"/>
    </row>
    <row r="853" spans="1:4" x14ac:dyDescent="0.2">
      <c r="A853" s="20"/>
      <c r="B853" s="20"/>
      <c r="C853" s="20"/>
      <c r="D853" s="20"/>
    </row>
    <row r="854" spans="1:4" x14ac:dyDescent="0.2">
      <c r="A854" s="20"/>
      <c r="B854" s="20"/>
      <c r="C854" s="20"/>
      <c r="D854" s="20"/>
    </row>
    <row r="855" spans="1:4" x14ac:dyDescent="0.2">
      <c r="A855" s="20"/>
      <c r="B855" s="20"/>
      <c r="C855" s="20"/>
      <c r="D855" s="20"/>
    </row>
    <row r="856" spans="1:4" x14ac:dyDescent="0.2">
      <c r="A856" s="20"/>
      <c r="B856" s="20"/>
      <c r="C856" s="20"/>
      <c r="D856" s="20"/>
    </row>
    <row r="857" spans="1:4" x14ac:dyDescent="0.2">
      <c r="A857" s="20"/>
      <c r="B857" s="20"/>
      <c r="C857" s="20"/>
      <c r="D857" s="20"/>
    </row>
    <row r="858" spans="1:4" x14ac:dyDescent="0.2">
      <c r="A858" s="20"/>
      <c r="B858" s="20"/>
      <c r="C858" s="20"/>
      <c r="D858" s="20"/>
    </row>
    <row r="859" spans="1:4" x14ac:dyDescent="0.2">
      <c r="A859" s="20"/>
      <c r="B859" s="20"/>
      <c r="C859" s="20"/>
      <c r="D859" s="20"/>
    </row>
    <row r="860" spans="1:4" x14ac:dyDescent="0.2">
      <c r="A860" s="20"/>
      <c r="B860" s="20"/>
      <c r="C860" s="20"/>
      <c r="D860" s="20"/>
    </row>
    <row r="861" spans="1:4" x14ac:dyDescent="0.2">
      <c r="A861" s="20"/>
      <c r="B861" s="20"/>
      <c r="C861" s="20"/>
      <c r="D861" s="20"/>
    </row>
    <row r="862" spans="1:4" x14ac:dyDescent="0.2">
      <c r="A862" s="20"/>
      <c r="B862" s="20"/>
      <c r="C862" s="20"/>
      <c r="D862" s="20"/>
    </row>
    <row r="863" spans="1:4" x14ac:dyDescent="0.2">
      <c r="A863" s="20"/>
      <c r="B863" s="20"/>
      <c r="C863" s="20"/>
      <c r="D863" s="20"/>
    </row>
    <row r="864" spans="1:4" x14ac:dyDescent="0.2">
      <c r="A864" s="20"/>
      <c r="B864" s="20"/>
      <c r="C864" s="20"/>
      <c r="D864" s="20"/>
    </row>
    <row r="865" spans="1:4" x14ac:dyDescent="0.2">
      <c r="A865" s="20"/>
      <c r="B865" s="20"/>
      <c r="C865" s="20"/>
      <c r="D865" s="20"/>
    </row>
    <row r="866" spans="1:4" x14ac:dyDescent="0.2">
      <c r="A866" s="20"/>
      <c r="B866" s="20"/>
      <c r="C866" s="20"/>
      <c r="D866" s="20"/>
    </row>
    <row r="867" spans="1:4" x14ac:dyDescent="0.2">
      <c r="A867" s="20"/>
      <c r="B867" s="20"/>
      <c r="C867" s="20"/>
      <c r="D867" s="20"/>
    </row>
    <row r="868" spans="1:4" x14ac:dyDescent="0.2">
      <c r="A868" s="20"/>
      <c r="B868" s="20"/>
      <c r="C868" s="20"/>
      <c r="D868" s="20"/>
    </row>
    <row r="869" spans="1:4" x14ac:dyDescent="0.2">
      <c r="A869" s="20"/>
      <c r="B869" s="20"/>
      <c r="C869" s="20"/>
      <c r="D869" s="20"/>
    </row>
    <row r="870" spans="1:4" x14ac:dyDescent="0.2">
      <c r="A870" s="20"/>
      <c r="B870" s="20"/>
      <c r="C870" s="20"/>
      <c r="D870" s="20"/>
    </row>
    <row r="871" spans="1:4" x14ac:dyDescent="0.2">
      <c r="A871" s="20"/>
      <c r="B871" s="20"/>
      <c r="C871" s="20"/>
      <c r="D871" s="20"/>
    </row>
    <row r="872" spans="1:4" x14ac:dyDescent="0.2">
      <c r="A872" s="20"/>
      <c r="B872" s="20"/>
      <c r="C872" s="20"/>
      <c r="D872" s="20"/>
    </row>
    <row r="873" spans="1:4" x14ac:dyDescent="0.2">
      <c r="A873" s="20"/>
      <c r="B873" s="20"/>
      <c r="C873" s="20"/>
      <c r="D873" s="20"/>
    </row>
    <row r="874" spans="1:4" x14ac:dyDescent="0.2">
      <c r="A874" s="20"/>
      <c r="B874" s="20"/>
      <c r="C874" s="20"/>
      <c r="D874" s="20"/>
    </row>
    <row r="875" spans="1:4" x14ac:dyDescent="0.2">
      <c r="A875" s="20"/>
      <c r="B875" s="20"/>
      <c r="C875" s="20"/>
      <c r="D875" s="20"/>
    </row>
    <row r="876" spans="1:4" x14ac:dyDescent="0.2">
      <c r="A876" s="20"/>
      <c r="B876" s="20"/>
      <c r="C876" s="20"/>
      <c r="D876" s="20"/>
    </row>
    <row r="877" spans="1:4" x14ac:dyDescent="0.2">
      <c r="A877" s="20"/>
      <c r="B877" s="20"/>
      <c r="C877" s="20"/>
      <c r="D877" s="20"/>
    </row>
    <row r="878" spans="1:4" x14ac:dyDescent="0.2">
      <c r="A878" s="20"/>
      <c r="B878" s="20"/>
      <c r="C878" s="20"/>
      <c r="D878" s="20"/>
    </row>
    <row r="879" spans="1:4" x14ac:dyDescent="0.2">
      <c r="A879" s="20"/>
      <c r="B879" s="20"/>
      <c r="C879" s="20"/>
      <c r="D879" s="20"/>
    </row>
    <row r="880" spans="1:4" x14ac:dyDescent="0.2">
      <c r="A880" s="20"/>
      <c r="B880" s="20"/>
      <c r="C880" s="20"/>
      <c r="D880" s="20"/>
    </row>
    <row r="881" spans="1:4" x14ac:dyDescent="0.2">
      <c r="A881" s="20"/>
      <c r="B881" s="20"/>
      <c r="C881" s="20"/>
      <c r="D881" s="20"/>
    </row>
    <row r="882" spans="1:4" x14ac:dyDescent="0.2">
      <c r="A882" s="20"/>
      <c r="B882" s="20"/>
      <c r="C882" s="20"/>
      <c r="D882" s="20"/>
    </row>
    <row r="883" spans="1:4" x14ac:dyDescent="0.2">
      <c r="A883" s="20"/>
      <c r="B883" s="20"/>
      <c r="C883" s="20"/>
      <c r="D883" s="20"/>
    </row>
    <row r="884" spans="1:4" x14ac:dyDescent="0.2">
      <c r="A884" s="20"/>
      <c r="B884" s="20"/>
      <c r="C884" s="20"/>
      <c r="D884" s="20"/>
    </row>
    <row r="885" spans="1:4" x14ac:dyDescent="0.2">
      <c r="A885" s="20"/>
      <c r="B885" s="20"/>
      <c r="C885" s="20"/>
      <c r="D885" s="20"/>
    </row>
    <row r="886" spans="1:4" x14ac:dyDescent="0.2">
      <c r="A886" s="20"/>
      <c r="B886" s="20"/>
      <c r="C886" s="20"/>
      <c r="D886" s="20"/>
    </row>
    <row r="887" spans="1:4" x14ac:dyDescent="0.2">
      <c r="A887" s="20"/>
      <c r="B887" s="20"/>
      <c r="C887" s="20"/>
      <c r="D887" s="20"/>
    </row>
    <row r="888" spans="1:4" x14ac:dyDescent="0.2">
      <c r="A888" s="20"/>
      <c r="B888" s="20"/>
      <c r="C888" s="20"/>
      <c r="D888" s="20"/>
    </row>
    <row r="889" spans="1:4" x14ac:dyDescent="0.2">
      <c r="A889" s="20"/>
      <c r="B889" s="20"/>
      <c r="C889" s="20"/>
      <c r="D889" s="20"/>
    </row>
    <row r="890" spans="1:4" x14ac:dyDescent="0.2">
      <c r="A890" s="20"/>
      <c r="B890" s="20"/>
      <c r="C890" s="20"/>
      <c r="D890" s="20"/>
    </row>
    <row r="891" spans="1:4" x14ac:dyDescent="0.2">
      <c r="A891" s="20"/>
      <c r="B891" s="20"/>
      <c r="C891" s="20"/>
      <c r="D891" s="20"/>
    </row>
    <row r="892" spans="1:4" x14ac:dyDescent="0.2">
      <c r="A892" s="20"/>
      <c r="B892" s="20"/>
      <c r="C892" s="20"/>
      <c r="D892" s="20"/>
    </row>
    <row r="893" spans="1:4" x14ac:dyDescent="0.2">
      <c r="A893" s="20"/>
      <c r="B893" s="20"/>
      <c r="C893" s="20"/>
      <c r="D893" s="20"/>
    </row>
    <row r="894" spans="1:4" x14ac:dyDescent="0.2">
      <c r="A894" s="20"/>
      <c r="B894" s="20"/>
      <c r="C894" s="20"/>
      <c r="D894" s="20"/>
    </row>
    <row r="895" spans="1:4" x14ac:dyDescent="0.2">
      <c r="A895" s="20"/>
      <c r="B895" s="20"/>
      <c r="C895" s="20"/>
      <c r="D895" s="20"/>
    </row>
    <row r="896" spans="1:4" x14ac:dyDescent="0.2">
      <c r="A896" s="20"/>
      <c r="B896" s="20"/>
      <c r="C896" s="20"/>
      <c r="D896" s="20"/>
    </row>
    <row r="897" spans="1:4" x14ac:dyDescent="0.2">
      <c r="A897" s="20"/>
      <c r="B897" s="20"/>
      <c r="C897" s="20"/>
      <c r="D897" s="20"/>
    </row>
    <row r="898" spans="1:4" x14ac:dyDescent="0.2">
      <c r="A898" s="20"/>
      <c r="B898" s="20"/>
      <c r="C898" s="20"/>
      <c r="D898" s="20"/>
    </row>
    <row r="899" spans="1:4" x14ac:dyDescent="0.2">
      <c r="A899" s="20"/>
      <c r="B899" s="20"/>
      <c r="C899" s="20"/>
      <c r="D899" s="20"/>
    </row>
    <row r="900" spans="1:4" x14ac:dyDescent="0.2">
      <c r="A900" s="20"/>
      <c r="B900" s="20"/>
      <c r="C900" s="20"/>
      <c r="D900" s="20"/>
    </row>
    <row r="901" spans="1:4" x14ac:dyDescent="0.2">
      <c r="A901" s="20"/>
      <c r="B901" s="20"/>
      <c r="C901" s="20"/>
      <c r="D901" s="20"/>
    </row>
    <row r="902" spans="1:4" x14ac:dyDescent="0.2">
      <c r="A902" s="20"/>
      <c r="B902" s="20"/>
      <c r="C902" s="20"/>
      <c r="D902" s="20"/>
    </row>
    <row r="903" spans="1:4" x14ac:dyDescent="0.2">
      <c r="A903" s="20"/>
      <c r="B903" s="20"/>
      <c r="C903" s="20"/>
      <c r="D903" s="20"/>
    </row>
    <row r="904" spans="1:4" x14ac:dyDescent="0.2">
      <c r="A904" s="20"/>
      <c r="B904" s="20"/>
      <c r="C904" s="20"/>
      <c r="D904" s="20"/>
    </row>
    <row r="905" spans="1:4" x14ac:dyDescent="0.2">
      <c r="A905" s="20"/>
      <c r="B905" s="20"/>
      <c r="C905" s="20"/>
      <c r="D905" s="20"/>
    </row>
    <row r="906" spans="1:4" x14ac:dyDescent="0.2">
      <c r="A906" s="20"/>
      <c r="B906" s="20"/>
      <c r="C906" s="20"/>
      <c r="D906" s="20"/>
    </row>
    <row r="907" spans="1:4" x14ac:dyDescent="0.2">
      <c r="A907" s="20"/>
      <c r="B907" s="20"/>
      <c r="C907" s="20"/>
      <c r="D907" s="20"/>
    </row>
    <row r="908" spans="1:4" x14ac:dyDescent="0.2">
      <c r="A908" s="20"/>
      <c r="B908" s="20"/>
      <c r="C908" s="20"/>
      <c r="D908" s="20"/>
    </row>
    <row r="909" spans="1:4" x14ac:dyDescent="0.2">
      <c r="A909" s="20"/>
      <c r="B909" s="20"/>
      <c r="C909" s="20"/>
      <c r="D909" s="20"/>
    </row>
    <row r="910" spans="1:4" x14ac:dyDescent="0.2">
      <c r="A910" s="20"/>
      <c r="B910" s="20"/>
      <c r="C910" s="20"/>
      <c r="D910" s="20"/>
    </row>
    <row r="911" spans="1:4" x14ac:dyDescent="0.2">
      <c r="A911" s="20"/>
      <c r="B911" s="20"/>
      <c r="C911" s="20"/>
      <c r="D911" s="20"/>
    </row>
    <row r="912" spans="1:4" x14ac:dyDescent="0.2">
      <c r="A912" s="20"/>
      <c r="B912" s="20"/>
      <c r="C912" s="20"/>
      <c r="D912" s="20"/>
    </row>
    <row r="913" spans="1:4" x14ac:dyDescent="0.2">
      <c r="A913" s="20"/>
      <c r="B913" s="20"/>
      <c r="C913" s="20"/>
      <c r="D913" s="20"/>
    </row>
    <row r="914" spans="1:4" x14ac:dyDescent="0.2">
      <c r="A914" s="20"/>
      <c r="B914" s="20"/>
      <c r="C914" s="20"/>
      <c r="D914" s="20"/>
    </row>
    <row r="915" spans="1:4" x14ac:dyDescent="0.2">
      <c r="A915" s="20"/>
      <c r="B915" s="20"/>
      <c r="C915" s="20"/>
      <c r="D915" s="20"/>
    </row>
    <row r="916" spans="1:4" x14ac:dyDescent="0.2">
      <c r="A916" s="20"/>
      <c r="B916" s="20"/>
      <c r="C916" s="20"/>
      <c r="D916" s="20"/>
    </row>
    <row r="917" spans="1:4" x14ac:dyDescent="0.2">
      <c r="A917" s="20"/>
      <c r="B917" s="20"/>
      <c r="C917" s="20"/>
      <c r="D917" s="20"/>
    </row>
    <row r="918" spans="1:4" x14ac:dyDescent="0.2">
      <c r="A918" s="20"/>
      <c r="B918" s="20"/>
      <c r="C918" s="20"/>
      <c r="D918" s="20"/>
    </row>
    <row r="919" spans="1:4" x14ac:dyDescent="0.2">
      <c r="A919" s="20"/>
      <c r="B919" s="20"/>
      <c r="C919" s="20"/>
      <c r="D919" s="20"/>
    </row>
    <row r="920" spans="1:4" x14ac:dyDescent="0.2">
      <c r="A920" s="20"/>
      <c r="B920" s="20"/>
      <c r="C920" s="20"/>
      <c r="D920" s="20"/>
    </row>
    <row r="921" spans="1:4" x14ac:dyDescent="0.2">
      <c r="A921" s="20"/>
      <c r="B921" s="20"/>
      <c r="C921" s="20"/>
      <c r="D921" s="20"/>
    </row>
    <row r="922" spans="1:4" x14ac:dyDescent="0.2">
      <c r="A922" s="20"/>
      <c r="B922" s="20"/>
      <c r="C922" s="20"/>
      <c r="D922" s="20"/>
    </row>
    <row r="923" spans="1:4" x14ac:dyDescent="0.2">
      <c r="A923" s="20"/>
      <c r="B923" s="20"/>
      <c r="C923" s="20"/>
      <c r="D923" s="20"/>
    </row>
    <row r="924" spans="1:4" x14ac:dyDescent="0.2">
      <c r="A924" s="20"/>
      <c r="B924" s="20"/>
      <c r="C924" s="20"/>
      <c r="D924" s="20"/>
    </row>
    <row r="925" spans="1:4" x14ac:dyDescent="0.2">
      <c r="A925" s="20"/>
      <c r="B925" s="20"/>
      <c r="C925" s="20"/>
      <c r="D925" s="20"/>
    </row>
    <row r="926" spans="1:4" x14ac:dyDescent="0.2">
      <c r="A926" s="20"/>
      <c r="B926" s="20"/>
      <c r="C926" s="20"/>
      <c r="D926" s="20"/>
    </row>
    <row r="927" spans="1:4" x14ac:dyDescent="0.2">
      <c r="A927" s="20"/>
      <c r="B927" s="20"/>
      <c r="C927" s="20"/>
      <c r="D927" s="20"/>
    </row>
    <row r="928" spans="1:4" x14ac:dyDescent="0.2">
      <c r="A928" s="20"/>
      <c r="B928" s="20"/>
      <c r="C928" s="20"/>
      <c r="D928" s="20"/>
    </row>
    <row r="929" spans="1:4" x14ac:dyDescent="0.2">
      <c r="A929" s="20"/>
      <c r="B929" s="20"/>
      <c r="C929" s="20"/>
      <c r="D929" s="20"/>
    </row>
    <row r="930" spans="1:4" x14ac:dyDescent="0.2">
      <c r="A930" s="20"/>
      <c r="B930" s="20"/>
      <c r="C930" s="20"/>
      <c r="D930" s="20"/>
    </row>
    <row r="931" spans="1:4" x14ac:dyDescent="0.2">
      <c r="A931" s="20"/>
      <c r="B931" s="20"/>
      <c r="C931" s="20"/>
      <c r="D931" s="20"/>
    </row>
    <row r="932" spans="1:4" x14ac:dyDescent="0.2">
      <c r="A932" s="20"/>
      <c r="B932" s="20"/>
      <c r="C932" s="20"/>
      <c r="D932" s="20"/>
    </row>
    <row r="933" spans="1:4" x14ac:dyDescent="0.2">
      <c r="A933" s="20"/>
      <c r="B933" s="20"/>
      <c r="C933" s="20"/>
      <c r="D933" s="20"/>
    </row>
    <row r="934" spans="1:4" x14ac:dyDescent="0.2">
      <c r="A934" s="20"/>
      <c r="B934" s="20"/>
      <c r="C934" s="20"/>
      <c r="D934" s="20"/>
    </row>
    <row r="935" spans="1:4" x14ac:dyDescent="0.2">
      <c r="A935" s="20"/>
      <c r="B935" s="20"/>
      <c r="C935" s="20"/>
      <c r="D935" s="20"/>
    </row>
    <row r="936" spans="1:4" x14ac:dyDescent="0.2">
      <c r="A936" s="20"/>
      <c r="B936" s="20"/>
      <c r="C936" s="20"/>
      <c r="D936" s="20"/>
    </row>
    <row r="937" spans="1:4" x14ac:dyDescent="0.2">
      <c r="A937" s="20"/>
      <c r="B937" s="20"/>
      <c r="C937" s="20"/>
      <c r="D937" s="20"/>
    </row>
    <row r="938" spans="1:4" x14ac:dyDescent="0.2">
      <c r="A938" s="20"/>
      <c r="B938" s="20"/>
      <c r="C938" s="20"/>
      <c r="D938" s="20"/>
    </row>
    <row r="939" spans="1:4" x14ac:dyDescent="0.2">
      <c r="A939" s="20"/>
      <c r="B939" s="20"/>
      <c r="C939" s="20"/>
      <c r="D939" s="20"/>
    </row>
    <row r="940" spans="1:4" x14ac:dyDescent="0.2">
      <c r="A940" s="20"/>
      <c r="B940" s="20"/>
      <c r="C940" s="20"/>
      <c r="D940" s="20"/>
    </row>
    <row r="941" spans="1:4" x14ac:dyDescent="0.2">
      <c r="A941" s="20"/>
      <c r="B941" s="20"/>
      <c r="C941" s="20"/>
      <c r="D941" s="20"/>
    </row>
    <row r="942" spans="1:4" x14ac:dyDescent="0.2">
      <c r="A942" s="20"/>
      <c r="B942" s="20"/>
      <c r="C942" s="20"/>
      <c r="D942" s="20"/>
    </row>
    <row r="943" spans="1:4" x14ac:dyDescent="0.2">
      <c r="A943" s="20"/>
      <c r="B943" s="20"/>
      <c r="C943" s="20"/>
      <c r="D943" s="20"/>
    </row>
    <row r="944" spans="1:4" x14ac:dyDescent="0.2">
      <c r="A944" s="20"/>
      <c r="B944" s="20"/>
      <c r="C944" s="20"/>
      <c r="D944" s="20"/>
    </row>
    <row r="945" spans="1:4" x14ac:dyDescent="0.2">
      <c r="A945" s="20"/>
      <c r="B945" s="20"/>
      <c r="C945" s="20"/>
      <c r="D945" s="20"/>
    </row>
    <row r="946" spans="1:4" x14ac:dyDescent="0.2">
      <c r="A946" s="20"/>
      <c r="B946" s="20"/>
      <c r="C946" s="20"/>
      <c r="D946" s="20"/>
    </row>
    <row r="947" spans="1:4" x14ac:dyDescent="0.2">
      <c r="A947" s="20"/>
      <c r="B947" s="20"/>
      <c r="C947" s="20"/>
      <c r="D947" s="20"/>
    </row>
    <row r="948" spans="1:4" x14ac:dyDescent="0.2">
      <c r="A948" s="20"/>
      <c r="B948" s="20"/>
      <c r="C948" s="20"/>
      <c r="D948" s="20"/>
    </row>
    <row r="949" spans="1:4" x14ac:dyDescent="0.2">
      <c r="A949" s="20"/>
      <c r="B949" s="20"/>
      <c r="C949" s="20"/>
      <c r="D949" s="20"/>
    </row>
    <row r="950" spans="1:4" x14ac:dyDescent="0.2">
      <c r="A950" s="20"/>
      <c r="B950" s="20"/>
      <c r="C950" s="20"/>
      <c r="D950" s="20"/>
    </row>
    <row r="951" spans="1:4" x14ac:dyDescent="0.2">
      <c r="A951" s="20"/>
      <c r="B951" s="20"/>
      <c r="C951" s="20"/>
      <c r="D951" s="20"/>
    </row>
    <row r="952" spans="1:4" x14ac:dyDescent="0.2">
      <c r="A952" s="20"/>
      <c r="B952" s="20"/>
      <c r="C952" s="20"/>
      <c r="D952" s="20"/>
    </row>
    <row r="953" spans="1:4" x14ac:dyDescent="0.2">
      <c r="A953" s="20"/>
      <c r="B953" s="20"/>
      <c r="C953" s="20"/>
      <c r="D953" s="20"/>
    </row>
    <row r="954" spans="1:4" x14ac:dyDescent="0.2">
      <c r="A954" s="20"/>
      <c r="B954" s="20"/>
      <c r="C954" s="20"/>
      <c r="D954" s="20"/>
    </row>
    <row r="955" spans="1:4" x14ac:dyDescent="0.2">
      <c r="A955" s="20"/>
      <c r="B955" s="20"/>
      <c r="C955" s="20"/>
      <c r="D955" s="20"/>
    </row>
    <row r="956" spans="1:4" x14ac:dyDescent="0.2">
      <c r="A956" s="20"/>
      <c r="B956" s="20"/>
      <c r="C956" s="20"/>
      <c r="D956" s="20"/>
    </row>
    <row r="957" spans="1:4" x14ac:dyDescent="0.2">
      <c r="A957" s="20"/>
      <c r="B957" s="20"/>
      <c r="C957" s="20"/>
      <c r="D957" s="20"/>
    </row>
    <row r="958" spans="1:4" x14ac:dyDescent="0.2">
      <c r="A958" s="20"/>
      <c r="B958" s="20"/>
      <c r="C958" s="20"/>
      <c r="D958" s="20"/>
    </row>
    <row r="959" spans="1:4" x14ac:dyDescent="0.2">
      <c r="A959" s="20"/>
      <c r="B959" s="20"/>
      <c r="C959" s="20"/>
      <c r="D959" s="20"/>
    </row>
    <row r="960" spans="1:4" x14ac:dyDescent="0.2">
      <c r="A960" s="20"/>
      <c r="B960" s="20"/>
      <c r="C960" s="20"/>
      <c r="D960" s="20"/>
    </row>
    <row r="961" spans="1:4" x14ac:dyDescent="0.2">
      <c r="A961" s="20"/>
      <c r="B961" s="20"/>
      <c r="C961" s="20"/>
      <c r="D961" s="20"/>
    </row>
    <row r="962" spans="1:4" x14ac:dyDescent="0.2">
      <c r="A962" s="20"/>
      <c r="B962" s="20"/>
      <c r="C962" s="20"/>
      <c r="D962" s="20"/>
    </row>
    <row r="963" spans="1:4" x14ac:dyDescent="0.2">
      <c r="A963" s="20"/>
      <c r="B963" s="20"/>
      <c r="C963" s="20"/>
      <c r="D963" s="20"/>
    </row>
    <row r="964" spans="1:4" x14ac:dyDescent="0.2">
      <c r="A964" s="20"/>
      <c r="B964" s="20"/>
      <c r="C964" s="20"/>
      <c r="D964" s="20"/>
    </row>
    <row r="965" spans="1:4" x14ac:dyDescent="0.2">
      <c r="A965" s="20"/>
      <c r="B965" s="20"/>
      <c r="C965" s="20"/>
      <c r="D965" s="20"/>
    </row>
    <row r="966" spans="1:4" x14ac:dyDescent="0.2">
      <c r="A966" s="20"/>
      <c r="B966" s="20"/>
      <c r="C966" s="20"/>
      <c r="D966" s="20"/>
    </row>
    <row r="967" spans="1:4" x14ac:dyDescent="0.2">
      <c r="A967" s="20"/>
      <c r="B967" s="20"/>
      <c r="C967" s="20"/>
      <c r="D967" s="20"/>
    </row>
    <row r="968" spans="1:4" x14ac:dyDescent="0.2">
      <c r="A968" s="20"/>
      <c r="B968" s="20"/>
      <c r="C968" s="20"/>
      <c r="D968" s="20"/>
    </row>
    <row r="969" spans="1:4" x14ac:dyDescent="0.2">
      <c r="A969" s="20"/>
      <c r="B969" s="20"/>
      <c r="C969" s="20"/>
      <c r="D969" s="20"/>
    </row>
    <row r="970" spans="1:4" x14ac:dyDescent="0.2">
      <c r="A970" s="20"/>
      <c r="B970" s="20"/>
      <c r="C970" s="20"/>
      <c r="D970" s="20"/>
    </row>
    <row r="971" spans="1:4" x14ac:dyDescent="0.2">
      <c r="A971" s="20"/>
      <c r="B971" s="20"/>
      <c r="C971" s="20"/>
      <c r="D971" s="20"/>
    </row>
    <row r="972" spans="1:4" x14ac:dyDescent="0.2">
      <c r="A972" s="20"/>
      <c r="B972" s="20"/>
      <c r="C972" s="20"/>
      <c r="D972" s="20"/>
    </row>
    <row r="973" spans="1:4" x14ac:dyDescent="0.2">
      <c r="A973" s="20"/>
      <c r="B973" s="20"/>
      <c r="C973" s="20"/>
      <c r="D973" s="20"/>
    </row>
    <row r="974" spans="1:4" x14ac:dyDescent="0.2">
      <c r="A974" s="20"/>
      <c r="B974" s="20"/>
      <c r="C974" s="20"/>
      <c r="D974" s="20"/>
    </row>
    <row r="975" spans="1:4" x14ac:dyDescent="0.2">
      <c r="A975" s="20"/>
      <c r="B975" s="20"/>
      <c r="C975" s="20"/>
      <c r="D975" s="20"/>
    </row>
    <row r="976" spans="1:4" x14ac:dyDescent="0.2">
      <c r="A976" s="20"/>
      <c r="B976" s="20"/>
      <c r="C976" s="20"/>
      <c r="D976" s="20"/>
    </row>
    <row r="977" spans="1:4" x14ac:dyDescent="0.2">
      <c r="A977" s="20"/>
      <c r="B977" s="20"/>
      <c r="C977" s="20"/>
      <c r="D977" s="20"/>
    </row>
    <row r="978" spans="1:4" x14ac:dyDescent="0.2">
      <c r="A978" s="20"/>
      <c r="B978" s="20"/>
      <c r="C978" s="20"/>
      <c r="D978" s="20"/>
    </row>
    <row r="979" spans="1:4" x14ac:dyDescent="0.2">
      <c r="A979" s="20"/>
      <c r="B979" s="20"/>
      <c r="C979" s="20"/>
      <c r="D979" s="20"/>
    </row>
    <row r="980" spans="1:4" x14ac:dyDescent="0.2">
      <c r="A980" s="20"/>
      <c r="B980" s="20"/>
      <c r="C980" s="20"/>
      <c r="D980" s="20"/>
    </row>
    <row r="981" spans="1:4" x14ac:dyDescent="0.2">
      <c r="A981" s="20"/>
      <c r="B981" s="20"/>
      <c r="C981" s="20"/>
      <c r="D981" s="20"/>
    </row>
    <row r="982" spans="1:4" x14ac:dyDescent="0.2">
      <c r="A982" s="20"/>
      <c r="B982" s="20"/>
      <c r="C982" s="20"/>
      <c r="D982" s="20"/>
    </row>
    <row r="983" spans="1:4" x14ac:dyDescent="0.2">
      <c r="A983" s="20"/>
      <c r="B983" s="20"/>
      <c r="C983" s="20"/>
      <c r="D983" s="20"/>
    </row>
    <row r="984" spans="1:4" x14ac:dyDescent="0.2">
      <c r="A984" s="20"/>
      <c r="B984" s="20"/>
      <c r="C984" s="20"/>
      <c r="D984" s="20"/>
    </row>
    <row r="985" spans="1:4" x14ac:dyDescent="0.2">
      <c r="A985" s="20"/>
      <c r="B985" s="20"/>
      <c r="C985" s="20"/>
      <c r="D985" s="20"/>
    </row>
    <row r="986" spans="1:4" x14ac:dyDescent="0.2">
      <c r="A986" s="20"/>
      <c r="B986" s="20"/>
      <c r="C986" s="20"/>
      <c r="D986" s="20"/>
    </row>
    <row r="987" spans="1:4" x14ac:dyDescent="0.2">
      <c r="A987" s="20"/>
      <c r="B987" s="20"/>
      <c r="C987" s="20"/>
      <c r="D987" s="20"/>
    </row>
    <row r="988" spans="1:4" x14ac:dyDescent="0.2">
      <c r="A988" s="20"/>
      <c r="B988" s="20"/>
      <c r="C988" s="20"/>
      <c r="D988" s="20"/>
    </row>
    <row r="989" spans="1:4" x14ac:dyDescent="0.2">
      <c r="A989" s="20"/>
      <c r="B989" s="20"/>
      <c r="C989" s="20"/>
      <c r="D989" s="20"/>
    </row>
    <row r="990" spans="1:4" x14ac:dyDescent="0.2">
      <c r="A990" s="20"/>
      <c r="B990" s="20"/>
      <c r="C990" s="20"/>
      <c r="D990" s="20"/>
    </row>
    <row r="991" spans="1:4" x14ac:dyDescent="0.2">
      <c r="A991" s="20"/>
      <c r="B991" s="20"/>
      <c r="C991" s="20"/>
      <c r="D991" s="20"/>
    </row>
    <row r="992" spans="1:4" x14ac:dyDescent="0.2">
      <c r="A992" s="20"/>
      <c r="B992" s="20"/>
      <c r="C992" s="20"/>
      <c r="D992" s="20"/>
    </row>
    <row r="993" spans="1:4" x14ac:dyDescent="0.2">
      <c r="A993" s="20"/>
      <c r="B993" s="20"/>
      <c r="C993" s="20"/>
      <c r="D993" s="20"/>
    </row>
    <row r="994" spans="1:4" x14ac:dyDescent="0.2">
      <c r="A994" s="20"/>
      <c r="B994" s="20"/>
      <c r="C994" s="20"/>
      <c r="D994" s="20"/>
    </row>
    <row r="995" spans="1:4" x14ac:dyDescent="0.2">
      <c r="A995" s="20"/>
      <c r="B995" s="20"/>
      <c r="C995" s="20"/>
      <c r="D995" s="20"/>
    </row>
    <row r="996" spans="1:4" x14ac:dyDescent="0.2">
      <c r="A996" s="20"/>
      <c r="B996" s="20"/>
      <c r="C996" s="20"/>
      <c r="D996" s="20"/>
    </row>
    <row r="997" spans="1:4" x14ac:dyDescent="0.2">
      <c r="A997" s="20"/>
      <c r="B997" s="20"/>
      <c r="C997" s="20"/>
      <c r="D997" s="20"/>
    </row>
    <row r="998" spans="1:4" x14ac:dyDescent="0.2">
      <c r="A998" s="20"/>
      <c r="B998" s="20"/>
      <c r="C998" s="20"/>
      <c r="D998" s="20"/>
    </row>
    <row r="999" spans="1:4" x14ac:dyDescent="0.2">
      <c r="A999" s="20"/>
      <c r="B999" s="20"/>
      <c r="C999" s="20"/>
      <c r="D999" s="20"/>
    </row>
    <row r="1000" spans="1:4" x14ac:dyDescent="0.2">
      <c r="A1000" s="20"/>
      <c r="B1000" s="20"/>
      <c r="C1000" s="20"/>
      <c r="D100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105" zoomScaleNormal="40" workbookViewId="0">
      <pane ySplit="1" topLeftCell="A2" activePane="bottomLeft" state="frozen"/>
      <selection pane="bottomLeft" activeCell="J49" sqref="J49"/>
    </sheetView>
  </sheetViews>
  <sheetFormatPr defaultColWidth="12.7109375" defaultRowHeight="15.75" customHeight="1" x14ac:dyDescent="0.2"/>
  <cols>
    <col min="1" max="1" width="8" bestFit="1" customWidth="1"/>
    <col min="2" max="2" width="9.5703125" customWidth="1"/>
    <col min="3" max="3" width="15.7109375" bestFit="1" customWidth="1"/>
    <col min="4" max="4" width="9.140625" customWidth="1"/>
    <col min="5" max="5" width="13.140625" customWidth="1"/>
    <col min="6" max="6" width="11.42578125" customWidth="1"/>
    <col min="7" max="7" width="11" customWidth="1"/>
    <col min="8" max="8" width="14" customWidth="1"/>
    <col min="9" max="9" width="15.140625" customWidth="1"/>
    <col min="10" max="10" width="14.5703125" customWidth="1"/>
    <col min="11" max="11" width="15.28515625" customWidth="1"/>
    <col min="12" max="12" width="21.7109375" customWidth="1"/>
    <col min="13" max="14" width="19.7109375" bestFit="1" customWidth="1"/>
  </cols>
  <sheetData>
    <row r="1" spans="1:26" s="26" customFormat="1" ht="44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3" t="s">
        <v>15</v>
      </c>
      <c r="B2" s="4" t="s">
        <v>16</v>
      </c>
      <c r="C2" s="4" t="s">
        <v>17</v>
      </c>
      <c r="D2" s="5">
        <v>13.62</v>
      </c>
      <c r="E2" s="4">
        <v>113.95</v>
      </c>
      <c r="F2" s="4">
        <f t="shared" ref="F2:F65" si="0">E2-D2</f>
        <v>100.33</v>
      </c>
      <c r="G2" s="6">
        <v>45105</v>
      </c>
      <c r="J2" s="7">
        <f>SUM(J3:J6)</f>
        <v>9.300000000000086E-3</v>
      </c>
      <c r="K2" s="7">
        <f>F2-J2</f>
        <v>100.3207</v>
      </c>
    </row>
    <row r="3" spans="1:26" ht="12.75" x14ac:dyDescent="0.2">
      <c r="A3" s="3" t="s">
        <v>18</v>
      </c>
      <c r="B3" s="4" t="s">
        <v>19</v>
      </c>
      <c r="C3" s="4" t="s">
        <v>17</v>
      </c>
      <c r="D3" s="5">
        <v>13.56</v>
      </c>
      <c r="E3" s="4">
        <v>18.43</v>
      </c>
      <c r="F3" s="4">
        <f t="shared" si="0"/>
        <v>4.8699999999999992</v>
      </c>
      <c r="G3" s="6">
        <v>45105</v>
      </c>
      <c r="H3" s="4">
        <v>1.1137999999999999</v>
      </c>
      <c r="I3" s="7">
        <v>1.119</v>
      </c>
      <c r="J3" s="7">
        <f>I3-H3</f>
        <v>5.2000000000000934E-3</v>
      </c>
      <c r="K3" s="7">
        <f t="shared" ref="K3:K66" si="1">F3-J3</f>
        <v>4.8647999999999989</v>
      </c>
      <c r="L3" s="6">
        <v>45105</v>
      </c>
      <c r="M3" s="6">
        <v>45106</v>
      </c>
      <c r="N3" s="6">
        <v>45107</v>
      </c>
    </row>
    <row r="4" spans="1:26" ht="12.75" x14ac:dyDescent="0.2">
      <c r="A4" s="8">
        <v>44986</v>
      </c>
      <c r="B4" s="4" t="s">
        <v>20</v>
      </c>
      <c r="C4" s="4" t="s">
        <v>17</v>
      </c>
      <c r="D4" s="5">
        <v>13.42</v>
      </c>
      <c r="E4" s="4">
        <v>33.64</v>
      </c>
      <c r="F4" s="4">
        <f t="shared" si="0"/>
        <v>20.22</v>
      </c>
      <c r="G4" s="6">
        <v>45105</v>
      </c>
      <c r="H4" s="4">
        <v>1.1012</v>
      </c>
      <c r="I4" s="4">
        <v>1.1044</v>
      </c>
      <c r="J4" s="7">
        <f t="shared" ref="J4:J6" si="2">I4-H4</f>
        <v>3.2000000000000917E-3</v>
      </c>
      <c r="K4" s="7">
        <f t="shared" si="1"/>
        <v>20.216799999999999</v>
      </c>
      <c r="L4" s="6">
        <v>45105</v>
      </c>
      <c r="M4" s="9">
        <v>45111.375</v>
      </c>
      <c r="N4" s="9">
        <v>45112.375</v>
      </c>
    </row>
    <row r="5" spans="1:26" ht="12.75" x14ac:dyDescent="0.2">
      <c r="A5" s="8">
        <v>45017</v>
      </c>
      <c r="B5" s="4" t="s">
        <v>21</v>
      </c>
      <c r="C5" s="4" t="s">
        <v>17</v>
      </c>
      <c r="D5" s="5">
        <v>13.33</v>
      </c>
      <c r="E5" s="4">
        <v>63.23</v>
      </c>
      <c r="F5" s="4">
        <f t="shared" si="0"/>
        <v>49.9</v>
      </c>
      <c r="G5" s="6">
        <v>45105</v>
      </c>
      <c r="H5" s="4">
        <v>1.3529</v>
      </c>
      <c r="I5" s="4">
        <v>1.3537999999999999</v>
      </c>
      <c r="J5" s="7">
        <f t="shared" si="2"/>
        <v>8.9999999999990088E-4</v>
      </c>
      <c r="K5" s="7">
        <f t="shared" si="1"/>
        <v>49.899099999999997</v>
      </c>
      <c r="L5" s="6">
        <v>45105</v>
      </c>
      <c r="M5" s="9">
        <v>45111.375</v>
      </c>
      <c r="N5" s="9">
        <v>45112.479166666664</v>
      </c>
    </row>
    <row r="6" spans="1:26" ht="12.75" x14ac:dyDescent="0.2">
      <c r="A6" s="8">
        <v>45047</v>
      </c>
      <c r="B6" s="4" t="s">
        <v>22</v>
      </c>
      <c r="C6" s="4" t="s">
        <v>17</v>
      </c>
      <c r="D6" s="5">
        <v>13.52</v>
      </c>
      <c r="E6" s="4">
        <v>20.46</v>
      </c>
      <c r="F6" s="4">
        <f t="shared" si="0"/>
        <v>6.9400000000000013</v>
      </c>
      <c r="G6" s="6">
        <v>45105</v>
      </c>
      <c r="J6" s="7">
        <f t="shared" si="2"/>
        <v>0</v>
      </c>
      <c r="K6" s="7">
        <f t="shared" si="1"/>
        <v>6.9400000000000013</v>
      </c>
      <c r="L6" s="6">
        <v>45105</v>
      </c>
      <c r="M6" s="6">
        <v>45106</v>
      </c>
      <c r="N6" s="6">
        <v>45107</v>
      </c>
    </row>
    <row r="7" spans="1:26" ht="12.75" x14ac:dyDescent="0.2">
      <c r="A7" s="8">
        <v>45078</v>
      </c>
      <c r="B7" s="4" t="s">
        <v>16</v>
      </c>
      <c r="C7" s="4" t="s">
        <v>23</v>
      </c>
      <c r="D7" s="5">
        <v>13.43</v>
      </c>
      <c r="E7" s="4">
        <v>113.45</v>
      </c>
      <c r="F7" s="4">
        <f t="shared" si="0"/>
        <v>100.02000000000001</v>
      </c>
      <c r="G7" s="6">
        <v>45105</v>
      </c>
      <c r="J7" s="7">
        <f>SUM(J8:J11)</f>
        <v>0.10680000000000023</v>
      </c>
      <c r="K7" s="7">
        <f t="shared" si="1"/>
        <v>99.913200000000003</v>
      </c>
    </row>
    <row r="8" spans="1:26" ht="12.75" x14ac:dyDescent="0.2">
      <c r="A8" s="8">
        <v>45108</v>
      </c>
      <c r="B8" s="4" t="s">
        <v>19</v>
      </c>
      <c r="C8" s="4" t="s">
        <v>23</v>
      </c>
      <c r="D8" s="5">
        <v>13.3</v>
      </c>
      <c r="E8" s="4">
        <v>23.49</v>
      </c>
      <c r="F8" s="4">
        <f t="shared" si="0"/>
        <v>10.189999999999998</v>
      </c>
      <c r="G8" s="6">
        <v>45105</v>
      </c>
      <c r="H8" s="4">
        <v>1.3572</v>
      </c>
      <c r="I8" s="4">
        <v>1.4387000000000001</v>
      </c>
      <c r="J8" s="7">
        <f>I8-H8</f>
        <v>8.1500000000000128E-2</v>
      </c>
      <c r="K8" s="7">
        <f t="shared" si="1"/>
        <v>10.108499999999998</v>
      </c>
      <c r="L8" s="6">
        <v>45105</v>
      </c>
      <c r="M8" s="6">
        <v>45106</v>
      </c>
      <c r="N8" s="6">
        <v>45107</v>
      </c>
    </row>
    <row r="9" spans="1:26" ht="12.75" x14ac:dyDescent="0.2">
      <c r="A9" s="8">
        <v>45139</v>
      </c>
      <c r="B9" s="4" t="s">
        <v>20</v>
      </c>
      <c r="C9" s="4" t="s">
        <v>23</v>
      </c>
      <c r="D9" s="5">
        <v>13.36</v>
      </c>
      <c r="E9" s="4">
        <v>40.39</v>
      </c>
      <c r="F9" s="4">
        <f t="shared" si="0"/>
        <v>27.03</v>
      </c>
      <c r="G9" s="6">
        <v>45105</v>
      </c>
      <c r="H9" s="4">
        <v>1.3539000000000001</v>
      </c>
      <c r="I9" s="4">
        <v>1.3742000000000001</v>
      </c>
      <c r="J9" s="7">
        <f t="shared" ref="J9:J11" si="3">I9-H9</f>
        <v>2.0299999999999985E-2</v>
      </c>
      <c r="K9" s="7">
        <f t="shared" si="1"/>
        <v>27.009700000000002</v>
      </c>
      <c r="L9" s="6">
        <v>45105</v>
      </c>
      <c r="M9" s="9">
        <v>45111.375</v>
      </c>
      <c r="N9" s="9">
        <v>45112.375</v>
      </c>
    </row>
    <row r="10" spans="1:26" ht="12.75" x14ac:dyDescent="0.2">
      <c r="A10" s="8">
        <v>45170</v>
      </c>
      <c r="B10" s="4" t="s">
        <v>21</v>
      </c>
      <c r="C10" s="4" t="s">
        <v>23</v>
      </c>
      <c r="D10" s="5">
        <v>13.35</v>
      </c>
      <c r="E10" s="4">
        <v>52.92</v>
      </c>
      <c r="F10" s="4">
        <f t="shared" si="0"/>
        <v>39.57</v>
      </c>
      <c r="G10" s="6">
        <v>45105</v>
      </c>
      <c r="H10" s="4">
        <v>1.3475999999999999</v>
      </c>
      <c r="I10" s="4">
        <v>1.3526</v>
      </c>
      <c r="J10" s="7">
        <f t="shared" si="3"/>
        <v>5.0000000000001155E-3</v>
      </c>
      <c r="K10" s="7">
        <f t="shared" si="1"/>
        <v>39.564999999999998</v>
      </c>
      <c r="L10" s="6">
        <v>45105</v>
      </c>
      <c r="M10" s="9">
        <v>45111.375</v>
      </c>
      <c r="N10" s="9">
        <v>45112.479166666664</v>
      </c>
    </row>
    <row r="11" spans="1:26" ht="12.75" x14ac:dyDescent="0.2">
      <c r="A11" s="8">
        <v>45200</v>
      </c>
      <c r="B11" s="4" t="s">
        <v>22</v>
      </c>
      <c r="C11" s="4" t="s">
        <v>23</v>
      </c>
      <c r="D11" s="5">
        <v>13.33</v>
      </c>
      <c r="E11" s="4">
        <v>18.190000000000001</v>
      </c>
      <c r="F11" s="4">
        <f t="shared" si="0"/>
        <v>4.8600000000000012</v>
      </c>
      <c r="G11" s="6">
        <v>45105</v>
      </c>
      <c r="J11" s="7">
        <f t="shared" si="3"/>
        <v>0</v>
      </c>
      <c r="K11" s="7">
        <f t="shared" si="1"/>
        <v>4.8600000000000012</v>
      </c>
      <c r="L11" s="6">
        <v>45105</v>
      </c>
      <c r="M11" s="6">
        <v>45106</v>
      </c>
      <c r="N11" s="6">
        <v>45107</v>
      </c>
    </row>
    <row r="12" spans="1:26" ht="12.75" x14ac:dyDescent="0.2">
      <c r="A12" s="8">
        <v>45231</v>
      </c>
      <c r="B12" s="4" t="s">
        <v>16</v>
      </c>
      <c r="C12" s="4" t="s">
        <v>24</v>
      </c>
      <c r="D12" s="5">
        <v>13.26</v>
      </c>
      <c r="E12" s="4">
        <v>113.27</v>
      </c>
      <c r="F12" s="4">
        <f t="shared" si="0"/>
        <v>100.00999999999999</v>
      </c>
      <c r="G12" s="6">
        <v>45105</v>
      </c>
      <c r="J12" s="7">
        <f>SUM(J13:J16)</f>
        <v>2.3800000000000043E-2</v>
      </c>
      <c r="K12" s="7">
        <f t="shared" si="1"/>
        <v>99.986199999999997</v>
      </c>
    </row>
    <row r="13" spans="1:26" ht="12.75" x14ac:dyDescent="0.2">
      <c r="A13" s="8">
        <v>45261</v>
      </c>
      <c r="B13" s="4" t="s">
        <v>19</v>
      </c>
      <c r="C13" s="4" t="s">
        <v>24</v>
      </c>
      <c r="D13" s="5">
        <v>13.26</v>
      </c>
      <c r="E13" s="4">
        <v>17</v>
      </c>
      <c r="F13" s="4">
        <f t="shared" si="0"/>
        <v>3.74</v>
      </c>
      <c r="G13" s="6">
        <v>45105</v>
      </c>
      <c r="H13" s="4">
        <v>1.1493</v>
      </c>
      <c r="I13" s="4">
        <v>1.1597</v>
      </c>
      <c r="J13" s="7">
        <f>I13-H13</f>
        <v>1.0399999999999965E-2</v>
      </c>
      <c r="K13" s="7">
        <f t="shared" si="1"/>
        <v>3.7296000000000005</v>
      </c>
      <c r="L13" s="9">
        <v>45107.708333333336</v>
      </c>
      <c r="M13" s="6">
        <v>45108</v>
      </c>
      <c r="N13" s="6">
        <v>45109</v>
      </c>
    </row>
    <row r="14" spans="1:26" ht="12.75" x14ac:dyDescent="0.2">
      <c r="A14" s="5" t="s">
        <v>25</v>
      </c>
      <c r="B14" s="4" t="s">
        <v>20</v>
      </c>
      <c r="C14" s="4" t="s">
        <v>24</v>
      </c>
      <c r="D14" s="5">
        <v>13.31</v>
      </c>
      <c r="E14" s="4">
        <v>33.35</v>
      </c>
      <c r="F14" s="4">
        <f t="shared" si="0"/>
        <v>20.04</v>
      </c>
      <c r="G14" s="6">
        <v>45105</v>
      </c>
      <c r="H14" s="4">
        <v>1.1495</v>
      </c>
      <c r="I14" s="4">
        <v>1.1625000000000001</v>
      </c>
      <c r="J14" s="7">
        <f t="shared" ref="J14:J16" si="4">I14-H14</f>
        <v>1.3000000000000123E-2</v>
      </c>
      <c r="K14" s="7">
        <f t="shared" si="1"/>
        <v>20.026999999999997</v>
      </c>
      <c r="L14" s="9">
        <v>45107.708333333336</v>
      </c>
      <c r="M14" s="9">
        <v>45111.375</v>
      </c>
      <c r="N14" s="9">
        <v>45112.375</v>
      </c>
    </row>
    <row r="15" spans="1:26" ht="12.75" x14ac:dyDescent="0.2">
      <c r="A15" s="5" t="s">
        <v>26</v>
      </c>
      <c r="B15" s="4" t="s">
        <v>21</v>
      </c>
      <c r="C15" s="4" t="s">
        <v>24</v>
      </c>
      <c r="D15" s="5">
        <v>13.35</v>
      </c>
      <c r="E15" s="4">
        <v>59.95</v>
      </c>
      <c r="F15" s="4">
        <f t="shared" si="0"/>
        <v>46.6</v>
      </c>
      <c r="G15" s="6">
        <v>45105</v>
      </c>
      <c r="H15" s="4">
        <v>1.1493</v>
      </c>
      <c r="I15" s="4">
        <v>1.1496999999999999</v>
      </c>
      <c r="J15" s="7">
        <f t="shared" si="4"/>
        <v>3.9999999999995595E-4</v>
      </c>
      <c r="K15" s="7">
        <f t="shared" si="1"/>
        <v>46.599600000000002</v>
      </c>
      <c r="L15" s="9">
        <v>45107.708333333336</v>
      </c>
      <c r="M15" s="9">
        <v>45111.375</v>
      </c>
      <c r="N15" s="9">
        <v>45112.479166666664</v>
      </c>
    </row>
    <row r="16" spans="1:26" ht="12.75" x14ac:dyDescent="0.2">
      <c r="A16" s="5" t="s">
        <v>27</v>
      </c>
      <c r="B16" s="4" t="s">
        <v>22</v>
      </c>
      <c r="C16" s="4" t="s">
        <v>24</v>
      </c>
      <c r="D16" s="5">
        <v>13.42</v>
      </c>
      <c r="E16" s="4">
        <v>25.48</v>
      </c>
      <c r="F16" s="4">
        <f t="shared" si="0"/>
        <v>12.06</v>
      </c>
      <c r="G16" s="6">
        <v>45105</v>
      </c>
      <c r="J16" s="7">
        <f t="shared" si="4"/>
        <v>0</v>
      </c>
      <c r="K16" s="7">
        <f t="shared" si="1"/>
        <v>12.06</v>
      </c>
      <c r="L16" s="9">
        <v>45107.708333333336</v>
      </c>
      <c r="M16" s="6">
        <v>45108</v>
      </c>
      <c r="N16" s="6">
        <v>45109</v>
      </c>
    </row>
    <row r="17" spans="1:14" ht="12.75" x14ac:dyDescent="0.2">
      <c r="A17" s="5" t="s">
        <v>28</v>
      </c>
      <c r="B17" s="4" t="s">
        <v>16</v>
      </c>
      <c r="C17" s="4" t="s">
        <v>29</v>
      </c>
      <c r="D17" s="5">
        <v>13.34</v>
      </c>
      <c r="E17" s="4">
        <v>113.41</v>
      </c>
      <c r="F17" s="4">
        <f t="shared" si="0"/>
        <v>100.07</v>
      </c>
      <c r="G17" s="6">
        <v>45105</v>
      </c>
      <c r="J17" s="7">
        <f>SUM(J18:J21)</f>
        <v>6.6200000000000037E-2</v>
      </c>
      <c r="K17" s="7">
        <f t="shared" si="1"/>
        <v>100.0038</v>
      </c>
    </row>
    <row r="18" spans="1:14" ht="12.75" x14ac:dyDescent="0.2">
      <c r="A18" s="5" t="s">
        <v>30</v>
      </c>
      <c r="B18" s="4" t="s">
        <v>19</v>
      </c>
      <c r="C18" s="4" t="s">
        <v>29</v>
      </c>
      <c r="D18" s="5">
        <v>13.33</v>
      </c>
      <c r="E18" s="4">
        <v>18.13</v>
      </c>
      <c r="F18" s="4">
        <f t="shared" si="0"/>
        <v>4.7999999999999989</v>
      </c>
      <c r="G18" s="6">
        <v>45105</v>
      </c>
      <c r="H18" s="4">
        <v>1.1494</v>
      </c>
      <c r="I18" s="4">
        <v>1.1894</v>
      </c>
      <c r="J18" s="7">
        <f>I18-H18</f>
        <v>4.0000000000000036E-2</v>
      </c>
      <c r="K18" s="7">
        <f t="shared" si="1"/>
        <v>4.7599999999999989</v>
      </c>
      <c r="L18" s="9">
        <v>45107.708333333336</v>
      </c>
      <c r="M18" s="6">
        <v>45108</v>
      </c>
      <c r="N18" s="6">
        <v>45109</v>
      </c>
    </row>
    <row r="19" spans="1:14" ht="12.75" x14ac:dyDescent="0.2">
      <c r="A19" s="5" t="s">
        <v>31</v>
      </c>
      <c r="B19" s="4" t="s">
        <v>20</v>
      </c>
      <c r="C19" s="4" t="s">
        <v>29</v>
      </c>
      <c r="D19" s="5">
        <v>13.39</v>
      </c>
      <c r="E19" s="4">
        <v>32.44</v>
      </c>
      <c r="F19" s="4">
        <f t="shared" si="0"/>
        <v>19.049999999999997</v>
      </c>
      <c r="G19" s="6">
        <v>45105</v>
      </c>
      <c r="H19" s="4">
        <v>1.1494</v>
      </c>
      <c r="I19" s="4">
        <v>1.1756</v>
      </c>
      <c r="J19" s="7">
        <f t="shared" ref="J19:J21" si="5">I19-H19</f>
        <v>2.6200000000000001E-2</v>
      </c>
      <c r="K19" s="7">
        <f t="shared" si="1"/>
        <v>19.023799999999998</v>
      </c>
      <c r="L19" s="9">
        <v>45107.708333333336</v>
      </c>
      <c r="M19" s="9">
        <v>45111.375</v>
      </c>
      <c r="N19" s="9">
        <v>45112.375</v>
      </c>
    </row>
    <row r="20" spans="1:14" ht="12.75" x14ac:dyDescent="0.2">
      <c r="A20" s="5" t="s">
        <v>32</v>
      </c>
      <c r="B20" s="4" t="s">
        <v>21</v>
      </c>
      <c r="C20" s="4" t="s">
        <v>29</v>
      </c>
      <c r="D20" s="5">
        <v>13.29</v>
      </c>
      <c r="E20" s="4">
        <v>66.3</v>
      </c>
      <c r="F20" s="4">
        <f t="shared" si="0"/>
        <v>53.01</v>
      </c>
      <c r="G20" s="6">
        <v>45105</v>
      </c>
      <c r="J20" s="7">
        <f t="shared" si="5"/>
        <v>0</v>
      </c>
      <c r="K20" s="7">
        <f t="shared" si="1"/>
        <v>53.01</v>
      </c>
      <c r="L20" s="9">
        <v>45107.708333333336</v>
      </c>
      <c r="M20" s="9">
        <v>45111.375</v>
      </c>
      <c r="N20" s="9">
        <v>45112.479166666664</v>
      </c>
    </row>
    <row r="21" spans="1:14" ht="12.75" x14ac:dyDescent="0.2">
      <c r="A21" s="5" t="s">
        <v>33</v>
      </c>
      <c r="B21" s="4" t="s">
        <v>22</v>
      </c>
      <c r="C21" s="4" t="s">
        <v>29</v>
      </c>
      <c r="D21" s="5">
        <v>13.29</v>
      </c>
      <c r="E21" s="4">
        <v>22.52</v>
      </c>
      <c r="F21" s="4">
        <f t="shared" si="0"/>
        <v>9.23</v>
      </c>
      <c r="G21" s="6">
        <v>45105</v>
      </c>
      <c r="J21" s="7">
        <f t="shared" si="5"/>
        <v>0</v>
      </c>
      <c r="K21" s="7">
        <f t="shared" si="1"/>
        <v>9.23</v>
      </c>
      <c r="L21" s="9">
        <v>45107.708333333336</v>
      </c>
      <c r="M21" s="6">
        <v>45108</v>
      </c>
      <c r="N21" s="6">
        <v>45109</v>
      </c>
    </row>
    <row r="22" spans="1:14" ht="12.75" x14ac:dyDescent="0.2">
      <c r="A22" s="5" t="s">
        <v>34</v>
      </c>
      <c r="B22" s="4" t="s">
        <v>16</v>
      </c>
      <c r="C22" s="4" t="s">
        <v>35</v>
      </c>
      <c r="D22" s="5">
        <v>13.28</v>
      </c>
      <c r="E22" s="4">
        <v>113.48</v>
      </c>
      <c r="F22" s="4">
        <f t="shared" si="0"/>
        <v>100.2</v>
      </c>
      <c r="G22" s="6">
        <v>45105</v>
      </c>
      <c r="J22" s="7">
        <f>SUM(J23:J26)</f>
        <v>0.26309999999999989</v>
      </c>
      <c r="K22" s="7">
        <f t="shared" si="1"/>
        <v>99.936900000000009</v>
      </c>
    </row>
    <row r="23" spans="1:14" ht="12.75" x14ac:dyDescent="0.2">
      <c r="A23" s="5" t="s">
        <v>36</v>
      </c>
      <c r="B23" s="4" t="s">
        <v>19</v>
      </c>
      <c r="C23" s="4" t="s">
        <v>35</v>
      </c>
      <c r="D23" s="5">
        <v>16.260000000000002</v>
      </c>
      <c r="E23" s="4">
        <v>21.97</v>
      </c>
      <c r="F23" s="4">
        <f t="shared" si="0"/>
        <v>5.7099999999999973</v>
      </c>
      <c r="G23" s="6">
        <v>45105</v>
      </c>
      <c r="H23" s="4">
        <v>1.1494</v>
      </c>
      <c r="I23" s="4">
        <v>1.3814</v>
      </c>
      <c r="J23" s="7">
        <f>I23-H23</f>
        <v>0.23199999999999998</v>
      </c>
      <c r="K23" s="7">
        <f t="shared" si="1"/>
        <v>5.4779999999999971</v>
      </c>
      <c r="L23" s="9">
        <v>45107.708333333336</v>
      </c>
      <c r="M23" s="6">
        <v>45108</v>
      </c>
      <c r="N23" s="6">
        <v>45109</v>
      </c>
    </row>
    <row r="24" spans="1:14" ht="12.75" x14ac:dyDescent="0.2">
      <c r="A24" s="5" t="s">
        <v>37</v>
      </c>
      <c r="B24" s="4" t="s">
        <v>20</v>
      </c>
      <c r="C24" s="4" t="s">
        <v>35</v>
      </c>
      <c r="D24" s="5">
        <v>13.31</v>
      </c>
      <c r="E24" s="4">
        <v>36.89</v>
      </c>
      <c r="F24" s="4">
        <f t="shared" si="0"/>
        <v>23.58</v>
      </c>
      <c r="G24" s="6">
        <v>45105</v>
      </c>
      <c r="H24" s="4">
        <v>1.1494</v>
      </c>
      <c r="I24" s="4">
        <v>1.1779999999999999</v>
      </c>
      <c r="J24" s="7">
        <f t="shared" ref="J24:J26" si="6">I24-H24</f>
        <v>2.8599999999999959E-2</v>
      </c>
      <c r="K24" s="7">
        <f t="shared" si="1"/>
        <v>23.551399999999997</v>
      </c>
      <c r="L24" s="9">
        <v>45107.708333333336</v>
      </c>
      <c r="M24" s="9">
        <v>45111.375</v>
      </c>
      <c r="N24" s="9">
        <v>45112.375</v>
      </c>
    </row>
    <row r="25" spans="1:14" ht="12.75" x14ac:dyDescent="0.2">
      <c r="A25" s="5" t="s">
        <v>38</v>
      </c>
      <c r="B25" s="4" t="s">
        <v>21</v>
      </c>
      <c r="C25" s="4" t="s">
        <v>35</v>
      </c>
      <c r="D25" s="5">
        <v>13.24</v>
      </c>
      <c r="E25" s="4">
        <v>57.09</v>
      </c>
      <c r="F25" s="4">
        <f t="shared" si="0"/>
        <v>43.85</v>
      </c>
      <c r="G25" s="6">
        <v>45105</v>
      </c>
      <c r="H25" s="4">
        <v>1.1494</v>
      </c>
      <c r="I25" s="4">
        <v>1.1518999999999999</v>
      </c>
      <c r="J25" s="7">
        <f t="shared" si="6"/>
        <v>2.4999999999999467E-3</v>
      </c>
      <c r="K25" s="7">
        <f t="shared" si="1"/>
        <v>43.847500000000004</v>
      </c>
      <c r="L25" s="9">
        <v>45107.708333333336</v>
      </c>
      <c r="M25" s="9">
        <v>45111.375</v>
      </c>
      <c r="N25" s="9">
        <v>45112.479166666664</v>
      </c>
    </row>
    <row r="26" spans="1:14" ht="12.75" x14ac:dyDescent="0.2">
      <c r="A26" s="5" t="s">
        <v>39</v>
      </c>
      <c r="B26" s="4" t="s">
        <v>22</v>
      </c>
      <c r="C26" s="4" t="s">
        <v>35</v>
      </c>
      <c r="D26" s="5">
        <v>13.38</v>
      </c>
      <c r="E26" s="4">
        <v>18.41</v>
      </c>
      <c r="F26" s="4">
        <f t="shared" si="0"/>
        <v>5.0299999999999994</v>
      </c>
      <c r="G26" s="6">
        <v>45105</v>
      </c>
      <c r="J26" s="7">
        <f t="shared" si="6"/>
        <v>0</v>
      </c>
      <c r="K26" s="7">
        <f t="shared" si="1"/>
        <v>5.0299999999999994</v>
      </c>
      <c r="L26" s="9">
        <v>45107.708333333336</v>
      </c>
      <c r="M26" s="6">
        <v>45108</v>
      </c>
      <c r="N26" s="6">
        <v>45109</v>
      </c>
    </row>
    <row r="27" spans="1:14" ht="12.75" x14ac:dyDescent="0.2">
      <c r="A27" s="5" t="s">
        <v>40</v>
      </c>
      <c r="B27" s="4" t="s">
        <v>16</v>
      </c>
      <c r="C27" s="4" t="s">
        <v>41</v>
      </c>
      <c r="D27" s="5">
        <v>16.25</v>
      </c>
      <c r="E27" s="4">
        <v>116.29</v>
      </c>
      <c r="F27" s="4">
        <f t="shared" si="0"/>
        <v>100.04</v>
      </c>
      <c r="G27" s="6">
        <v>45105</v>
      </c>
      <c r="J27" s="4">
        <f>SUM(J28:J31)</f>
        <v>0.21669999999999989</v>
      </c>
      <c r="K27" s="7">
        <f t="shared" si="1"/>
        <v>99.823300000000003</v>
      </c>
    </row>
    <row r="28" spans="1:14" ht="12.75" x14ac:dyDescent="0.2">
      <c r="A28" s="5" t="s">
        <v>42</v>
      </c>
      <c r="B28" s="4" t="s">
        <v>19</v>
      </c>
      <c r="C28" s="4" t="s">
        <v>41</v>
      </c>
      <c r="D28" s="5">
        <v>13.32</v>
      </c>
      <c r="E28" s="4">
        <v>17.260000000000002</v>
      </c>
      <c r="F28" s="4">
        <f t="shared" si="0"/>
        <v>3.9400000000000013</v>
      </c>
      <c r="G28" s="6">
        <v>45105</v>
      </c>
      <c r="H28" s="4">
        <v>1.1494</v>
      </c>
      <c r="I28" s="4">
        <v>1.3473999999999999</v>
      </c>
      <c r="J28" s="4">
        <f>I28-H28</f>
        <v>0.19799999999999995</v>
      </c>
      <c r="K28" s="7">
        <f t="shared" si="1"/>
        <v>3.7420000000000013</v>
      </c>
      <c r="L28" s="9">
        <v>45107.708333333336</v>
      </c>
      <c r="M28" s="6">
        <v>45108</v>
      </c>
      <c r="N28" s="6">
        <v>45109</v>
      </c>
    </row>
    <row r="29" spans="1:14" ht="12.75" x14ac:dyDescent="0.2">
      <c r="A29" s="5" t="s">
        <v>43</v>
      </c>
      <c r="B29" s="4" t="s">
        <v>20</v>
      </c>
      <c r="C29" s="4" t="s">
        <v>41</v>
      </c>
      <c r="D29" s="5">
        <v>13.35</v>
      </c>
      <c r="E29" s="4">
        <v>35.520000000000003</v>
      </c>
      <c r="F29" s="4">
        <f t="shared" si="0"/>
        <v>22.17</v>
      </c>
      <c r="G29" s="6">
        <v>45105</v>
      </c>
      <c r="H29" s="4">
        <v>1.1494</v>
      </c>
      <c r="I29" s="4">
        <v>1.1642999999999999</v>
      </c>
      <c r="J29" s="4">
        <f t="shared" ref="J29:J31" si="7">I29-H29</f>
        <v>1.4899999999999913E-2</v>
      </c>
      <c r="K29" s="7">
        <f t="shared" si="1"/>
        <v>22.155100000000001</v>
      </c>
      <c r="L29" s="9">
        <v>45107.708333333336</v>
      </c>
      <c r="M29" s="9">
        <v>45111.375</v>
      </c>
      <c r="N29" s="9">
        <v>45112.375</v>
      </c>
    </row>
    <row r="30" spans="1:14" ht="12.75" x14ac:dyDescent="0.2">
      <c r="A30" s="5" t="s">
        <v>44</v>
      </c>
      <c r="B30" s="4" t="s">
        <v>21</v>
      </c>
      <c r="C30" s="4" t="s">
        <v>41</v>
      </c>
      <c r="D30" s="5">
        <v>16.16</v>
      </c>
      <c r="E30" s="4">
        <v>65.11</v>
      </c>
      <c r="F30" s="4">
        <f t="shared" si="0"/>
        <v>48.95</v>
      </c>
      <c r="G30" s="6">
        <v>45105</v>
      </c>
      <c r="H30" s="4">
        <v>1.1494</v>
      </c>
      <c r="I30" s="4">
        <v>1.1532</v>
      </c>
      <c r="J30" s="4">
        <f t="shared" si="7"/>
        <v>3.8000000000000256E-3</v>
      </c>
      <c r="K30" s="7">
        <f t="shared" si="1"/>
        <v>48.946200000000005</v>
      </c>
      <c r="L30" s="9">
        <v>45107.708333333336</v>
      </c>
      <c r="M30" s="9">
        <v>45111.375</v>
      </c>
      <c r="N30" s="9">
        <v>45112.479166666664</v>
      </c>
    </row>
    <row r="31" spans="1:14" ht="12.75" x14ac:dyDescent="0.2">
      <c r="A31" s="5" t="s">
        <v>45</v>
      </c>
      <c r="B31" s="4" t="s">
        <v>22</v>
      </c>
      <c r="C31" s="4" t="s">
        <v>41</v>
      </c>
      <c r="D31" s="5">
        <v>13.32</v>
      </c>
      <c r="E31" s="4">
        <v>20.39</v>
      </c>
      <c r="F31" s="4">
        <f t="shared" si="0"/>
        <v>7.07</v>
      </c>
      <c r="G31" s="6">
        <v>45105</v>
      </c>
      <c r="J31" s="4">
        <f t="shared" si="7"/>
        <v>0</v>
      </c>
      <c r="K31" s="7">
        <f t="shared" si="1"/>
        <v>7.07</v>
      </c>
      <c r="L31" s="9">
        <v>45107.708333333336</v>
      </c>
      <c r="M31" s="6">
        <v>45108</v>
      </c>
      <c r="N31" s="6">
        <v>45109</v>
      </c>
    </row>
    <row r="32" spans="1:14" ht="12.75" x14ac:dyDescent="0.2">
      <c r="A32" s="5" t="s">
        <v>46</v>
      </c>
      <c r="B32" s="4" t="s">
        <v>16</v>
      </c>
      <c r="C32" s="4" t="s">
        <v>47</v>
      </c>
      <c r="D32" s="5">
        <v>16.170000000000002</v>
      </c>
      <c r="E32" s="4">
        <v>116.6</v>
      </c>
      <c r="F32" s="4">
        <f t="shared" si="0"/>
        <v>100.42999999999999</v>
      </c>
      <c r="G32" s="6">
        <v>45105</v>
      </c>
      <c r="J32" s="4">
        <f>SUM(J33:J36)</f>
        <v>6.9399999999999906E-2</v>
      </c>
      <c r="K32" s="7">
        <f t="shared" si="1"/>
        <v>100.36059999999999</v>
      </c>
    </row>
    <row r="33" spans="1:14" ht="12.75" x14ac:dyDescent="0.2">
      <c r="A33" s="5" t="s">
        <v>48</v>
      </c>
      <c r="B33" s="4" t="s">
        <v>19</v>
      </c>
      <c r="C33" s="4" t="s">
        <v>47</v>
      </c>
      <c r="D33" s="5">
        <v>16.22</v>
      </c>
      <c r="E33" s="4">
        <v>20.23</v>
      </c>
      <c r="F33" s="4">
        <f t="shared" si="0"/>
        <v>4.0100000000000016</v>
      </c>
      <c r="G33" s="6">
        <v>45105</v>
      </c>
      <c r="H33" s="4">
        <v>1.1491</v>
      </c>
      <c r="I33" s="4">
        <v>1.1839999999999999</v>
      </c>
      <c r="J33" s="4">
        <f>I33-H33</f>
        <v>3.4899999999999931E-2</v>
      </c>
      <c r="K33" s="7">
        <f t="shared" si="1"/>
        <v>3.9751000000000016</v>
      </c>
      <c r="L33" s="10">
        <v>45107.708333333336</v>
      </c>
      <c r="M33" s="6">
        <v>45108</v>
      </c>
      <c r="N33" s="6">
        <v>45109</v>
      </c>
    </row>
    <row r="34" spans="1:14" ht="12.75" x14ac:dyDescent="0.2">
      <c r="A34" s="5" t="s">
        <v>49</v>
      </c>
      <c r="B34" s="4" t="s">
        <v>20</v>
      </c>
      <c r="C34" s="4" t="s">
        <v>47</v>
      </c>
      <c r="D34" s="5">
        <v>16.23</v>
      </c>
      <c r="E34" s="4">
        <v>40.130000000000003</v>
      </c>
      <c r="F34" s="4">
        <f t="shared" si="0"/>
        <v>23.900000000000002</v>
      </c>
      <c r="G34" s="6">
        <v>45105</v>
      </c>
      <c r="H34" s="4">
        <v>1.1491</v>
      </c>
      <c r="I34" s="4">
        <v>1.1833</v>
      </c>
      <c r="J34" s="4">
        <f t="shared" ref="J34:J36" si="8">I34-H34</f>
        <v>3.4200000000000008E-2</v>
      </c>
      <c r="K34" s="7">
        <f t="shared" si="1"/>
        <v>23.865800000000004</v>
      </c>
      <c r="L34" s="10">
        <v>45107.708333333336</v>
      </c>
      <c r="M34" s="9">
        <v>45111.375</v>
      </c>
      <c r="N34" s="9">
        <v>45112.375</v>
      </c>
    </row>
    <row r="35" spans="1:14" ht="12.75" x14ac:dyDescent="0.2">
      <c r="A35" s="5" t="s">
        <v>50</v>
      </c>
      <c r="B35" s="4" t="s">
        <v>21</v>
      </c>
      <c r="C35" s="4" t="s">
        <v>47</v>
      </c>
      <c r="D35" s="5">
        <v>16.149999999999999</v>
      </c>
      <c r="E35" s="4">
        <v>64.98</v>
      </c>
      <c r="F35" s="4">
        <f t="shared" si="0"/>
        <v>48.830000000000005</v>
      </c>
      <c r="G35" s="6">
        <v>45105</v>
      </c>
      <c r="J35" s="4">
        <f t="shared" si="8"/>
        <v>0</v>
      </c>
      <c r="K35" s="7">
        <f t="shared" si="1"/>
        <v>48.830000000000005</v>
      </c>
      <c r="L35" s="10">
        <v>45107.708333333336</v>
      </c>
      <c r="M35" s="9">
        <v>45111.375</v>
      </c>
      <c r="N35" s="9">
        <v>45112.479166666664</v>
      </c>
    </row>
    <row r="36" spans="1:14" ht="12.75" x14ac:dyDescent="0.2">
      <c r="A36" s="5" t="s">
        <v>51</v>
      </c>
      <c r="B36" s="4" t="s">
        <v>22</v>
      </c>
      <c r="C36" s="4" t="s">
        <v>47</v>
      </c>
      <c r="D36" s="5">
        <v>16.36</v>
      </c>
      <c r="E36" s="4">
        <v>23.05</v>
      </c>
      <c r="F36" s="4">
        <f t="shared" si="0"/>
        <v>6.6900000000000013</v>
      </c>
      <c r="G36" s="6">
        <v>45105</v>
      </c>
      <c r="H36" s="4">
        <v>1.1491</v>
      </c>
      <c r="I36" s="4">
        <v>1.1494</v>
      </c>
      <c r="J36" s="4">
        <f t="shared" si="8"/>
        <v>2.9999999999996696E-4</v>
      </c>
      <c r="K36" s="7">
        <f t="shared" si="1"/>
        <v>6.6897000000000011</v>
      </c>
      <c r="L36" s="10">
        <v>45107.708333333336</v>
      </c>
      <c r="M36" s="6">
        <v>45108</v>
      </c>
      <c r="N36" s="6">
        <v>45109</v>
      </c>
    </row>
    <row r="37" spans="1:14" ht="12.75" x14ac:dyDescent="0.2">
      <c r="A37" s="5" t="s">
        <v>52</v>
      </c>
      <c r="B37" s="4" t="s">
        <v>16</v>
      </c>
      <c r="C37" s="4" t="s">
        <v>53</v>
      </c>
      <c r="D37" s="5">
        <v>16.010000000000002</v>
      </c>
      <c r="E37" s="4">
        <v>116.03</v>
      </c>
      <c r="F37" s="4">
        <f t="shared" si="0"/>
        <v>100.02</v>
      </c>
      <c r="G37" s="6">
        <v>45106</v>
      </c>
      <c r="J37" s="4">
        <f>SUM(J38:J41)</f>
        <v>0.27500000000000013</v>
      </c>
      <c r="K37" s="7">
        <f t="shared" si="1"/>
        <v>99.74499999999999</v>
      </c>
    </row>
    <row r="38" spans="1:14" ht="12.75" x14ac:dyDescent="0.2">
      <c r="A38" s="5" t="s">
        <v>54</v>
      </c>
      <c r="B38" s="4" t="s">
        <v>19</v>
      </c>
      <c r="C38" s="4" t="s">
        <v>53</v>
      </c>
      <c r="D38" s="5">
        <v>15.97</v>
      </c>
      <c r="E38" s="4">
        <v>26.19</v>
      </c>
      <c r="F38" s="4">
        <f t="shared" si="0"/>
        <v>10.220000000000001</v>
      </c>
      <c r="G38" s="6">
        <v>45106</v>
      </c>
      <c r="H38" s="4">
        <v>1.1491</v>
      </c>
      <c r="I38" s="4">
        <v>1.3023</v>
      </c>
      <c r="J38" s="4">
        <f>I38-H38</f>
        <v>0.1532</v>
      </c>
      <c r="K38" s="7">
        <f t="shared" si="1"/>
        <v>10.066800000000001</v>
      </c>
      <c r="L38" s="9">
        <v>45110.458333333336</v>
      </c>
      <c r="M38" s="9">
        <v>45111.375</v>
      </c>
      <c r="N38" s="9">
        <v>45112.375</v>
      </c>
    </row>
    <row r="39" spans="1:14" ht="12.75" x14ac:dyDescent="0.2">
      <c r="A39" s="5" t="s">
        <v>55</v>
      </c>
      <c r="B39" s="4" t="s">
        <v>20</v>
      </c>
      <c r="C39" s="4" t="s">
        <v>53</v>
      </c>
      <c r="D39" s="5">
        <v>16.07</v>
      </c>
      <c r="E39" s="4">
        <v>34.26</v>
      </c>
      <c r="F39" s="4">
        <f t="shared" si="0"/>
        <v>18.189999999999998</v>
      </c>
      <c r="G39" s="6">
        <v>45106</v>
      </c>
      <c r="H39" s="4">
        <v>1.1491</v>
      </c>
      <c r="I39" s="4">
        <v>1.2653000000000001</v>
      </c>
      <c r="J39" s="4">
        <f t="shared" ref="J39:J41" si="9">I39-H39</f>
        <v>0.11620000000000008</v>
      </c>
      <c r="K39" s="7">
        <f t="shared" si="1"/>
        <v>18.073799999999999</v>
      </c>
      <c r="L39" s="9">
        <v>45110.458333333336</v>
      </c>
      <c r="M39" s="9">
        <v>45114.458333333336</v>
      </c>
      <c r="N39" s="9">
        <v>45117.458333333336</v>
      </c>
    </row>
    <row r="40" spans="1:14" ht="12.75" x14ac:dyDescent="0.2">
      <c r="A40" s="5" t="s">
        <v>56</v>
      </c>
      <c r="B40" s="4" t="s">
        <v>21</v>
      </c>
      <c r="C40" s="4" t="s">
        <v>53</v>
      </c>
      <c r="D40" s="5">
        <v>16.29</v>
      </c>
      <c r="E40" s="4">
        <v>58.04</v>
      </c>
      <c r="F40" s="4">
        <f t="shared" si="0"/>
        <v>41.75</v>
      </c>
      <c r="G40" s="6">
        <v>45106</v>
      </c>
      <c r="H40" s="4">
        <v>1.1491</v>
      </c>
      <c r="I40" s="4">
        <v>1.1547000000000001</v>
      </c>
      <c r="J40" s="4">
        <f t="shared" si="9"/>
        <v>5.6000000000000494E-3</v>
      </c>
      <c r="K40" s="7">
        <f t="shared" si="1"/>
        <v>41.744399999999999</v>
      </c>
      <c r="L40" s="9">
        <v>45110.458333333336</v>
      </c>
      <c r="M40" s="9">
        <v>45113.416666666664</v>
      </c>
      <c r="N40" s="11">
        <v>45114.666666666664</v>
      </c>
    </row>
    <row r="41" spans="1:14" ht="12.75" x14ac:dyDescent="0.2">
      <c r="A41" s="5" t="s">
        <v>57</v>
      </c>
      <c r="B41" s="4" t="s">
        <v>22</v>
      </c>
      <c r="C41" s="4" t="s">
        <v>53</v>
      </c>
      <c r="D41" s="5">
        <v>16.36</v>
      </c>
      <c r="E41" s="4">
        <v>25.71</v>
      </c>
      <c r="F41" s="4">
        <f t="shared" si="0"/>
        <v>9.3500000000000014</v>
      </c>
      <c r="G41" s="6">
        <v>45106</v>
      </c>
      <c r="J41" s="4">
        <f t="shared" si="9"/>
        <v>0</v>
      </c>
      <c r="K41" s="7">
        <f t="shared" si="1"/>
        <v>9.3500000000000014</v>
      </c>
      <c r="L41" s="9">
        <v>45110.458333333336</v>
      </c>
      <c r="M41" s="9">
        <v>45111.375</v>
      </c>
      <c r="N41" s="9">
        <v>45112.375</v>
      </c>
    </row>
    <row r="42" spans="1:14" ht="12.75" x14ac:dyDescent="0.2">
      <c r="A42" s="5" t="s">
        <v>58</v>
      </c>
      <c r="B42" s="4" t="s">
        <v>16</v>
      </c>
      <c r="C42" s="4" t="s">
        <v>59</v>
      </c>
      <c r="D42" s="5">
        <v>16.329999999999998</v>
      </c>
      <c r="E42" s="4">
        <v>116.87</v>
      </c>
      <c r="F42" s="4">
        <f t="shared" si="0"/>
        <v>100.54</v>
      </c>
      <c r="G42" s="6">
        <v>45106</v>
      </c>
      <c r="J42" s="4">
        <f>SUM(J43:J47)</f>
        <v>3.259999999999974E-2</v>
      </c>
      <c r="K42" s="7">
        <f t="shared" si="1"/>
        <v>100.5074</v>
      </c>
    </row>
    <row r="43" spans="1:14" ht="12.75" x14ac:dyDescent="0.2">
      <c r="A43" s="5" t="s">
        <v>70</v>
      </c>
      <c r="B43" s="4" t="s">
        <v>71</v>
      </c>
      <c r="C43" s="4" t="s">
        <v>59</v>
      </c>
      <c r="D43" s="5">
        <v>13.53</v>
      </c>
      <c r="E43" s="4">
        <v>13.73</v>
      </c>
      <c r="F43" s="4">
        <f t="shared" si="0"/>
        <v>0.20000000000000107</v>
      </c>
      <c r="G43" s="6">
        <v>45107</v>
      </c>
      <c r="J43" s="4">
        <f>I43-H43</f>
        <v>0</v>
      </c>
      <c r="K43" s="7">
        <f t="shared" si="1"/>
        <v>0.20000000000000107</v>
      </c>
      <c r="L43" s="9">
        <v>45112.496527777781</v>
      </c>
      <c r="M43" s="9">
        <v>45117.458333333336</v>
      </c>
      <c r="N43" s="9">
        <v>45118.5</v>
      </c>
    </row>
    <row r="44" spans="1:14" ht="12.75" x14ac:dyDescent="0.2">
      <c r="A44" s="5" t="s">
        <v>60</v>
      </c>
      <c r="B44" s="4" t="s">
        <v>19</v>
      </c>
      <c r="C44" s="4" t="s">
        <v>59</v>
      </c>
      <c r="D44" s="5">
        <v>16.47</v>
      </c>
      <c r="E44" s="4">
        <v>28.01</v>
      </c>
      <c r="F44" s="4">
        <f t="shared" si="0"/>
        <v>11.540000000000003</v>
      </c>
      <c r="G44" s="6">
        <v>45106</v>
      </c>
      <c r="H44" s="4">
        <v>1.1491</v>
      </c>
      <c r="I44" s="4">
        <v>1.1499999999999999</v>
      </c>
      <c r="J44" s="4">
        <f t="shared" ref="J44:J47" si="10">I44-H44</f>
        <v>8.9999999999990088E-4</v>
      </c>
      <c r="K44" s="7">
        <f t="shared" si="1"/>
        <v>11.539100000000003</v>
      </c>
      <c r="L44" s="9">
        <v>45110.583333333336</v>
      </c>
      <c r="M44" s="9">
        <v>45111.375</v>
      </c>
      <c r="N44" s="9">
        <v>45112.375</v>
      </c>
    </row>
    <row r="45" spans="1:14" ht="12.75" x14ac:dyDescent="0.2">
      <c r="A45" s="5" t="s">
        <v>61</v>
      </c>
      <c r="B45" s="4" t="s">
        <v>20</v>
      </c>
      <c r="C45" s="4" t="s">
        <v>59</v>
      </c>
      <c r="D45" s="5">
        <v>16.07</v>
      </c>
      <c r="E45" s="4">
        <v>37.479999999999997</v>
      </c>
      <c r="F45" s="4">
        <f t="shared" si="0"/>
        <v>21.409999999999997</v>
      </c>
      <c r="G45" s="6">
        <v>45106</v>
      </c>
      <c r="H45" s="4">
        <v>1.1491</v>
      </c>
      <c r="I45" s="4">
        <v>1.1782999999999999</v>
      </c>
      <c r="J45" s="4">
        <f t="shared" si="10"/>
        <v>2.9199999999999893E-2</v>
      </c>
      <c r="K45" s="7">
        <f t="shared" si="1"/>
        <v>21.380799999999997</v>
      </c>
      <c r="L45" s="9">
        <v>45110.583333333336</v>
      </c>
      <c r="M45" s="9">
        <v>45114.458333333336</v>
      </c>
      <c r="N45" s="9">
        <v>45117.458333333336</v>
      </c>
    </row>
    <row r="46" spans="1:14" ht="12.75" x14ac:dyDescent="0.2">
      <c r="A46" s="5" t="s">
        <v>62</v>
      </c>
      <c r="B46" s="4" t="s">
        <v>21</v>
      </c>
      <c r="C46" s="4" t="s">
        <v>59</v>
      </c>
      <c r="D46" s="5">
        <v>16.149999999999999</v>
      </c>
      <c r="E46" s="4">
        <v>56.74</v>
      </c>
      <c r="F46" s="4">
        <f t="shared" si="0"/>
        <v>40.590000000000003</v>
      </c>
      <c r="G46" s="6">
        <v>45106</v>
      </c>
      <c r="H46" s="4">
        <v>1.1491</v>
      </c>
      <c r="I46" s="4">
        <v>1.1516</v>
      </c>
      <c r="J46" s="4">
        <f t="shared" si="10"/>
        <v>2.4999999999999467E-3</v>
      </c>
      <c r="K46" s="7">
        <f t="shared" si="1"/>
        <v>40.587500000000006</v>
      </c>
      <c r="L46" s="9">
        <v>45110.583333333336</v>
      </c>
      <c r="M46" s="9">
        <v>45111.375</v>
      </c>
      <c r="N46" s="9">
        <v>45112.479166666664</v>
      </c>
    </row>
    <row r="47" spans="1:14" ht="12.75" x14ac:dyDescent="0.2">
      <c r="A47" s="5" t="s">
        <v>63</v>
      </c>
      <c r="B47" s="4" t="s">
        <v>22</v>
      </c>
      <c r="C47" s="4" t="s">
        <v>59</v>
      </c>
      <c r="D47" s="5">
        <v>13.29</v>
      </c>
      <c r="E47" s="4">
        <v>20.65</v>
      </c>
      <c r="F47" s="4">
        <f t="shared" si="0"/>
        <v>7.3599999999999994</v>
      </c>
      <c r="G47" s="6">
        <v>45106</v>
      </c>
      <c r="J47" s="4">
        <f t="shared" si="10"/>
        <v>0</v>
      </c>
      <c r="K47" s="7">
        <f t="shared" si="1"/>
        <v>7.3599999999999994</v>
      </c>
      <c r="L47" s="9">
        <v>45110.583333333336</v>
      </c>
      <c r="M47" s="9">
        <v>45111.375</v>
      </c>
      <c r="N47" s="9">
        <v>45112.375</v>
      </c>
    </row>
    <row r="48" spans="1:14" ht="12.75" x14ac:dyDescent="0.2">
      <c r="A48" s="5" t="s">
        <v>64</v>
      </c>
      <c r="B48" s="4" t="s">
        <v>16</v>
      </c>
      <c r="C48" s="4" t="s">
        <v>65</v>
      </c>
      <c r="D48" s="5">
        <v>16.079999999999998</v>
      </c>
      <c r="E48" s="4">
        <v>116.15</v>
      </c>
      <c r="F48" s="4">
        <f>E48-D48</f>
        <v>100.07000000000001</v>
      </c>
      <c r="G48" s="6">
        <v>45107</v>
      </c>
      <c r="J48" s="4">
        <f>SUM(J49:J53)</f>
        <v>2.53000000000001E-2</v>
      </c>
      <c r="K48" s="7">
        <f t="shared" si="1"/>
        <v>100.04470000000001</v>
      </c>
    </row>
    <row r="49" spans="1:14" ht="12.75" x14ac:dyDescent="0.2">
      <c r="A49" s="5" t="s">
        <v>72</v>
      </c>
      <c r="B49" s="4" t="s">
        <v>71</v>
      </c>
      <c r="C49" s="4" t="s">
        <v>65</v>
      </c>
      <c r="D49" s="5">
        <v>13.54</v>
      </c>
      <c r="E49" s="4">
        <v>13.58</v>
      </c>
      <c r="F49" s="4">
        <f t="shared" si="0"/>
        <v>4.0000000000000924E-2</v>
      </c>
      <c r="G49" s="6">
        <v>45107</v>
      </c>
      <c r="J49" s="4">
        <f>I49-H49</f>
        <v>0</v>
      </c>
      <c r="K49" s="7">
        <f t="shared" si="1"/>
        <v>4.0000000000000924E-2</v>
      </c>
      <c r="L49" s="9">
        <v>45112.496527777781</v>
      </c>
      <c r="M49" s="9">
        <v>45113.416666666664</v>
      </c>
      <c r="N49" s="9">
        <v>45114.458333333336</v>
      </c>
    </row>
    <row r="50" spans="1:14" ht="12.75" x14ac:dyDescent="0.2">
      <c r="A50" s="5" t="s">
        <v>66</v>
      </c>
      <c r="B50" s="4" t="s">
        <v>19</v>
      </c>
      <c r="C50" s="4" t="s">
        <v>65</v>
      </c>
      <c r="D50" s="5">
        <v>16.2</v>
      </c>
      <c r="E50" s="4">
        <v>22.65</v>
      </c>
      <c r="F50" s="4">
        <f t="shared" si="0"/>
        <v>6.4499999999999993</v>
      </c>
      <c r="G50" s="6">
        <v>45107</v>
      </c>
      <c r="H50" s="4">
        <v>1.1491</v>
      </c>
      <c r="I50" s="4">
        <v>1.1496</v>
      </c>
      <c r="J50" s="4">
        <f t="shared" ref="J50:J53" si="11">I50-H50</f>
        <v>4.9999999999994493E-4</v>
      </c>
      <c r="K50" s="7">
        <f t="shared" si="1"/>
        <v>6.4494999999999996</v>
      </c>
      <c r="L50" s="9">
        <v>45112.496527777781</v>
      </c>
      <c r="M50" s="9">
        <v>45113.416666666664</v>
      </c>
      <c r="N50" s="9">
        <v>45114.458333333336</v>
      </c>
    </row>
    <row r="51" spans="1:14" ht="12.75" x14ac:dyDescent="0.2">
      <c r="A51" s="5" t="s">
        <v>67</v>
      </c>
      <c r="B51" s="4" t="s">
        <v>20</v>
      </c>
      <c r="C51" s="4" t="s">
        <v>65</v>
      </c>
      <c r="D51" s="5">
        <v>16.16</v>
      </c>
      <c r="E51" s="4">
        <v>35.57</v>
      </c>
      <c r="F51" s="4">
        <f t="shared" si="0"/>
        <v>19.41</v>
      </c>
      <c r="G51" s="6">
        <v>45107</v>
      </c>
      <c r="H51" s="4">
        <v>1.1491</v>
      </c>
      <c r="I51" s="4">
        <v>1.1706000000000001</v>
      </c>
      <c r="J51" s="4">
        <f t="shared" si="11"/>
        <v>2.1500000000000075E-2</v>
      </c>
      <c r="K51" s="7">
        <f t="shared" si="1"/>
        <v>19.388500000000001</v>
      </c>
      <c r="L51" s="9">
        <v>45112.496527777781</v>
      </c>
      <c r="M51" s="9">
        <v>45117.458333333336</v>
      </c>
      <c r="N51" s="9">
        <v>45118.5</v>
      </c>
    </row>
    <row r="52" spans="1:14" ht="12.75" x14ac:dyDescent="0.2">
      <c r="A52" s="5" t="s">
        <v>68</v>
      </c>
      <c r="B52" s="4" t="s">
        <v>21</v>
      </c>
      <c r="C52" s="4" t="s">
        <v>65</v>
      </c>
      <c r="D52" s="5">
        <v>13.24</v>
      </c>
      <c r="E52" s="4">
        <v>60.51</v>
      </c>
      <c r="F52" s="4">
        <f t="shared" si="0"/>
        <v>47.269999999999996</v>
      </c>
      <c r="G52" s="6">
        <v>45107</v>
      </c>
      <c r="H52" s="4">
        <v>1.1491</v>
      </c>
      <c r="I52" s="4">
        <v>1.1524000000000001</v>
      </c>
      <c r="J52" s="4">
        <f t="shared" si="11"/>
        <v>3.3000000000000806E-3</v>
      </c>
      <c r="K52" s="7">
        <f t="shared" si="1"/>
        <v>47.266699999999993</v>
      </c>
      <c r="L52" s="9">
        <v>45112.496527777781</v>
      </c>
      <c r="M52" s="9">
        <v>45117.458333333336</v>
      </c>
      <c r="N52" s="9">
        <v>45118.5</v>
      </c>
    </row>
    <row r="53" spans="1:14" ht="12.75" x14ac:dyDescent="0.2">
      <c r="A53" s="5" t="s">
        <v>69</v>
      </c>
      <c r="B53" s="4" t="s">
        <v>22</v>
      </c>
      <c r="C53" s="4" t="s">
        <v>65</v>
      </c>
      <c r="D53" s="5">
        <v>13.23</v>
      </c>
      <c r="E53" s="4">
        <v>20.420000000000002</v>
      </c>
      <c r="F53" s="4">
        <f t="shared" si="0"/>
        <v>7.1900000000000013</v>
      </c>
      <c r="G53" s="6">
        <v>45107</v>
      </c>
      <c r="J53" s="4">
        <f t="shared" si="11"/>
        <v>0</v>
      </c>
      <c r="K53" s="7">
        <f t="shared" si="1"/>
        <v>7.1900000000000013</v>
      </c>
      <c r="L53" s="9">
        <v>45112.496527777781</v>
      </c>
      <c r="M53" s="9">
        <v>45113.416666666664</v>
      </c>
      <c r="N53" s="9">
        <v>45114.458333333336</v>
      </c>
    </row>
    <row r="54" spans="1:14" ht="12.75" x14ac:dyDescent="0.2">
      <c r="A54" s="5" t="s">
        <v>73</v>
      </c>
      <c r="B54" s="4" t="s">
        <v>16</v>
      </c>
      <c r="C54" s="4" t="s">
        <v>74</v>
      </c>
      <c r="D54" s="5">
        <v>15.77</v>
      </c>
      <c r="E54" s="4">
        <v>116.13</v>
      </c>
      <c r="F54" s="4">
        <f t="shared" si="0"/>
        <v>100.36</v>
      </c>
      <c r="G54" s="6">
        <v>45107</v>
      </c>
      <c r="J54" s="4">
        <f>SUM(J55:J59)</f>
        <v>1.0999999999999899E-2</v>
      </c>
      <c r="K54" s="7">
        <f t="shared" si="1"/>
        <v>100.349</v>
      </c>
    </row>
    <row r="55" spans="1:14" ht="12.75" x14ac:dyDescent="0.2">
      <c r="A55" s="5" t="s">
        <v>75</v>
      </c>
      <c r="B55" s="4" t="s">
        <v>19</v>
      </c>
      <c r="C55" s="4" t="s">
        <v>74</v>
      </c>
      <c r="D55" s="5">
        <v>13.62</v>
      </c>
      <c r="E55" s="4">
        <v>21.54</v>
      </c>
      <c r="F55" s="4">
        <f t="shared" si="0"/>
        <v>7.92</v>
      </c>
      <c r="G55" s="6">
        <v>45107</v>
      </c>
      <c r="J55" s="4">
        <f>I55-H55</f>
        <v>0</v>
      </c>
      <c r="K55" s="7">
        <f t="shared" si="1"/>
        <v>7.92</v>
      </c>
      <c r="L55" s="9">
        <v>45112.496527777781</v>
      </c>
      <c r="M55" s="9">
        <v>45113.677083333336</v>
      </c>
      <c r="N55" s="9">
        <v>45114.677083333336</v>
      </c>
    </row>
    <row r="56" spans="1:14" ht="12.75" x14ac:dyDescent="0.2">
      <c r="A56" s="5" t="s">
        <v>76</v>
      </c>
      <c r="B56" s="4" t="s">
        <v>20</v>
      </c>
      <c r="C56" s="4" t="s">
        <v>74</v>
      </c>
      <c r="D56" s="5">
        <v>13.44</v>
      </c>
      <c r="E56" s="4">
        <v>32.94</v>
      </c>
      <c r="F56" s="4">
        <f t="shared" si="0"/>
        <v>19.5</v>
      </c>
      <c r="G56" s="6">
        <v>45107</v>
      </c>
      <c r="H56" s="4">
        <v>1.1491</v>
      </c>
      <c r="I56" s="4">
        <v>1.1557999999999999</v>
      </c>
      <c r="J56" s="4">
        <f t="shared" ref="J56:J59" si="12">I56-H56</f>
        <v>6.6999999999999282E-3</v>
      </c>
      <c r="K56" s="7">
        <f t="shared" si="1"/>
        <v>19.493300000000001</v>
      </c>
      <c r="L56" s="9">
        <v>45112.496527777781</v>
      </c>
      <c r="M56" s="9">
        <v>45118.520833333336</v>
      </c>
      <c r="N56" s="9">
        <v>45119.527777777781</v>
      </c>
    </row>
    <row r="57" spans="1:14" ht="12.75" x14ac:dyDescent="0.2">
      <c r="A57" s="5" t="s">
        <v>77</v>
      </c>
      <c r="B57" s="4" t="s">
        <v>21</v>
      </c>
      <c r="C57" s="4" t="s">
        <v>74</v>
      </c>
      <c r="D57" s="5">
        <v>15.87</v>
      </c>
      <c r="E57" s="4">
        <v>62.93</v>
      </c>
      <c r="F57" s="4">
        <f t="shared" si="0"/>
        <v>47.06</v>
      </c>
      <c r="G57" s="6">
        <v>45107</v>
      </c>
      <c r="H57" s="4">
        <v>1.1491</v>
      </c>
      <c r="I57" s="4">
        <v>1.1534</v>
      </c>
      <c r="J57" s="4">
        <f t="shared" si="12"/>
        <v>4.2999999999999705E-3</v>
      </c>
      <c r="K57" s="7">
        <f t="shared" si="1"/>
        <v>47.055700000000002</v>
      </c>
      <c r="L57" s="9">
        <v>45112.496527777781</v>
      </c>
      <c r="M57" s="9">
        <v>45117.458333333336</v>
      </c>
      <c r="N57" s="9">
        <v>45118.5</v>
      </c>
    </row>
    <row r="58" spans="1:14" ht="12.75" x14ac:dyDescent="0.2">
      <c r="A58" s="5" t="s">
        <v>78</v>
      </c>
      <c r="B58" s="4" t="s">
        <v>22</v>
      </c>
      <c r="C58" s="4" t="s">
        <v>74</v>
      </c>
      <c r="D58" s="5">
        <v>13.56</v>
      </c>
      <c r="E58" s="4">
        <v>19.84</v>
      </c>
      <c r="F58" s="4">
        <f t="shared" si="0"/>
        <v>6.2799999999999994</v>
      </c>
      <c r="G58" s="6">
        <v>45107</v>
      </c>
      <c r="J58" s="4">
        <f t="shared" si="12"/>
        <v>0</v>
      </c>
      <c r="K58" s="7">
        <f t="shared" si="1"/>
        <v>6.2799999999999994</v>
      </c>
      <c r="L58" s="9">
        <v>45112.496527777781</v>
      </c>
      <c r="M58" s="9">
        <v>45117.458333333336</v>
      </c>
      <c r="N58" s="9">
        <v>45118.520833333336</v>
      </c>
    </row>
    <row r="59" spans="1:14" ht="12.75" x14ac:dyDescent="0.2">
      <c r="A59" s="5" t="s">
        <v>79</v>
      </c>
      <c r="B59" s="4" t="s">
        <v>71</v>
      </c>
      <c r="C59" s="4" t="s">
        <v>74</v>
      </c>
      <c r="D59" s="5">
        <v>13.53</v>
      </c>
      <c r="E59" s="4">
        <v>13.58</v>
      </c>
      <c r="F59" s="4">
        <f t="shared" si="0"/>
        <v>5.0000000000000711E-2</v>
      </c>
      <c r="G59" s="6">
        <v>45107</v>
      </c>
      <c r="J59" s="4">
        <f t="shared" si="12"/>
        <v>0</v>
      </c>
      <c r="K59" s="7">
        <f t="shared" si="1"/>
        <v>5.0000000000000711E-2</v>
      </c>
      <c r="L59" s="9">
        <v>45112.496527777781</v>
      </c>
      <c r="M59" s="9">
        <v>45117.458333333336</v>
      </c>
      <c r="N59" s="9">
        <v>45118.5</v>
      </c>
    </row>
    <row r="60" spans="1:14" ht="12.75" x14ac:dyDescent="0.2">
      <c r="A60" s="5" t="s">
        <v>80</v>
      </c>
      <c r="B60" s="4" t="s">
        <v>16</v>
      </c>
      <c r="C60" s="4" t="s">
        <v>81</v>
      </c>
      <c r="D60" s="5">
        <v>13.63</v>
      </c>
      <c r="E60" s="4">
        <v>114.18</v>
      </c>
      <c r="F60" s="4">
        <f t="shared" si="0"/>
        <v>100.55000000000001</v>
      </c>
      <c r="G60" s="6">
        <v>45107</v>
      </c>
      <c r="J60" s="4">
        <f>SUM(J61:J65)</f>
        <v>2.200000000000002E-2</v>
      </c>
      <c r="K60" s="7">
        <f t="shared" si="1"/>
        <v>100.52800000000001</v>
      </c>
    </row>
    <row r="61" spans="1:14" ht="12.75" x14ac:dyDescent="0.2">
      <c r="A61" s="5" t="s">
        <v>82</v>
      </c>
      <c r="B61" s="4" t="s">
        <v>19</v>
      </c>
      <c r="C61" s="4" t="s">
        <v>81</v>
      </c>
      <c r="D61" s="5">
        <v>13.61</v>
      </c>
      <c r="E61" s="4">
        <v>22.27</v>
      </c>
      <c r="F61" s="4">
        <f t="shared" si="0"/>
        <v>8.66</v>
      </c>
      <c r="G61" s="6">
        <v>45107</v>
      </c>
      <c r="H61" s="4">
        <v>1.1491</v>
      </c>
      <c r="I61" s="4">
        <v>1.1559999999999999</v>
      </c>
      <c r="J61" s="4">
        <f>I61-H61</f>
        <v>6.8999999999999062E-3</v>
      </c>
      <c r="K61" s="7">
        <f t="shared" si="1"/>
        <v>8.6531000000000002</v>
      </c>
      <c r="L61" s="9">
        <v>45112.496527777781</v>
      </c>
      <c r="M61" s="9">
        <v>45117.458333333336</v>
      </c>
      <c r="N61" s="9">
        <v>45118.5</v>
      </c>
    </row>
    <row r="62" spans="1:14" ht="12.75" x14ac:dyDescent="0.2">
      <c r="A62" s="5" t="s">
        <v>83</v>
      </c>
      <c r="B62" s="4" t="s">
        <v>20</v>
      </c>
      <c r="C62" s="4" t="s">
        <v>81</v>
      </c>
      <c r="D62" s="5">
        <v>13.55</v>
      </c>
      <c r="E62" s="4">
        <v>36.340000000000003</v>
      </c>
      <c r="F62" s="4">
        <f t="shared" si="0"/>
        <v>22.790000000000003</v>
      </c>
      <c r="G62" s="6">
        <v>45107</v>
      </c>
      <c r="H62" s="4">
        <v>1.1491</v>
      </c>
      <c r="I62" s="4">
        <v>1.1546000000000001</v>
      </c>
      <c r="J62" s="4">
        <f t="shared" ref="J62:J65" si="13">I62-H62</f>
        <v>5.5000000000000604E-3</v>
      </c>
      <c r="K62" s="7">
        <f t="shared" si="1"/>
        <v>22.784500000000001</v>
      </c>
      <c r="L62" s="9">
        <v>45112.496527777781</v>
      </c>
      <c r="M62" s="9">
        <v>45119.520833333336</v>
      </c>
      <c r="N62" s="9">
        <v>45120.541666666664</v>
      </c>
    </row>
    <row r="63" spans="1:14" ht="12.75" x14ac:dyDescent="0.2">
      <c r="A63" s="5" t="s">
        <v>84</v>
      </c>
      <c r="B63" s="4" t="s">
        <v>21</v>
      </c>
      <c r="C63" s="4" t="s">
        <v>81</v>
      </c>
      <c r="D63" s="5">
        <v>13.53</v>
      </c>
      <c r="E63" s="4">
        <v>59.22</v>
      </c>
      <c r="F63" s="4">
        <f t="shared" si="0"/>
        <v>45.69</v>
      </c>
      <c r="G63" s="6">
        <v>45107</v>
      </c>
      <c r="H63" s="4">
        <v>1.1491</v>
      </c>
      <c r="I63" s="4">
        <v>1.1587000000000001</v>
      </c>
      <c r="J63" s="4">
        <f t="shared" si="13"/>
        <v>9.6000000000000529E-3</v>
      </c>
      <c r="K63" s="7">
        <f t="shared" si="1"/>
        <v>45.680399999999999</v>
      </c>
      <c r="L63" s="9">
        <v>45112.496527777781</v>
      </c>
      <c r="M63" s="9">
        <v>45117.458333333336</v>
      </c>
      <c r="N63" s="9">
        <v>45118.520833333336</v>
      </c>
    </row>
    <row r="64" spans="1:14" ht="12.75" x14ac:dyDescent="0.2">
      <c r="A64" s="5" t="s">
        <v>85</v>
      </c>
      <c r="B64" s="4" t="s">
        <v>22</v>
      </c>
      <c r="C64" s="4" t="s">
        <v>81</v>
      </c>
      <c r="D64" s="5">
        <v>13.56</v>
      </c>
      <c r="E64" s="4">
        <v>18.86</v>
      </c>
      <c r="F64" s="4">
        <f t="shared" si="0"/>
        <v>5.2999999999999989</v>
      </c>
      <c r="G64" s="6">
        <v>45107</v>
      </c>
      <c r="J64" s="4">
        <f t="shared" si="13"/>
        <v>0</v>
      </c>
      <c r="K64" s="7">
        <f t="shared" si="1"/>
        <v>5.2999999999999989</v>
      </c>
      <c r="L64" s="9">
        <v>45112.496527777781</v>
      </c>
      <c r="M64" s="9">
        <v>45113.677083333336</v>
      </c>
      <c r="N64" s="9">
        <v>45114.677083333336</v>
      </c>
    </row>
    <row r="65" spans="1:14" ht="12.75" x14ac:dyDescent="0.2">
      <c r="A65" s="5" t="s">
        <v>86</v>
      </c>
      <c r="B65" s="4" t="s">
        <v>71</v>
      </c>
      <c r="C65" s="4" t="s">
        <v>81</v>
      </c>
      <c r="D65" s="5">
        <v>13.55</v>
      </c>
      <c r="E65" s="4">
        <v>13.64</v>
      </c>
      <c r="F65" s="4">
        <f t="shared" si="0"/>
        <v>8.9999999999999858E-2</v>
      </c>
      <c r="G65" s="6">
        <v>45107</v>
      </c>
      <c r="J65" s="4">
        <f t="shared" si="13"/>
        <v>0</v>
      </c>
      <c r="K65" s="7">
        <f t="shared" si="1"/>
        <v>8.9999999999999858E-2</v>
      </c>
      <c r="L65" s="9">
        <v>45112.496527777781</v>
      </c>
      <c r="M65" s="9">
        <v>45117.458333333336</v>
      </c>
      <c r="N65" s="9">
        <v>45118.5</v>
      </c>
    </row>
    <row r="66" spans="1:14" ht="12.75" x14ac:dyDescent="0.2">
      <c r="A66" s="5" t="s">
        <v>87</v>
      </c>
      <c r="B66" s="4" t="s">
        <v>16</v>
      </c>
      <c r="C66" s="4" t="s">
        <v>88</v>
      </c>
      <c r="D66" s="5">
        <v>13.62</v>
      </c>
      <c r="E66" s="4">
        <v>113.8</v>
      </c>
      <c r="F66" s="4">
        <f t="shared" ref="F66:F129" si="14">E66-D66</f>
        <v>100.17999999999999</v>
      </c>
      <c r="G66" s="6">
        <v>45107</v>
      </c>
      <c r="J66" s="4">
        <f>SUM(J67:J71)</f>
        <v>0.31659999999999999</v>
      </c>
      <c r="K66" s="7">
        <f t="shared" si="1"/>
        <v>99.863399999999999</v>
      </c>
    </row>
    <row r="67" spans="1:14" ht="12.75" x14ac:dyDescent="0.2">
      <c r="A67" s="5" t="s">
        <v>89</v>
      </c>
      <c r="B67" s="4" t="s">
        <v>71</v>
      </c>
      <c r="C67" s="4" t="s">
        <v>88</v>
      </c>
      <c r="D67" s="5">
        <v>13.24</v>
      </c>
      <c r="E67" s="4">
        <v>13.65</v>
      </c>
      <c r="F67" s="4">
        <f t="shared" si="14"/>
        <v>0.41000000000000014</v>
      </c>
      <c r="G67" s="6">
        <v>45107</v>
      </c>
      <c r="J67" s="4">
        <f>I67-H67</f>
        <v>0</v>
      </c>
      <c r="K67" s="7">
        <f t="shared" ref="K67:K130" si="15">F67-J67</f>
        <v>0.41000000000000014</v>
      </c>
      <c r="L67" s="9">
        <v>45112.496527777781</v>
      </c>
      <c r="M67" s="9">
        <v>45117.458333333336</v>
      </c>
      <c r="N67" s="9">
        <v>45118.5</v>
      </c>
    </row>
    <row r="68" spans="1:14" ht="12.75" x14ac:dyDescent="0.2">
      <c r="A68" s="5" t="s">
        <v>90</v>
      </c>
      <c r="B68" s="4" t="s">
        <v>19</v>
      </c>
      <c r="C68" s="4" t="s">
        <v>88</v>
      </c>
      <c r="D68" s="5">
        <v>13.59</v>
      </c>
      <c r="E68" s="4">
        <v>23.44</v>
      </c>
      <c r="F68" s="4">
        <f t="shared" si="14"/>
        <v>9.8500000000000014</v>
      </c>
      <c r="G68" s="6">
        <v>45107</v>
      </c>
      <c r="H68" s="4">
        <v>1.1494</v>
      </c>
      <c r="I68" s="4">
        <v>1.3927</v>
      </c>
      <c r="J68" s="4">
        <f t="shared" ref="J68:J71" si="16">I68-H68</f>
        <v>0.24330000000000007</v>
      </c>
      <c r="K68" s="7">
        <f t="shared" si="15"/>
        <v>9.6067000000000018</v>
      </c>
      <c r="L68" s="9">
        <v>45112.496527777781</v>
      </c>
      <c r="M68" s="9">
        <v>45117.458333333336</v>
      </c>
      <c r="N68" s="9">
        <v>45118.520833333336</v>
      </c>
    </row>
    <row r="69" spans="1:14" ht="12.75" x14ac:dyDescent="0.2">
      <c r="A69" s="5" t="s">
        <v>91</v>
      </c>
      <c r="B69" s="4" t="s">
        <v>20</v>
      </c>
      <c r="C69" s="4" t="s">
        <v>88</v>
      </c>
      <c r="D69" s="5">
        <v>13.51</v>
      </c>
      <c r="E69" s="4">
        <v>35.14</v>
      </c>
      <c r="F69" s="4">
        <f t="shared" si="14"/>
        <v>21.630000000000003</v>
      </c>
      <c r="G69" s="6">
        <v>45107</v>
      </c>
      <c r="H69" s="4">
        <v>1.1494</v>
      </c>
      <c r="I69" s="4">
        <v>1.2223999999999999</v>
      </c>
      <c r="J69" s="4">
        <f t="shared" si="16"/>
        <v>7.2999999999999954E-2</v>
      </c>
      <c r="K69" s="7">
        <f t="shared" si="15"/>
        <v>21.557000000000002</v>
      </c>
      <c r="L69" s="9">
        <v>45112.496527777781</v>
      </c>
      <c r="M69" s="9">
        <v>45117.458333333336</v>
      </c>
      <c r="N69" s="9">
        <v>45118.520833333336</v>
      </c>
    </row>
    <row r="70" spans="1:14" ht="12.75" x14ac:dyDescent="0.2">
      <c r="A70" s="5" t="s">
        <v>92</v>
      </c>
      <c r="B70" s="4" t="s">
        <v>21</v>
      </c>
      <c r="C70" s="4" t="s">
        <v>88</v>
      </c>
      <c r="D70" s="5">
        <v>13.47</v>
      </c>
      <c r="E70" s="4">
        <v>57.93</v>
      </c>
      <c r="F70" s="4">
        <f t="shared" si="14"/>
        <v>44.46</v>
      </c>
      <c r="G70" s="6">
        <v>45107</v>
      </c>
      <c r="H70" s="4">
        <v>1.1494</v>
      </c>
      <c r="I70" s="4">
        <v>1.1496999999999999</v>
      </c>
      <c r="J70" s="4">
        <f t="shared" si="16"/>
        <v>2.9999999999996696E-4</v>
      </c>
      <c r="K70" s="7">
        <f t="shared" si="15"/>
        <v>44.459699999999998</v>
      </c>
      <c r="L70" s="9">
        <v>45112.496527777781</v>
      </c>
      <c r="M70" s="9">
        <v>45117.458333333336</v>
      </c>
      <c r="N70" s="9">
        <v>45118.520833333336</v>
      </c>
    </row>
    <row r="71" spans="1:14" ht="12.75" x14ac:dyDescent="0.2">
      <c r="A71" s="5" t="s">
        <v>93</v>
      </c>
      <c r="B71" s="4" t="s">
        <v>22</v>
      </c>
      <c r="C71" s="4" t="s">
        <v>88</v>
      </c>
      <c r="D71" s="5">
        <v>13.37</v>
      </c>
      <c r="E71" s="4">
        <v>20.14</v>
      </c>
      <c r="F71" s="4">
        <f t="shared" si="14"/>
        <v>6.7700000000000014</v>
      </c>
      <c r="G71" s="6">
        <v>45107</v>
      </c>
      <c r="J71" s="4">
        <f t="shared" si="16"/>
        <v>0</v>
      </c>
      <c r="K71" s="7">
        <f t="shared" si="15"/>
        <v>6.7700000000000014</v>
      </c>
      <c r="L71" s="9">
        <v>45112.496527777781</v>
      </c>
      <c r="M71" s="9">
        <v>45117.458333333336</v>
      </c>
      <c r="N71" s="9">
        <v>45118.520833333336</v>
      </c>
    </row>
    <row r="72" spans="1:14" ht="12.75" x14ac:dyDescent="0.2">
      <c r="A72" s="5" t="s">
        <v>94</v>
      </c>
      <c r="B72" s="4" t="s">
        <v>16</v>
      </c>
      <c r="C72" s="4" t="s">
        <v>95</v>
      </c>
      <c r="D72" s="5">
        <v>13.53</v>
      </c>
      <c r="E72" s="4">
        <v>113.6</v>
      </c>
      <c r="F72" s="4">
        <f t="shared" si="14"/>
        <v>100.07</v>
      </c>
      <c r="G72" s="6">
        <v>45107</v>
      </c>
      <c r="J72" s="4">
        <f>SUM(J73:J77)</f>
        <v>2.3700000000000054E-2</v>
      </c>
      <c r="K72" s="7">
        <f t="shared" si="15"/>
        <v>100.04629999999999</v>
      </c>
    </row>
    <row r="73" spans="1:14" ht="12.75" x14ac:dyDescent="0.2">
      <c r="A73" s="5" t="s">
        <v>96</v>
      </c>
      <c r="B73" s="4" t="s">
        <v>71</v>
      </c>
      <c r="C73" s="4" t="s">
        <v>95</v>
      </c>
      <c r="D73" s="5">
        <v>13.49</v>
      </c>
      <c r="E73" s="4">
        <v>13.71</v>
      </c>
      <c r="F73" s="4">
        <f t="shared" si="14"/>
        <v>0.22000000000000064</v>
      </c>
      <c r="G73" s="6">
        <v>45107</v>
      </c>
      <c r="J73" s="4">
        <f>I73-H73</f>
        <v>0</v>
      </c>
      <c r="K73" s="7">
        <f t="shared" si="15"/>
        <v>0.22000000000000064</v>
      </c>
      <c r="L73" s="9">
        <v>45112.496527777781</v>
      </c>
      <c r="M73" s="9">
        <v>45114.458333333336</v>
      </c>
      <c r="N73" s="9">
        <v>45117.458333333336</v>
      </c>
    </row>
    <row r="74" spans="1:14" ht="12.75" x14ac:dyDescent="0.2">
      <c r="A74" s="5" t="s">
        <v>97</v>
      </c>
      <c r="B74" s="4" t="s">
        <v>19</v>
      </c>
      <c r="C74" s="4" t="s">
        <v>95</v>
      </c>
      <c r="D74" s="5">
        <v>13.45</v>
      </c>
      <c r="E74" s="4">
        <v>22.18</v>
      </c>
      <c r="F74" s="4">
        <f t="shared" si="14"/>
        <v>8.73</v>
      </c>
      <c r="G74" s="6">
        <v>45107</v>
      </c>
      <c r="H74" s="4">
        <v>1.1491</v>
      </c>
      <c r="I74" s="4">
        <v>1.1629</v>
      </c>
      <c r="J74" s="4">
        <f t="shared" ref="J74:J77" si="17">I74-H74</f>
        <v>1.3800000000000034E-2</v>
      </c>
      <c r="K74" s="7">
        <f t="shared" si="15"/>
        <v>8.7162000000000006</v>
      </c>
      <c r="L74" s="9">
        <v>45112.496527777781</v>
      </c>
      <c r="M74" s="9">
        <v>45113.677083333336</v>
      </c>
      <c r="N74" s="9">
        <v>45114.677083333336</v>
      </c>
    </row>
    <row r="75" spans="1:14" ht="12.75" x14ac:dyDescent="0.2">
      <c r="A75" s="5" t="s">
        <v>98</v>
      </c>
      <c r="B75" s="4" t="s">
        <v>20</v>
      </c>
      <c r="C75" s="4" t="s">
        <v>95</v>
      </c>
      <c r="D75" s="5">
        <v>13.53</v>
      </c>
      <c r="E75" s="4">
        <v>38.549999999999997</v>
      </c>
      <c r="F75" s="4">
        <f t="shared" si="14"/>
        <v>25.019999999999996</v>
      </c>
      <c r="G75" s="6">
        <v>45107</v>
      </c>
      <c r="H75" s="4">
        <v>1.1491</v>
      </c>
      <c r="I75" s="4">
        <v>1.1588000000000001</v>
      </c>
      <c r="J75" s="4">
        <f t="shared" si="17"/>
        <v>9.7000000000000419E-3</v>
      </c>
      <c r="K75" s="7">
        <f t="shared" si="15"/>
        <v>25.010299999999997</v>
      </c>
      <c r="L75" s="9">
        <v>45112.496527777781</v>
      </c>
      <c r="M75" s="9">
        <v>45117.458333333336</v>
      </c>
      <c r="N75" s="9">
        <v>45118.520833333336</v>
      </c>
    </row>
    <row r="76" spans="1:14" ht="12.75" x14ac:dyDescent="0.2">
      <c r="A76" s="5" t="s">
        <v>99</v>
      </c>
      <c r="B76" s="4" t="s">
        <v>21</v>
      </c>
      <c r="C76" s="4" t="s">
        <v>95</v>
      </c>
      <c r="D76" s="5">
        <v>13.53</v>
      </c>
      <c r="E76" s="4">
        <v>57.76</v>
      </c>
      <c r="F76" s="4">
        <f t="shared" si="14"/>
        <v>44.23</v>
      </c>
      <c r="G76" s="6">
        <v>45107</v>
      </c>
      <c r="H76" s="4">
        <v>1.1491</v>
      </c>
      <c r="I76" s="4">
        <v>1.1493</v>
      </c>
      <c r="J76" s="4">
        <f t="shared" si="17"/>
        <v>1.9999999999997797E-4</v>
      </c>
      <c r="K76" s="7">
        <f t="shared" si="15"/>
        <v>44.229799999999997</v>
      </c>
      <c r="L76" s="9">
        <v>45112.496527777781</v>
      </c>
      <c r="M76" s="9">
        <v>45117.458333333336</v>
      </c>
      <c r="N76" s="9">
        <v>45118.520833333336</v>
      </c>
    </row>
    <row r="77" spans="1:14" ht="12.75" x14ac:dyDescent="0.2">
      <c r="A77" s="5" t="s">
        <v>100</v>
      </c>
      <c r="B77" s="4" t="s">
        <v>22</v>
      </c>
      <c r="C77" s="4" t="s">
        <v>95</v>
      </c>
      <c r="D77" s="5">
        <v>13.45</v>
      </c>
      <c r="E77" s="4">
        <v>18.95</v>
      </c>
      <c r="F77" s="4">
        <f t="shared" si="14"/>
        <v>5.5</v>
      </c>
      <c r="G77" s="6">
        <v>45107</v>
      </c>
      <c r="J77" s="4">
        <f t="shared" si="17"/>
        <v>0</v>
      </c>
      <c r="K77" s="7">
        <f t="shared" si="15"/>
        <v>5.5</v>
      </c>
      <c r="L77" s="9">
        <v>45112.496527777781</v>
      </c>
      <c r="M77" s="9">
        <v>45114.458333333336</v>
      </c>
      <c r="N77" s="9">
        <v>45117.458333333336</v>
      </c>
    </row>
    <row r="78" spans="1:14" ht="12.75" x14ac:dyDescent="0.2">
      <c r="A78" s="5" t="s">
        <v>101</v>
      </c>
      <c r="B78" s="4" t="s">
        <v>16</v>
      </c>
      <c r="C78" s="4" t="s">
        <v>102</v>
      </c>
      <c r="D78" s="5">
        <v>13.27</v>
      </c>
      <c r="E78" s="4">
        <v>13.55</v>
      </c>
      <c r="F78" s="4">
        <f t="shared" si="14"/>
        <v>0.28000000000000114</v>
      </c>
      <c r="G78" s="6">
        <v>45110</v>
      </c>
      <c r="J78" s="4">
        <f>SUM(J79:J83)</f>
        <v>4.6999999999999931E-2</v>
      </c>
      <c r="K78" s="7">
        <f t="shared" si="15"/>
        <v>0.23300000000000121</v>
      </c>
    </row>
    <row r="79" spans="1:14" ht="12.75" x14ac:dyDescent="0.2">
      <c r="A79" s="5" t="s">
        <v>103</v>
      </c>
      <c r="B79" s="4" t="s">
        <v>71</v>
      </c>
      <c r="C79" s="4" t="s">
        <v>102</v>
      </c>
      <c r="D79" s="5">
        <v>13.59</v>
      </c>
      <c r="E79" s="4">
        <v>13.94</v>
      </c>
      <c r="F79" s="4">
        <f t="shared" si="14"/>
        <v>0.34999999999999964</v>
      </c>
      <c r="G79" s="6">
        <v>45110</v>
      </c>
      <c r="J79" s="4">
        <f>I79-H79</f>
        <v>0</v>
      </c>
      <c r="K79" s="7">
        <f t="shared" si="15"/>
        <v>0.34999999999999964</v>
      </c>
      <c r="L79" s="9">
        <v>45112.496527777781</v>
      </c>
      <c r="M79" s="9">
        <v>45118.520833333336</v>
      </c>
      <c r="N79" s="9">
        <v>45119.527777777781</v>
      </c>
    </row>
    <row r="80" spans="1:14" ht="12.75" x14ac:dyDescent="0.2">
      <c r="A80" s="5" t="s">
        <v>104</v>
      </c>
      <c r="B80" s="4" t="s">
        <v>19</v>
      </c>
      <c r="C80" s="4" t="s">
        <v>102</v>
      </c>
      <c r="D80" s="5">
        <v>13.37</v>
      </c>
      <c r="E80" s="4">
        <v>22.54</v>
      </c>
      <c r="F80" s="4">
        <f t="shared" si="14"/>
        <v>9.17</v>
      </c>
      <c r="G80" s="6">
        <v>45110</v>
      </c>
      <c r="H80" s="4">
        <v>1.1489</v>
      </c>
      <c r="I80" s="4">
        <v>1.1527000000000001</v>
      </c>
      <c r="J80" s="4">
        <f t="shared" ref="J80:J83" si="18">I80-H80</f>
        <v>3.8000000000000256E-3</v>
      </c>
      <c r="K80" s="7">
        <f t="shared" si="15"/>
        <v>9.1661999999999999</v>
      </c>
      <c r="L80" s="9">
        <v>45117.503472222219</v>
      </c>
      <c r="M80" s="9">
        <v>45121.53125</v>
      </c>
      <c r="N80" s="9">
        <v>45122.666666666664</v>
      </c>
    </row>
    <row r="81" spans="1:14" ht="12.75" x14ac:dyDescent="0.2">
      <c r="A81" s="5" t="s">
        <v>105</v>
      </c>
      <c r="B81" s="4" t="s">
        <v>20</v>
      </c>
      <c r="C81" s="4" t="s">
        <v>102</v>
      </c>
      <c r="D81" s="5">
        <v>13.21</v>
      </c>
      <c r="E81" s="4">
        <v>33.78</v>
      </c>
      <c r="F81" s="4">
        <f t="shared" si="14"/>
        <v>20.57</v>
      </c>
      <c r="G81" s="6">
        <v>45110</v>
      </c>
      <c r="H81" s="4">
        <v>1.1489</v>
      </c>
      <c r="I81" s="4">
        <v>1.1920999999999999</v>
      </c>
      <c r="J81" s="4">
        <f t="shared" si="18"/>
        <v>4.3199999999999905E-2</v>
      </c>
      <c r="K81" s="7">
        <f t="shared" si="15"/>
        <v>20.526800000000001</v>
      </c>
      <c r="L81" s="9">
        <v>45117.503472222219</v>
      </c>
      <c r="M81" s="9">
        <v>45123.6875</v>
      </c>
      <c r="N81" s="9">
        <v>45124.6875</v>
      </c>
    </row>
    <row r="82" spans="1:14" ht="12.75" x14ac:dyDescent="0.2">
      <c r="A82" s="5" t="s">
        <v>106</v>
      </c>
      <c r="B82" s="4" t="s">
        <v>21</v>
      </c>
      <c r="C82" s="4" t="s">
        <v>102</v>
      </c>
      <c r="D82" s="5">
        <v>13.65</v>
      </c>
      <c r="E82" s="4">
        <v>59.67</v>
      </c>
      <c r="F82" s="4">
        <f t="shared" si="14"/>
        <v>46.02</v>
      </c>
      <c r="G82" s="6">
        <v>45110</v>
      </c>
      <c r="J82" s="4">
        <f t="shared" si="18"/>
        <v>0</v>
      </c>
      <c r="K82" s="7">
        <f t="shared" si="15"/>
        <v>46.02</v>
      </c>
      <c r="L82" s="9">
        <v>45117.503472222219</v>
      </c>
      <c r="M82" s="9">
        <v>45121.53125</v>
      </c>
      <c r="N82" s="9">
        <v>45122.666666666664</v>
      </c>
    </row>
    <row r="83" spans="1:14" ht="12.75" x14ac:dyDescent="0.2">
      <c r="A83" s="5" t="s">
        <v>107</v>
      </c>
      <c r="B83" s="4" t="s">
        <v>22</v>
      </c>
      <c r="C83" s="4" t="s">
        <v>102</v>
      </c>
      <c r="D83" s="5">
        <v>13.5</v>
      </c>
      <c r="E83" s="4">
        <v>19.47</v>
      </c>
      <c r="F83" s="4">
        <f t="shared" si="14"/>
        <v>5.9699999999999989</v>
      </c>
      <c r="G83" s="6">
        <v>45110</v>
      </c>
      <c r="J83" s="4">
        <f t="shared" si="18"/>
        <v>0</v>
      </c>
      <c r="K83" s="7">
        <f t="shared" si="15"/>
        <v>5.9699999999999989</v>
      </c>
      <c r="L83" s="9">
        <v>45117.503472222219</v>
      </c>
      <c r="M83" s="9">
        <v>45118.520833333336</v>
      </c>
      <c r="N83" s="9">
        <v>45119.527777777781</v>
      </c>
    </row>
    <row r="84" spans="1:14" ht="12.75" x14ac:dyDescent="0.2">
      <c r="A84" s="5" t="s">
        <v>108</v>
      </c>
      <c r="B84" s="4" t="s">
        <v>16</v>
      </c>
      <c r="C84" s="4" t="s">
        <v>109</v>
      </c>
      <c r="D84" s="5">
        <v>13.29</v>
      </c>
      <c r="E84" s="4">
        <v>113.38</v>
      </c>
      <c r="F84" s="4">
        <f t="shared" si="14"/>
        <v>100.09</v>
      </c>
      <c r="G84" s="6">
        <v>45110</v>
      </c>
      <c r="J84" s="4">
        <f>SUM(J85:J89)</f>
        <v>7.8799999999999981E-2</v>
      </c>
      <c r="K84" s="7">
        <f t="shared" si="15"/>
        <v>100.0112</v>
      </c>
    </row>
    <row r="85" spans="1:14" ht="12.75" x14ac:dyDescent="0.2">
      <c r="A85" s="5" t="s">
        <v>110</v>
      </c>
      <c r="B85" s="4" t="s">
        <v>71</v>
      </c>
      <c r="C85" s="4" t="s">
        <v>109</v>
      </c>
      <c r="D85" s="5">
        <v>13.5</v>
      </c>
      <c r="E85" s="4">
        <v>13.58</v>
      </c>
      <c r="F85" s="4">
        <f t="shared" si="14"/>
        <v>8.0000000000000071E-2</v>
      </c>
      <c r="G85" s="6">
        <v>45110</v>
      </c>
      <c r="J85" s="4">
        <f>I85-H85</f>
        <v>0</v>
      </c>
      <c r="K85" s="7">
        <f t="shared" si="15"/>
        <v>8.0000000000000071E-2</v>
      </c>
      <c r="L85" s="9">
        <v>45117.503472222219</v>
      </c>
      <c r="M85" s="9">
        <v>45119.4375</v>
      </c>
      <c r="N85" s="9">
        <v>45120.541666666664</v>
      </c>
    </row>
    <row r="86" spans="1:14" ht="12.75" x14ac:dyDescent="0.2">
      <c r="A86" s="5" t="s">
        <v>111</v>
      </c>
      <c r="B86" s="4" t="s">
        <v>19</v>
      </c>
      <c r="C86" s="4" t="s">
        <v>109</v>
      </c>
      <c r="D86" s="5">
        <v>13.44</v>
      </c>
      <c r="E86" s="4">
        <v>20.010000000000002</v>
      </c>
      <c r="F86" s="4">
        <f t="shared" si="14"/>
        <v>6.5700000000000021</v>
      </c>
      <c r="G86" s="6">
        <v>45110</v>
      </c>
      <c r="H86" s="4">
        <v>1.1489</v>
      </c>
      <c r="I86" s="4">
        <v>1.1503000000000001</v>
      </c>
      <c r="J86" s="4">
        <f t="shared" ref="J86:J89" si="19">I86-H86</f>
        <v>1.4000000000000679E-3</v>
      </c>
      <c r="K86" s="7">
        <f t="shared" si="15"/>
        <v>6.5686000000000018</v>
      </c>
      <c r="L86" s="9">
        <v>45118.5625</v>
      </c>
      <c r="M86" s="9">
        <v>45119.4375</v>
      </c>
      <c r="N86" s="9">
        <v>45120.541666666664</v>
      </c>
    </row>
    <row r="87" spans="1:14" ht="12.75" x14ac:dyDescent="0.2">
      <c r="A87" s="5" t="s">
        <v>112</v>
      </c>
      <c r="B87" s="4" t="s">
        <v>20</v>
      </c>
      <c r="C87" s="4" t="s">
        <v>109</v>
      </c>
      <c r="D87" s="5">
        <v>13.38</v>
      </c>
      <c r="E87" s="4">
        <v>29.67</v>
      </c>
      <c r="F87" s="4">
        <f t="shared" si="14"/>
        <v>16.29</v>
      </c>
      <c r="G87" s="6">
        <v>45110</v>
      </c>
      <c r="H87" s="4">
        <v>1.1489</v>
      </c>
      <c r="I87" s="4">
        <v>1.2258</v>
      </c>
      <c r="J87" s="4">
        <f t="shared" si="19"/>
        <v>7.6899999999999968E-2</v>
      </c>
      <c r="K87" s="7">
        <f t="shared" si="15"/>
        <v>16.213100000000001</v>
      </c>
      <c r="L87" s="9">
        <v>45114.677083333336</v>
      </c>
      <c r="M87" s="9">
        <v>45119.4375</v>
      </c>
      <c r="N87" s="9">
        <v>45120.541666666664</v>
      </c>
    </row>
    <row r="88" spans="1:14" ht="12.75" x14ac:dyDescent="0.2">
      <c r="A88" s="5" t="s">
        <v>113</v>
      </c>
      <c r="B88" s="4" t="s">
        <v>21</v>
      </c>
      <c r="C88" s="4" t="s">
        <v>109</v>
      </c>
      <c r="D88" s="5">
        <v>13.62</v>
      </c>
      <c r="E88" s="4">
        <v>57.11</v>
      </c>
      <c r="F88" s="4">
        <f t="shared" si="14"/>
        <v>43.49</v>
      </c>
      <c r="G88" s="6">
        <v>45110</v>
      </c>
      <c r="H88" s="4">
        <v>1.1489</v>
      </c>
      <c r="I88" s="4">
        <v>1.1494</v>
      </c>
      <c r="J88" s="4">
        <f t="shared" si="19"/>
        <v>4.9999999999994493E-4</v>
      </c>
      <c r="K88" s="7">
        <f t="shared" si="15"/>
        <v>43.4895</v>
      </c>
      <c r="L88" s="9">
        <v>45114.677083333336</v>
      </c>
      <c r="M88" s="9">
        <v>45118.5</v>
      </c>
      <c r="N88" s="9">
        <v>45119.527777777781</v>
      </c>
    </row>
    <row r="89" spans="1:14" ht="12.75" x14ac:dyDescent="0.2">
      <c r="A89" s="5" t="s">
        <v>114</v>
      </c>
      <c r="B89" s="4" t="s">
        <v>22</v>
      </c>
      <c r="C89" s="4" t="s">
        <v>109</v>
      </c>
      <c r="D89" s="5">
        <v>13.42</v>
      </c>
      <c r="E89" s="4">
        <v>26.92</v>
      </c>
      <c r="F89" s="4">
        <f t="shared" si="14"/>
        <v>13.500000000000002</v>
      </c>
      <c r="G89" s="6">
        <v>45110</v>
      </c>
      <c r="J89" s="4">
        <f t="shared" si="19"/>
        <v>0</v>
      </c>
      <c r="K89" s="7">
        <f t="shared" si="15"/>
        <v>13.500000000000002</v>
      </c>
      <c r="L89" s="9">
        <v>45114.677083333336</v>
      </c>
      <c r="M89" s="9">
        <v>45117.458333333336</v>
      </c>
      <c r="N89" s="9">
        <v>45118.5</v>
      </c>
    </row>
    <row r="90" spans="1:14" ht="12.75" x14ac:dyDescent="0.2">
      <c r="A90" s="8">
        <v>44928</v>
      </c>
      <c r="B90" s="4" t="s">
        <v>16</v>
      </c>
      <c r="C90" s="4" t="s">
        <v>115</v>
      </c>
      <c r="D90" s="5">
        <v>13.43</v>
      </c>
      <c r="E90" s="4">
        <v>113.44</v>
      </c>
      <c r="F90" s="4">
        <f t="shared" si="14"/>
        <v>100.00999999999999</v>
      </c>
      <c r="G90" s="6">
        <v>45113</v>
      </c>
      <c r="J90" s="4">
        <f>SUM(J91:J95)</f>
        <v>8.0000000000000071E-3</v>
      </c>
      <c r="K90" s="7">
        <f t="shared" si="15"/>
        <v>100.002</v>
      </c>
    </row>
    <row r="91" spans="1:14" ht="12.75" x14ac:dyDescent="0.2">
      <c r="A91" s="5" t="s">
        <v>116</v>
      </c>
      <c r="B91" s="4" t="s">
        <v>71</v>
      </c>
      <c r="C91" s="4" t="s">
        <v>115</v>
      </c>
      <c r="D91" s="5">
        <v>16.18</v>
      </c>
      <c r="E91" s="4">
        <v>16.36</v>
      </c>
      <c r="F91" s="4">
        <f t="shared" si="14"/>
        <v>0.17999999999999972</v>
      </c>
      <c r="G91" s="6">
        <v>45113</v>
      </c>
      <c r="J91" s="4">
        <f>I91-H91</f>
        <v>0</v>
      </c>
      <c r="K91" s="7">
        <f t="shared" si="15"/>
        <v>0.17999999999999972</v>
      </c>
      <c r="L91" s="9">
        <v>45114.677083333336</v>
      </c>
      <c r="M91" s="9">
        <v>45118.520833333336</v>
      </c>
      <c r="N91" s="9">
        <v>45119.527777777781</v>
      </c>
    </row>
    <row r="92" spans="1:14" ht="12.75" x14ac:dyDescent="0.2">
      <c r="A92" s="8">
        <v>44959</v>
      </c>
      <c r="B92" s="4" t="s">
        <v>19</v>
      </c>
      <c r="C92" s="4" t="s">
        <v>115</v>
      </c>
      <c r="D92" s="5">
        <v>13.48</v>
      </c>
      <c r="E92" s="4">
        <v>15.69</v>
      </c>
      <c r="F92" s="4">
        <f t="shared" si="14"/>
        <v>2.2099999999999991</v>
      </c>
      <c r="G92" s="6">
        <v>45113</v>
      </c>
      <c r="H92" s="4">
        <v>1.1489</v>
      </c>
      <c r="I92" s="4">
        <v>1.151</v>
      </c>
      <c r="J92" s="4">
        <f t="shared" ref="J92:J95" si="20">I92-H92</f>
        <v>2.0999999999999908E-3</v>
      </c>
      <c r="K92" s="7">
        <f t="shared" si="15"/>
        <v>2.2078999999999991</v>
      </c>
      <c r="L92" s="9">
        <v>45114.677083333336</v>
      </c>
      <c r="M92" s="9">
        <v>45117.458333333336</v>
      </c>
      <c r="N92" s="9">
        <v>45118.5</v>
      </c>
    </row>
    <row r="93" spans="1:14" ht="12.75" x14ac:dyDescent="0.2">
      <c r="A93" s="8">
        <v>44987</v>
      </c>
      <c r="B93" s="4" t="s">
        <v>20</v>
      </c>
      <c r="C93" s="4" t="s">
        <v>115</v>
      </c>
      <c r="D93" s="5">
        <v>13.49</v>
      </c>
      <c r="E93" s="4">
        <v>31.21</v>
      </c>
      <c r="F93" s="4">
        <f t="shared" si="14"/>
        <v>17.72</v>
      </c>
      <c r="G93" s="6">
        <v>45113</v>
      </c>
      <c r="H93" s="4">
        <v>1.1489</v>
      </c>
      <c r="I93" s="4">
        <v>1.153</v>
      </c>
      <c r="J93" s="4">
        <f t="shared" si="20"/>
        <v>4.0999999999999925E-3</v>
      </c>
      <c r="K93" s="7">
        <f t="shared" si="15"/>
        <v>17.715899999999998</v>
      </c>
      <c r="L93" s="9">
        <v>45114.677083333336</v>
      </c>
      <c r="M93" s="9">
        <v>45117.458333333336</v>
      </c>
      <c r="N93" s="9">
        <v>45118.5</v>
      </c>
    </row>
    <row r="94" spans="1:14" ht="12.75" x14ac:dyDescent="0.2">
      <c r="A94" s="8">
        <v>45018</v>
      </c>
      <c r="B94" s="4" t="s">
        <v>21</v>
      </c>
      <c r="C94" s="4" t="s">
        <v>115</v>
      </c>
      <c r="D94" s="5">
        <v>13.33</v>
      </c>
      <c r="E94" s="4">
        <v>70.77</v>
      </c>
      <c r="F94" s="4">
        <f t="shared" si="14"/>
        <v>57.44</v>
      </c>
      <c r="G94" s="6">
        <v>45113</v>
      </c>
      <c r="H94" s="4">
        <v>1.1489</v>
      </c>
      <c r="I94" s="4">
        <v>1.1507000000000001</v>
      </c>
      <c r="J94" s="4">
        <f t="shared" si="20"/>
        <v>1.8000000000000238E-3</v>
      </c>
      <c r="K94" s="7">
        <f t="shared" si="15"/>
        <v>57.438199999999995</v>
      </c>
      <c r="L94" s="9">
        <v>45118.5625</v>
      </c>
      <c r="M94" s="9">
        <v>45121.53125</v>
      </c>
      <c r="N94" s="9">
        <v>45122.666666666664</v>
      </c>
    </row>
    <row r="95" spans="1:14" ht="12.75" x14ac:dyDescent="0.2">
      <c r="A95" s="8">
        <v>45048</v>
      </c>
      <c r="B95" s="4" t="s">
        <v>22</v>
      </c>
      <c r="C95" s="4" t="s">
        <v>115</v>
      </c>
      <c r="D95" s="5">
        <v>13.54</v>
      </c>
      <c r="E95" s="4">
        <v>22.22</v>
      </c>
      <c r="F95" s="4">
        <f t="shared" si="14"/>
        <v>8.68</v>
      </c>
      <c r="G95" s="6">
        <v>45113</v>
      </c>
      <c r="J95" s="4">
        <f t="shared" si="20"/>
        <v>0</v>
      </c>
      <c r="K95" s="7">
        <f t="shared" si="15"/>
        <v>8.68</v>
      </c>
      <c r="L95" s="9">
        <v>45118.625</v>
      </c>
      <c r="M95" s="9">
        <v>45119.520833333336</v>
      </c>
      <c r="N95" s="9">
        <v>45120.538194444445</v>
      </c>
    </row>
    <row r="96" spans="1:14" ht="12.75" x14ac:dyDescent="0.2">
      <c r="A96" s="8">
        <v>45079</v>
      </c>
      <c r="B96" s="4" t="s">
        <v>16</v>
      </c>
      <c r="C96" s="4" t="s">
        <v>117</v>
      </c>
      <c r="D96" s="5">
        <v>13.46</v>
      </c>
      <c r="E96" s="4">
        <v>113.48</v>
      </c>
      <c r="F96" s="4">
        <f t="shared" si="14"/>
        <v>100.02000000000001</v>
      </c>
      <c r="G96" s="6">
        <v>45113</v>
      </c>
      <c r="J96" s="4">
        <f>SUM(J97:J101)</f>
        <v>9.099999999999886E-3</v>
      </c>
      <c r="K96" s="7">
        <f t="shared" si="15"/>
        <v>100.01090000000001</v>
      </c>
    </row>
    <row r="97" spans="1:15" ht="12.75" x14ac:dyDescent="0.2">
      <c r="A97" s="5" t="s">
        <v>118</v>
      </c>
      <c r="B97" s="4" t="s">
        <v>71</v>
      </c>
      <c r="C97" s="4" t="s">
        <v>117</v>
      </c>
      <c r="D97" s="5">
        <v>15.75</v>
      </c>
      <c r="E97" s="4">
        <v>16.02</v>
      </c>
      <c r="F97" s="4">
        <f t="shared" si="14"/>
        <v>0.26999999999999957</v>
      </c>
      <c r="G97" s="6">
        <v>45113</v>
      </c>
      <c r="J97" s="4">
        <f>I97-H97</f>
        <v>0</v>
      </c>
      <c r="K97" s="7">
        <f t="shared" si="15"/>
        <v>0.26999999999999957</v>
      </c>
      <c r="L97" s="9">
        <v>45118.625</v>
      </c>
      <c r="M97" s="9">
        <v>45123.6875</v>
      </c>
      <c r="N97" s="9">
        <v>45124.6875</v>
      </c>
    </row>
    <row r="98" spans="1:15" ht="12.75" x14ac:dyDescent="0.2">
      <c r="A98" s="8">
        <v>45109</v>
      </c>
      <c r="B98" s="4" t="s">
        <v>19</v>
      </c>
      <c r="C98" s="4" t="s">
        <v>117</v>
      </c>
      <c r="D98" s="5">
        <v>13.3</v>
      </c>
      <c r="E98" s="4">
        <v>22.78</v>
      </c>
      <c r="F98" s="4">
        <f t="shared" si="14"/>
        <v>9.48</v>
      </c>
      <c r="G98" s="6">
        <v>45113</v>
      </c>
      <c r="J98" s="4">
        <f t="shared" ref="J98:J101" si="21">I98-H98</f>
        <v>0</v>
      </c>
      <c r="K98" s="7">
        <f t="shared" si="15"/>
        <v>9.48</v>
      </c>
      <c r="L98" s="9">
        <v>45119.5625</v>
      </c>
      <c r="M98" s="9">
        <v>45122.666666666664</v>
      </c>
      <c r="N98" s="9">
        <v>45123.666666666664</v>
      </c>
    </row>
    <row r="99" spans="1:15" ht="12.75" x14ac:dyDescent="0.2">
      <c r="A99" s="8">
        <v>45140</v>
      </c>
      <c r="B99" s="4" t="s">
        <v>20</v>
      </c>
      <c r="C99" s="4" t="s">
        <v>117</v>
      </c>
      <c r="D99" s="5">
        <v>13.38</v>
      </c>
      <c r="E99" s="4">
        <v>34.29</v>
      </c>
      <c r="F99" s="4">
        <f t="shared" si="14"/>
        <v>20.909999999999997</v>
      </c>
      <c r="G99" s="6">
        <v>45113</v>
      </c>
      <c r="H99" s="4">
        <v>1.1489</v>
      </c>
      <c r="I99" s="4">
        <v>1.1578999999999999</v>
      </c>
      <c r="J99" s="4">
        <f t="shared" si="21"/>
        <v>8.999999999999897E-3</v>
      </c>
      <c r="K99" s="7">
        <f t="shared" si="15"/>
        <v>20.900999999999996</v>
      </c>
      <c r="L99" s="9">
        <v>45119.5625</v>
      </c>
      <c r="M99" s="9">
        <v>45124.6875</v>
      </c>
      <c r="N99" s="9">
        <v>45125.666666666664</v>
      </c>
    </row>
    <row r="100" spans="1:15" ht="12.75" x14ac:dyDescent="0.2">
      <c r="A100" s="8">
        <v>45171</v>
      </c>
      <c r="B100" s="4" t="s">
        <v>21</v>
      </c>
      <c r="C100" s="4" t="s">
        <v>117</v>
      </c>
      <c r="D100" s="5">
        <v>13.42</v>
      </c>
      <c r="E100" s="4">
        <v>62.45</v>
      </c>
      <c r="F100" s="4">
        <f t="shared" si="14"/>
        <v>49.03</v>
      </c>
      <c r="G100" s="6">
        <v>45113</v>
      </c>
      <c r="J100" s="4">
        <f t="shared" si="21"/>
        <v>0</v>
      </c>
      <c r="K100" s="7">
        <f t="shared" si="15"/>
        <v>49.03</v>
      </c>
      <c r="L100" s="9">
        <v>45119.5625</v>
      </c>
      <c r="M100" s="9">
        <v>45122.666666666664</v>
      </c>
      <c r="N100" s="9">
        <v>45123.666666666664</v>
      </c>
    </row>
    <row r="101" spans="1:15" ht="12.75" x14ac:dyDescent="0.2">
      <c r="A101" s="8">
        <v>45201</v>
      </c>
      <c r="B101" s="4" t="s">
        <v>22</v>
      </c>
      <c r="C101" s="4" t="s">
        <v>117</v>
      </c>
      <c r="D101" s="5">
        <v>2.21</v>
      </c>
      <c r="E101" s="4">
        <v>6.93</v>
      </c>
      <c r="F101" s="4">
        <f t="shared" si="14"/>
        <v>4.72</v>
      </c>
      <c r="G101" s="6">
        <v>45113</v>
      </c>
      <c r="H101" s="4">
        <v>1.1489</v>
      </c>
      <c r="I101" s="4">
        <v>1.149</v>
      </c>
      <c r="J101" s="4">
        <f t="shared" si="21"/>
        <v>9.9999999999988987E-5</v>
      </c>
      <c r="K101" s="7">
        <f t="shared" si="15"/>
        <v>4.7199</v>
      </c>
      <c r="L101" s="9">
        <v>45119.5625</v>
      </c>
      <c r="M101" s="9">
        <v>45120.541666666664</v>
      </c>
      <c r="N101" s="9">
        <v>45121.541666666664</v>
      </c>
      <c r="O101" s="4" t="s">
        <v>119</v>
      </c>
    </row>
    <row r="102" spans="1:15" ht="12.75" x14ac:dyDescent="0.2">
      <c r="A102" s="8">
        <v>45232</v>
      </c>
      <c r="B102" s="4" t="s">
        <v>16</v>
      </c>
      <c r="C102" s="4" t="s">
        <v>120</v>
      </c>
      <c r="D102" s="5">
        <v>13.28</v>
      </c>
      <c r="E102" s="4">
        <v>113.43</v>
      </c>
      <c r="F102" s="4">
        <f t="shared" si="14"/>
        <v>100.15</v>
      </c>
      <c r="G102" s="6">
        <v>45113</v>
      </c>
      <c r="J102" s="4">
        <f>SUM(J103:J107)</f>
        <v>1.0400000000000187E-2</v>
      </c>
      <c r="K102" s="7">
        <f t="shared" si="15"/>
        <v>100.1396</v>
      </c>
    </row>
    <row r="103" spans="1:15" ht="12.75" x14ac:dyDescent="0.2">
      <c r="A103" s="5" t="s">
        <v>121</v>
      </c>
      <c r="B103" s="4" t="s">
        <v>71</v>
      </c>
      <c r="C103" s="4" t="s">
        <v>120</v>
      </c>
      <c r="D103" s="5">
        <v>13.54</v>
      </c>
      <c r="E103" s="4">
        <v>13.6</v>
      </c>
      <c r="F103" s="4">
        <f t="shared" si="14"/>
        <v>6.0000000000000497E-2</v>
      </c>
      <c r="G103" s="6">
        <v>45113</v>
      </c>
      <c r="J103" s="4">
        <f>I103-H103</f>
        <v>0</v>
      </c>
      <c r="K103" s="7">
        <f t="shared" si="15"/>
        <v>6.0000000000000497E-2</v>
      </c>
      <c r="L103" s="9">
        <v>45119.5625</v>
      </c>
      <c r="M103" s="9">
        <v>45121.690972222219</v>
      </c>
      <c r="N103" s="9">
        <v>45122.666666666664</v>
      </c>
    </row>
    <row r="104" spans="1:15" ht="12.75" x14ac:dyDescent="0.2">
      <c r="A104" s="8">
        <v>45262</v>
      </c>
      <c r="B104" s="4" t="s">
        <v>19</v>
      </c>
      <c r="C104" s="4" t="s">
        <v>120</v>
      </c>
      <c r="D104" s="5">
        <v>13.26</v>
      </c>
      <c r="E104" s="4">
        <v>27.11</v>
      </c>
      <c r="F104" s="4">
        <f t="shared" si="14"/>
        <v>13.85</v>
      </c>
      <c r="G104" s="6">
        <v>45113</v>
      </c>
      <c r="H104" s="4">
        <v>1.1491</v>
      </c>
      <c r="I104" s="4">
        <v>1.1543000000000001</v>
      </c>
      <c r="J104" s="4">
        <f t="shared" ref="J104:J107" si="22">I104-H104</f>
        <v>5.2000000000000934E-3</v>
      </c>
      <c r="K104" s="7">
        <f t="shared" si="15"/>
        <v>13.844799999999999</v>
      </c>
      <c r="L104" s="9">
        <v>45120.541666666664</v>
      </c>
      <c r="M104" s="9">
        <v>45121.534722222219</v>
      </c>
      <c r="N104" s="9">
        <v>45122.666666666664</v>
      </c>
    </row>
    <row r="105" spans="1:15" ht="12.75" x14ac:dyDescent="0.2">
      <c r="A105" s="5" t="s">
        <v>122</v>
      </c>
      <c r="B105" s="4" t="s">
        <v>20</v>
      </c>
      <c r="C105" s="4" t="s">
        <v>120</v>
      </c>
      <c r="D105" s="5">
        <v>13.32</v>
      </c>
      <c r="E105" s="4">
        <v>41.45</v>
      </c>
      <c r="F105" s="4">
        <f t="shared" si="14"/>
        <v>28.130000000000003</v>
      </c>
      <c r="G105" s="6">
        <v>45113</v>
      </c>
      <c r="H105" s="4">
        <v>1.1491</v>
      </c>
      <c r="I105" s="4">
        <v>1.1511</v>
      </c>
      <c r="J105" s="4">
        <f t="shared" si="22"/>
        <v>2.0000000000000018E-3</v>
      </c>
      <c r="K105" s="7">
        <f t="shared" si="15"/>
        <v>28.128000000000004</v>
      </c>
      <c r="L105" s="9">
        <v>45120.541666666664</v>
      </c>
      <c r="M105" s="9">
        <v>45122.666666666664</v>
      </c>
      <c r="N105" s="9">
        <v>45123.666666666664</v>
      </c>
    </row>
    <row r="106" spans="1:15" ht="12.75" x14ac:dyDescent="0.2">
      <c r="A106" s="5" t="s">
        <v>123</v>
      </c>
      <c r="B106" s="4" t="s">
        <v>21</v>
      </c>
      <c r="C106" s="4" t="s">
        <v>120</v>
      </c>
      <c r="D106" s="5">
        <v>13.44</v>
      </c>
      <c r="E106" s="4">
        <v>51.66</v>
      </c>
      <c r="F106" s="4">
        <f t="shared" si="14"/>
        <v>38.22</v>
      </c>
      <c r="G106" s="6">
        <v>45113</v>
      </c>
      <c r="H106" s="4">
        <v>1.1491</v>
      </c>
      <c r="I106" s="4">
        <v>1.1523000000000001</v>
      </c>
      <c r="J106" s="4">
        <f t="shared" si="22"/>
        <v>3.2000000000000917E-3</v>
      </c>
      <c r="K106" s="7">
        <f t="shared" si="15"/>
        <v>38.216799999999999</v>
      </c>
      <c r="L106" s="9">
        <v>45120.541666666664</v>
      </c>
      <c r="M106" s="9">
        <v>45121.534722222219</v>
      </c>
      <c r="N106" s="9">
        <v>45122.666666666664</v>
      </c>
    </row>
    <row r="107" spans="1:15" ht="12.75" x14ac:dyDescent="0.2">
      <c r="A107" s="5" t="s">
        <v>124</v>
      </c>
      <c r="B107" s="4" t="s">
        <v>22</v>
      </c>
      <c r="C107" s="4" t="s">
        <v>120</v>
      </c>
      <c r="D107" s="5">
        <v>13.97</v>
      </c>
      <c r="E107" s="4">
        <v>20.04</v>
      </c>
      <c r="F107" s="4">
        <f t="shared" si="14"/>
        <v>6.0699999999999985</v>
      </c>
      <c r="G107" s="6">
        <v>45113</v>
      </c>
      <c r="J107" s="4">
        <f t="shared" si="22"/>
        <v>0</v>
      </c>
      <c r="K107" s="7">
        <f t="shared" si="15"/>
        <v>6.0699999999999985</v>
      </c>
      <c r="L107" s="9">
        <v>45118.75</v>
      </c>
      <c r="M107" s="9">
        <v>45119.520833333336</v>
      </c>
      <c r="N107" s="9">
        <v>45120.541666666664</v>
      </c>
    </row>
    <row r="108" spans="1:15" ht="12.75" x14ac:dyDescent="0.2">
      <c r="A108" s="5" t="s">
        <v>125</v>
      </c>
      <c r="B108" s="4" t="s">
        <v>16</v>
      </c>
      <c r="C108" s="4" t="s">
        <v>126</v>
      </c>
      <c r="D108" s="5">
        <v>13.34</v>
      </c>
      <c r="E108" s="4">
        <v>113.38</v>
      </c>
      <c r="F108" s="4">
        <f t="shared" si="14"/>
        <v>100.03999999999999</v>
      </c>
      <c r="G108" s="6">
        <v>45113</v>
      </c>
      <c r="J108" s="4">
        <f>SUM(J109:J113)</f>
        <v>2.1099999999999897E-2</v>
      </c>
      <c r="K108" s="7">
        <f t="shared" si="15"/>
        <v>100.01889999999999</v>
      </c>
    </row>
    <row r="109" spans="1:15" ht="12.75" x14ac:dyDescent="0.2">
      <c r="A109" s="5" t="s">
        <v>127</v>
      </c>
      <c r="B109" s="4" t="s">
        <v>71</v>
      </c>
      <c r="C109" s="4" t="s">
        <v>126</v>
      </c>
      <c r="D109" s="5">
        <v>13.55</v>
      </c>
      <c r="E109" s="4">
        <v>13.68</v>
      </c>
      <c r="F109" s="4">
        <f t="shared" si="14"/>
        <v>0.12999999999999901</v>
      </c>
      <c r="G109" s="6">
        <v>45113</v>
      </c>
      <c r="J109" s="4">
        <f>I109-H109</f>
        <v>0</v>
      </c>
      <c r="K109" s="7">
        <f t="shared" si="15"/>
        <v>0.12999999999999901</v>
      </c>
      <c r="L109" s="9">
        <v>45120.541666666664</v>
      </c>
      <c r="M109" s="9">
        <v>45121.534722222219</v>
      </c>
      <c r="N109" s="9">
        <v>45122.666666666664</v>
      </c>
    </row>
    <row r="110" spans="1:15" ht="12.75" x14ac:dyDescent="0.2">
      <c r="A110" s="5" t="s">
        <v>128</v>
      </c>
      <c r="B110" s="4" t="s">
        <v>19</v>
      </c>
      <c r="C110" s="4" t="s">
        <v>126</v>
      </c>
      <c r="D110" s="5">
        <v>13.33</v>
      </c>
      <c r="E110" s="4">
        <v>30.84</v>
      </c>
      <c r="F110" s="4">
        <f t="shared" si="14"/>
        <v>17.509999999999998</v>
      </c>
      <c r="G110" s="6">
        <v>45113</v>
      </c>
      <c r="H110" s="4">
        <v>1.1489</v>
      </c>
      <c r="I110" s="4">
        <v>1.159</v>
      </c>
      <c r="J110" s="4">
        <f t="shared" ref="J110:J113" si="23">I110-H110</f>
        <v>1.0099999999999998E-2</v>
      </c>
      <c r="K110" s="7">
        <f t="shared" si="15"/>
        <v>17.499899999999997</v>
      </c>
      <c r="L110" s="9">
        <v>45120.541666666664</v>
      </c>
      <c r="M110" s="9">
        <v>45121.534722222219</v>
      </c>
      <c r="N110" s="9">
        <v>45122.666666666664</v>
      </c>
    </row>
    <row r="111" spans="1:15" ht="12.75" x14ac:dyDescent="0.2">
      <c r="A111" s="5" t="s">
        <v>129</v>
      </c>
      <c r="B111" s="4" t="s">
        <v>20</v>
      </c>
      <c r="C111" s="4" t="s">
        <v>126</v>
      </c>
      <c r="D111" s="5">
        <v>13.4</v>
      </c>
      <c r="E111" s="4">
        <v>40.22</v>
      </c>
      <c r="F111" s="4">
        <f t="shared" si="14"/>
        <v>26.82</v>
      </c>
      <c r="G111" s="6">
        <v>45113</v>
      </c>
      <c r="H111" s="4">
        <v>1.1489</v>
      </c>
      <c r="I111" s="4">
        <v>1.1539999999999999</v>
      </c>
      <c r="J111" s="4">
        <f t="shared" si="23"/>
        <v>5.0999999999998824E-3</v>
      </c>
      <c r="K111" s="7">
        <f t="shared" si="15"/>
        <v>26.814900000000002</v>
      </c>
      <c r="L111" s="9">
        <v>45120.541666666664</v>
      </c>
      <c r="M111" s="9">
        <v>45122.666666666664</v>
      </c>
      <c r="N111" s="9">
        <v>45123.666666666664</v>
      </c>
    </row>
    <row r="112" spans="1:15" ht="12.75" x14ac:dyDescent="0.2">
      <c r="A112" s="5" t="s">
        <v>130</v>
      </c>
      <c r="B112" s="4" t="s">
        <v>21</v>
      </c>
      <c r="C112" s="4" t="s">
        <v>126</v>
      </c>
      <c r="D112" s="5">
        <v>13.66</v>
      </c>
      <c r="E112" s="4">
        <v>48.39</v>
      </c>
      <c r="F112" s="4">
        <f t="shared" si="14"/>
        <v>34.730000000000004</v>
      </c>
      <c r="G112" s="6">
        <v>45113</v>
      </c>
      <c r="H112" s="4">
        <v>1.1489</v>
      </c>
      <c r="I112" s="4">
        <v>1.1548</v>
      </c>
      <c r="J112" s="4">
        <f t="shared" si="23"/>
        <v>5.9000000000000163E-3</v>
      </c>
      <c r="K112" s="7">
        <f t="shared" si="15"/>
        <v>34.724100000000007</v>
      </c>
      <c r="L112" s="9">
        <v>45118.75</v>
      </c>
      <c r="M112" s="9">
        <v>45119.520833333336</v>
      </c>
      <c r="N112" s="9">
        <v>45120.541666666664</v>
      </c>
    </row>
    <row r="113" spans="1:15" ht="12.75" x14ac:dyDescent="0.2">
      <c r="A113" s="5" t="s">
        <v>131</v>
      </c>
      <c r="B113" s="4" t="s">
        <v>22</v>
      </c>
      <c r="C113" s="4" t="s">
        <v>126</v>
      </c>
      <c r="D113" s="5">
        <v>13.46</v>
      </c>
      <c r="E113" s="4">
        <v>18.04</v>
      </c>
      <c r="F113" s="4">
        <f t="shared" si="14"/>
        <v>4.5799999999999983</v>
      </c>
      <c r="G113" s="6">
        <v>45113</v>
      </c>
      <c r="J113" s="4">
        <f t="shared" si="23"/>
        <v>0</v>
      </c>
      <c r="K113" s="7">
        <f t="shared" si="15"/>
        <v>4.5799999999999983</v>
      </c>
      <c r="L113" s="9">
        <v>45118.75</v>
      </c>
      <c r="M113" s="9">
        <v>45119.520833333336</v>
      </c>
      <c r="N113" s="9">
        <v>45120.541666666664</v>
      </c>
    </row>
    <row r="114" spans="1:15" ht="12.75" x14ac:dyDescent="0.2">
      <c r="A114" s="5" t="s">
        <v>132</v>
      </c>
      <c r="B114" s="4" t="s">
        <v>16</v>
      </c>
      <c r="C114" s="4" t="s">
        <v>133</v>
      </c>
      <c r="D114" s="5">
        <v>13.3</v>
      </c>
      <c r="E114" s="4">
        <v>113.43</v>
      </c>
      <c r="F114" s="4">
        <f t="shared" si="14"/>
        <v>100.13000000000001</v>
      </c>
      <c r="G114" s="6">
        <v>45113</v>
      </c>
      <c r="J114" s="4">
        <f>SUM(J115:J119)</f>
        <v>7.6000000000000512E-3</v>
      </c>
      <c r="K114" s="7">
        <f t="shared" si="15"/>
        <v>100.12240000000001</v>
      </c>
      <c r="L114" s="9"/>
      <c r="O114" s="4" t="s">
        <v>134</v>
      </c>
    </row>
    <row r="115" spans="1:15" ht="12.75" x14ac:dyDescent="0.2">
      <c r="A115" s="5" t="s">
        <v>135</v>
      </c>
      <c r="B115" s="4" t="s">
        <v>71</v>
      </c>
      <c r="C115" s="4" t="s">
        <v>133</v>
      </c>
      <c r="D115" s="5">
        <v>13.48</v>
      </c>
      <c r="E115" s="4">
        <v>13.91</v>
      </c>
      <c r="F115" s="4">
        <f t="shared" si="14"/>
        <v>0.42999999999999972</v>
      </c>
      <c r="G115" s="6">
        <v>45113</v>
      </c>
      <c r="J115" s="4">
        <f>I115-H115</f>
        <v>0</v>
      </c>
      <c r="K115" s="7">
        <f t="shared" si="15"/>
        <v>0.42999999999999972</v>
      </c>
      <c r="L115" s="9">
        <v>45120.541666666664</v>
      </c>
      <c r="M115" s="9">
        <v>45123.6875</v>
      </c>
      <c r="N115" s="9">
        <v>45124.6875</v>
      </c>
      <c r="O115" s="4" t="s">
        <v>134</v>
      </c>
    </row>
    <row r="116" spans="1:15" ht="12.75" x14ac:dyDescent="0.2">
      <c r="A116" s="5" t="s">
        <v>136</v>
      </c>
      <c r="B116" s="4" t="s">
        <v>19</v>
      </c>
      <c r="C116" s="4" t="s">
        <v>133</v>
      </c>
      <c r="D116" s="5">
        <v>16.350000000000001</v>
      </c>
      <c r="E116" s="4">
        <v>22.75</v>
      </c>
      <c r="F116" s="4">
        <f t="shared" si="14"/>
        <v>6.3999999999999986</v>
      </c>
      <c r="G116" s="6">
        <v>45113</v>
      </c>
      <c r="H116" s="4">
        <v>1.1488</v>
      </c>
      <c r="I116" s="4">
        <v>1.1528</v>
      </c>
      <c r="J116" s="4">
        <f t="shared" ref="J116:J119" si="24">I116-H116</f>
        <v>4.0000000000000036E-3</v>
      </c>
      <c r="K116" s="7">
        <f t="shared" si="15"/>
        <v>6.395999999999999</v>
      </c>
      <c r="L116" s="9">
        <v>45120.541666666664</v>
      </c>
      <c r="M116" s="9">
        <v>45121.534722222219</v>
      </c>
      <c r="N116" s="9">
        <v>45122.666666666664</v>
      </c>
      <c r="O116" s="4" t="s">
        <v>134</v>
      </c>
    </row>
    <row r="117" spans="1:15" ht="12.75" x14ac:dyDescent="0.2">
      <c r="A117" s="5" t="s">
        <v>137</v>
      </c>
      <c r="B117" s="4" t="s">
        <v>20</v>
      </c>
      <c r="C117" s="4" t="s">
        <v>133</v>
      </c>
      <c r="D117" s="5">
        <v>13.32</v>
      </c>
      <c r="E117" s="4">
        <v>43.32</v>
      </c>
      <c r="F117" s="4">
        <f t="shared" si="14"/>
        <v>30</v>
      </c>
      <c r="G117" s="6">
        <v>45113</v>
      </c>
      <c r="H117" s="4">
        <v>1.1488</v>
      </c>
      <c r="I117" s="4">
        <v>1.1509</v>
      </c>
      <c r="J117" s="4">
        <f t="shared" si="24"/>
        <v>2.0999999999999908E-3</v>
      </c>
      <c r="K117" s="7">
        <f t="shared" si="15"/>
        <v>29.997900000000001</v>
      </c>
      <c r="L117" s="9">
        <v>45120.541666666664</v>
      </c>
      <c r="M117" s="9">
        <v>45123.6875</v>
      </c>
      <c r="N117" s="9">
        <v>45124.6875</v>
      </c>
      <c r="O117" s="4" t="s">
        <v>134</v>
      </c>
    </row>
    <row r="118" spans="1:15" ht="12.75" x14ac:dyDescent="0.2">
      <c r="A118" s="5" t="s">
        <v>138</v>
      </c>
      <c r="B118" s="4" t="s">
        <v>21</v>
      </c>
      <c r="C118" s="4" t="s">
        <v>133</v>
      </c>
      <c r="D118" s="5">
        <v>13.37</v>
      </c>
      <c r="E118" s="4">
        <v>50.93</v>
      </c>
      <c r="F118" s="4">
        <f t="shared" si="14"/>
        <v>37.56</v>
      </c>
      <c r="G118" s="6">
        <v>45113</v>
      </c>
      <c r="H118" s="4">
        <v>1.1488</v>
      </c>
      <c r="I118" s="4">
        <v>1.1503000000000001</v>
      </c>
      <c r="J118" s="4">
        <f t="shared" si="24"/>
        <v>1.5000000000000568E-3</v>
      </c>
      <c r="K118" s="7">
        <f t="shared" si="15"/>
        <v>37.558500000000002</v>
      </c>
      <c r="L118" s="9">
        <v>45120.541666666664</v>
      </c>
      <c r="M118" s="9">
        <v>45122.666666666664</v>
      </c>
      <c r="N118" s="9">
        <v>45123.666666666664</v>
      </c>
      <c r="O118" s="4" t="s">
        <v>134</v>
      </c>
    </row>
    <row r="119" spans="1:15" ht="12.75" x14ac:dyDescent="0.2">
      <c r="A119" s="5" t="s">
        <v>139</v>
      </c>
      <c r="B119" s="4" t="s">
        <v>22</v>
      </c>
      <c r="C119" s="4" t="s">
        <v>133</v>
      </c>
      <c r="D119" s="5">
        <v>13.54</v>
      </c>
      <c r="E119" s="4">
        <v>20.239999999999998</v>
      </c>
      <c r="F119" s="4">
        <f t="shared" si="14"/>
        <v>6.6999999999999993</v>
      </c>
      <c r="G119" s="6">
        <v>45113</v>
      </c>
      <c r="J119" s="4">
        <f t="shared" si="24"/>
        <v>0</v>
      </c>
      <c r="K119" s="7">
        <f t="shared" si="15"/>
        <v>6.6999999999999993</v>
      </c>
      <c r="L119" s="9">
        <v>45121.541666666664</v>
      </c>
      <c r="M119" s="9">
        <v>45122.666666666664</v>
      </c>
      <c r="N119" s="9">
        <v>45123.666666666664</v>
      </c>
      <c r="O119" s="4" t="s">
        <v>134</v>
      </c>
    </row>
    <row r="120" spans="1:15" ht="12.75" x14ac:dyDescent="0.2">
      <c r="A120" s="5" t="s">
        <v>140</v>
      </c>
      <c r="B120" s="4" t="s">
        <v>16</v>
      </c>
      <c r="C120" s="4" t="s">
        <v>141</v>
      </c>
      <c r="D120" s="5">
        <v>16.309999999999999</v>
      </c>
      <c r="E120" s="4">
        <v>116.73</v>
      </c>
      <c r="F120" s="4">
        <f t="shared" si="14"/>
        <v>100.42</v>
      </c>
      <c r="G120" s="6">
        <v>45113</v>
      </c>
      <c r="J120" s="4">
        <f>SUM(J121:J125)</f>
        <v>3.1199999999999672E-2</v>
      </c>
      <c r="K120" s="7">
        <f t="shared" si="15"/>
        <v>100.3888</v>
      </c>
    </row>
    <row r="121" spans="1:15" ht="12.75" x14ac:dyDescent="0.2">
      <c r="A121" s="5" t="s">
        <v>142</v>
      </c>
      <c r="B121" s="4" t="s">
        <v>71</v>
      </c>
      <c r="C121" s="4" t="s">
        <v>141</v>
      </c>
      <c r="D121" s="5">
        <v>13.32</v>
      </c>
      <c r="E121" s="4">
        <v>13.99</v>
      </c>
      <c r="F121" s="4">
        <f t="shared" si="14"/>
        <v>0.66999999999999993</v>
      </c>
      <c r="G121" s="6">
        <v>45113</v>
      </c>
      <c r="J121" s="4">
        <f>I121-H121</f>
        <v>0</v>
      </c>
      <c r="K121" s="7">
        <f t="shared" si="15"/>
        <v>0.66999999999999993</v>
      </c>
      <c r="L121" s="9">
        <v>45122.666666666664</v>
      </c>
      <c r="M121" s="9">
        <v>45124.6875</v>
      </c>
      <c r="N121" s="9">
        <v>45125.666666666664</v>
      </c>
    </row>
    <row r="122" spans="1:15" ht="12.75" x14ac:dyDescent="0.2">
      <c r="A122" s="5" t="s">
        <v>143</v>
      </c>
      <c r="B122" s="4" t="s">
        <v>19</v>
      </c>
      <c r="C122" s="4" t="s">
        <v>141</v>
      </c>
      <c r="D122" s="5">
        <v>13.42</v>
      </c>
      <c r="E122" s="4">
        <v>18.48</v>
      </c>
      <c r="F122" s="4">
        <f t="shared" si="14"/>
        <v>5.0600000000000005</v>
      </c>
      <c r="G122" s="6">
        <v>45113</v>
      </c>
      <c r="H122" s="4">
        <v>1.1488</v>
      </c>
      <c r="I122" s="4">
        <v>1.1733</v>
      </c>
      <c r="J122" s="4">
        <f t="shared" ref="J122:J125" si="25">I122-H122</f>
        <v>2.4499999999999966E-2</v>
      </c>
      <c r="K122" s="7">
        <f t="shared" si="15"/>
        <v>5.0355000000000008</v>
      </c>
      <c r="L122" s="9">
        <v>45122.666666666664</v>
      </c>
      <c r="M122" s="9">
        <v>45123.6875</v>
      </c>
      <c r="N122" s="9">
        <v>45124.6875</v>
      </c>
    </row>
    <row r="123" spans="1:15" ht="12.75" x14ac:dyDescent="0.2">
      <c r="A123" s="5" t="s">
        <v>144</v>
      </c>
      <c r="B123" s="4" t="s">
        <v>20</v>
      </c>
      <c r="C123" s="4" t="s">
        <v>141</v>
      </c>
      <c r="D123" s="5">
        <v>16.16</v>
      </c>
      <c r="E123" s="4">
        <v>38.31</v>
      </c>
      <c r="F123" s="4">
        <f t="shared" si="14"/>
        <v>22.150000000000002</v>
      </c>
      <c r="G123" s="6">
        <v>45113</v>
      </c>
      <c r="H123" s="4">
        <v>1.1488</v>
      </c>
      <c r="I123" s="4">
        <v>1.1516</v>
      </c>
      <c r="J123" s="4">
        <f t="shared" si="25"/>
        <v>2.7999999999999137E-3</v>
      </c>
      <c r="K123" s="7">
        <f t="shared" si="15"/>
        <v>22.147200000000002</v>
      </c>
      <c r="L123" s="9">
        <v>45122.666666666664</v>
      </c>
      <c r="M123" s="9">
        <v>45124.6875</v>
      </c>
      <c r="N123" s="9">
        <v>45125.666666666664</v>
      </c>
    </row>
    <row r="124" spans="1:15" ht="12.75" x14ac:dyDescent="0.2">
      <c r="A124" s="5" t="s">
        <v>145</v>
      </c>
      <c r="B124" s="4" t="s">
        <v>21</v>
      </c>
      <c r="C124" s="4" t="s">
        <v>141</v>
      </c>
      <c r="D124" s="5">
        <v>16.43</v>
      </c>
      <c r="E124" s="4">
        <v>66.62</v>
      </c>
      <c r="F124" s="4">
        <f t="shared" si="14"/>
        <v>50.190000000000005</v>
      </c>
      <c r="G124" s="6">
        <v>45113</v>
      </c>
      <c r="H124" s="4">
        <v>1.1488</v>
      </c>
      <c r="I124" s="4">
        <v>1.1518999999999999</v>
      </c>
      <c r="J124" s="4">
        <f t="shared" si="25"/>
        <v>3.0999999999998806E-3</v>
      </c>
      <c r="K124" s="7">
        <f t="shared" si="15"/>
        <v>50.186900000000009</v>
      </c>
      <c r="L124" s="9">
        <v>45118.75</v>
      </c>
      <c r="M124" s="9">
        <v>45119.520833333336</v>
      </c>
      <c r="N124" s="9">
        <v>45120.541666666664</v>
      </c>
    </row>
    <row r="125" spans="1:15" ht="12.75" x14ac:dyDescent="0.2">
      <c r="A125" s="5" t="s">
        <v>146</v>
      </c>
      <c r="B125" s="4" t="s">
        <v>22</v>
      </c>
      <c r="C125" s="4" t="s">
        <v>141</v>
      </c>
      <c r="D125" s="5">
        <v>13.55</v>
      </c>
      <c r="E125" s="4">
        <v>22.23</v>
      </c>
      <c r="F125" s="4">
        <f t="shared" si="14"/>
        <v>8.68</v>
      </c>
      <c r="G125" s="6">
        <v>45113</v>
      </c>
      <c r="H125" s="4">
        <v>1.1488</v>
      </c>
      <c r="I125" s="4">
        <v>1.1496</v>
      </c>
      <c r="J125" s="4">
        <f t="shared" si="25"/>
        <v>7.9999999999991189E-4</v>
      </c>
      <c r="K125" s="7">
        <f t="shared" si="15"/>
        <v>8.6791999999999998</v>
      </c>
      <c r="L125" s="9">
        <v>45118.75</v>
      </c>
      <c r="M125" s="9">
        <v>45119.520833333336</v>
      </c>
      <c r="N125" s="9">
        <v>45120.541666666664</v>
      </c>
    </row>
    <row r="126" spans="1:15" ht="12.75" x14ac:dyDescent="0.2">
      <c r="A126" s="5" t="s">
        <v>147</v>
      </c>
      <c r="B126" s="4" t="s">
        <v>16</v>
      </c>
      <c r="C126" s="4" t="s">
        <v>148</v>
      </c>
      <c r="D126" s="5">
        <v>16.170000000000002</v>
      </c>
      <c r="E126" s="4">
        <v>116.59</v>
      </c>
      <c r="F126" s="4">
        <f t="shared" si="14"/>
        <v>100.42</v>
      </c>
      <c r="G126" s="6">
        <v>45113</v>
      </c>
      <c r="J126" s="4">
        <f>SUM(J127:J131)</f>
        <v>4.3299999999999894E-2</v>
      </c>
      <c r="K126" s="7">
        <f t="shared" si="15"/>
        <v>100.3767</v>
      </c>
    </row>
    <row r="127" spans="1:15" ht="12.75" x14ac:dyDescent="0.2">
      <c r="A127" s="5" t="s">
        <v>149</v>
      </c>
      <c r="B127" s="4" t="s">
        <v>71</v>
      </c>
      <c r="C127" s="4" t="s">
        <v>148</v>
      </c>
      <c r="D127" s="5">
        <v>13.23</v>
      </c>
      <c r="E127" s="4">
        <v>13.58</v>
      </c>
      <c r="F127" s="4">
        <f t="shared" si="14"/>
        <v>0.34999999999999964</v>
      </c>
      <c r="G127" s="6">
        <v>45113</v>
      </c>
      <c r="J127" s="4">
        <f t="shared" ref="J127:J161" si="26">I127-H127</f>
        <v>0</v>
      </c>
      <c r="K127" s="7">
        <f t="shared" si="15"/>
        <v>0.34999999999999964</v>
      </c>
      <c r="L127" s="9">
        <v>45122.666666666664</v>
      </c>
      <c r="M127" s="9">
        <v>45126.4375</v>
      </c>
      <c r="N127" s="9">
        <v>43666.444444444445</v>
      </c>
    </row>
    <row r="128" spans="1:15" ht="12.75" x14ac:dyDescent="0.2">
      <c r="A128" s="5" t="s">
        <v>150</v>
      </c>
      <c r="B128" s="4" t="s">
        <v>19</v>
      </c>
      <c r="C128" s="4" t="s">
        <v>148</v>
      </c>
      <c r="D128" s="5">
        <v>16.190000000000001</v>
      </c>
      <c r="E128" s="4">
        <v>25.2</v>
      </c>
      <c r="F128" s="4">
        <f t="shared" si="14"/>
        <v>9.009999999999998</v>
      </c>
      <c r="G128" s="6">
        <v>45113</v>
      </c>
      <c r="H128" s="4">
        <v>1.1494</v>
      </c>
      <c r="I128" s="4">
        <v>1.1642999999999999</v>
      </c>
      <c r="J128" s="4">
        <f t="shared" si="26"/>
        <v>1.4899999999999913E-2</v>
      </c>
      <c r="K128" s="7">
        <f t="shared" si="15"/>
        <v>8.9950999999999972</v>
      </c>
      <c r="L128" s="9">
        <v>45122.666666666664</v>
      </c>
      <c r="M128" s="9">
        <v>45124.6875</v>
      </c>
      <c r="N128" s="6">
        <v>45125</v>
      </c>
    </row>
    <row r="129" spans="1:14" ht="12.75" x14ac:dyDescent="0.2">
      <c r="A129" s="5" t="s">
        <v>151</v>
      </c>
      <c r="B129" s="4" t="s">
        <v>20</v>
      </c>
      <c r="C129" s="4" t="s">
        <v>148</v>
      </c>
      <c r="D129" s="5">
        <v>16.43</v>
      </c>
      <c r="E129" s="4">
        <v>42.11</v>
      </c>
      <c r="F129" s="4">
        <f t="shared" si="14"/>
        <v>25.68</v>
      </c>
      <c r="G129" s="6">
        <v>45113</v>
      </c>
      <c r="H129" s="4">
        <v>1.1494</v>
      </c>
      <c r="I129" s="4">
        <v>1.1679999999999999</v>
      </c>
      <c r="J129" s="4">
        <f t="shared" si="26"/>
        <v>1.859999999999995E-2</v>
      </c>
      <c r="K129" s="7">
        <f t="shared" si="15"/>
        <v>25.6614</v>
      </c>
      <c r="L129" s="9">
        <v>45122.666666666664</v>
      </c>
      <c r="M129" s="9">
        <v>45123.6875</v>
      </c>
      <c r="N129" s="9">
        <v>45124.6875</v>
      </c>
    </row>
    <row r="130" spans="1:14" ht="12.75" x14ac:dyDescent="0.2">
      <c r="A130" s="5" t="s">
        <v>152</v>
      </c>
      <c r="B130" s="4" t="s">
        <v>21</v>
      </c>
      <c r="C130" s="4" t="s">
        <v>148</v>
      </c>
      <c r="D130" s="5">
        <v>16.27</v>
      </c>
      <c r="E130" s="4">
        <v>60.69</v>
      </c>
      <c r="F130" s="4">
        <f t="shared" ref="F130:F193" si="27">E130-D130</f>
        <v>44.42</v>
      </c>
      <c r="G130" s="6">
        <v>45113</v>
      </c>
      <c r="H130" s="4">
        <v>1.1494</v>
      </c>
      <c r="I130" s="4">
        <v>1.1541999999999999</v>
      </c>
      <c r="J130" s="4">
        <f t="shared" si="26"/>
        <v>4.7999999999999154E-3</v>
      </c>
      <c r="K130" s="7">
        <f t="shared" si="15"/>
        <v>44.415199999999999</v>
      </c>
      <c r="L130" s="9">
        <v>45122.666666666664</v>
      </c>
      <c r="M130" s="9">
        <v>45124.6875</v>
      </c>
      <c r="N130" s="9">
        <v>45125.6875</v>
      </c>
    </row>
    <row r="131" spans="1:14" ht="12.75" x14ac:dyDescent="0.2">
      <c r="A131" s="5" t="s">
        <v>153</v>
      </c>
      <c r="B131" s="4" t="s">
        <v>22</v>
      </c>
      <c r="C131" s="4" t="s">
        <v>148</v>
      </c>
      <c r="D131" s="5">
        <v>16.41</v>
      </c>
      <c r="E131" s="4">
        <v>24.46</v>
      </c>
      <c r="F131" s="4">
        <f t="shared" si="27"/>
        <v>8.0500000000000007</v>
      </c>
      <c r="G131" s="6">
        <v>45113</v>
      </c>
      <c r="H131" s="4">
        <v>1.1494</v>
      </c>
      <c r="I131" s="4">
        <v>1.1544000000000001</v>
      </c>
      <c r="J131" s="4">
        <f t="shared" si="26"/>
        <v>5.0000000000001155E-3</v>
      </c>
      <c r="K131" s="7">
        <f t="shared" ref="K131:K194" si="28">F131-J131</f>
        <v>8.0449999999999999</v>
      </c>
      <c r="L131" s="9">
        <v>45122.666666666664</v>
      </c>
      <c r="M131" s="9">
        <v>45123.6875</v>
      </c>
      <c r="N131" s="9">
        <v>45124.6875</v>
      </c>
    </row>
    <row r="132" spans="1:14" ht="12.75" x14ac:dyDescent="0.2">
      <c r="A132" s="5" t="s">
        <v>154</v>
      </c>
      <c r="B132" s="4" t="s">
        <v>16</v>
      </c>
      <c r="C132" s="4" t="s">
        <v>155</v>
      </c>
      <c r="D132" s="5">
        <v>13.39</v>
      </c>
      <c r="E132" s="4">
        <v>113.98</v>
      </c>
      <c r="F132" s="4">
        <f t="shared" si="27"/>
        <v>100.59</v>
      </c>
      <c r="G132" s="6">
        <v>45119</v>
      </c>
      <c r="J132" s="4">
        <f>SUM(J133:J137)</f>
        <v>3.0999999999999694E-2</v>
      </c>
      <c r="K132" s="7">
        <f t="shared" si="28"/>
        <v>100.559</v>
      </c>
    </row>
    <row r="133" spans="1:14" ht="12.75" x14ac:dyDescent="0.2">
      <c r="A133" s="5" t="s">
        <v>156</v>
      </c>
      <c r="B133" s="4" t="s">
        <v>71</v>
      </c>
      <c r="C133" s="4" t="s">
        <v>155</v>
      </c>
      <c r="D133" s="5">
        <v>13.48</v>
      </c>
      <c r="E133" s="4">
        <v>13.62</v>
      </c>
      <c r="F133" s="4">
        <f t="shared" si="27"/>
        <v>0.13999999999999879</v>
      </c>
      <c r="G133" s="6">
        <v>45119</v>
      </c>
      <c r="J133" s="4">
        <f t="shared" si="26"/>
        <v>0</v>
      </c>
      <c r="K133" s="7">
        <f t="shared" si="28"/>
        <v>0.13999999999999879</v>
      </c>
      <c r="L133" s="9">
        <v>45122.666666666664</v>
      </c>
      <c r="M133" s="9">
        <v>45126.4375</v>
      </c>
      <c r="N133" s="9">
        <v>43666.444444444445</v>
      </c>
    </row>
    <row r="134" spans="1:14" ht="12.75" x14ac:dyDescent="0.2">
      <c r="A134" s="5" t="s">
        <v>157</v>
      </c>
      <c r="B134" s="4" t="s">
        <v>19</v>
      </c>
      <c r="C134" s="4" t="s">
        <v>155</v>
      </c>
      <c r="D134" s="5">
        <v>15.98</v>
      </c>
      <c r="E134" s="4">
        <v>23.82</v>
      </c>
      <c r="F134" s="4">
        <f t="shared" si="27"/>
        <v>7.84</v>
      </c>
      <c r="G134" s="6">
        <v>45119</v>
      </c>
      <c r="H134" s="4">
        <v>1.1486000000000001</v>
      </c>
      <c r="I134" s="4">
        <v>1.1559999999999999</v>
      </c>
      <c r="J134" s="4">
        <f t="shared" si="26"/>
        <v>7.3999999999998511E-3</v>
      </c>
      <c r="K134" s="7">
        <f t="shared" si="28"/>
        <v>7.8326000000000002</v>
      </c>
      <c r="L134" s="9">
        <v>45123.6875</v>
      </c>
      <c r="M134" s="9">
        <v>45125.677083333336</v>
      </c>
      <c r="N134" s="9">
        <v>45126.680555555555</v>
      </c>
    </row>
    <row r="135" spans="1:14" ht="12.75" x14ac:dyDescent="0.2">
      <c r="A135" s="5" t="s">
        <v>158</v>
      </c>
      <c r="B135" s="4" t="s">
        <v>20</v>
      </c>
      <c r="C135" s="4" t="s">
        <v>155</v>
      </c>
      <c r="D135" s="5">
        <v>16.12</v>
      </c>
      <c r="E135" s="4">
        <v>40.380000000000003</v>
      </c>
      <c r="F135" s="4">
        <f t="shared" si="27"/>
        <v>24.26</v>
      </c>
      <c r="G135" s="6">
        <v>45119</v>
      </c>
      <c r="H135" s="4">
        <v>1.1486000000000001</v>
      </c>
      <c r="I135" s="4">
        <v>1.1721999999999999</v>
      </c>
      <c r="J135" s="4">
        <f t="shared" si="26"/>
        <v>2.3599999999999843E-2</v>
      </c>
      <c r="K135" s="7">
        <f t="shared" si="28"/>
        <v>24.236400000000003</v>
      </c>
      <c r="L135" s="9">
        <v>45123.6875</v>
      </c>
      <c r="M135" s="9">
        <v>45129.739583333336</v>
      </c>
      <c r="N135" s="9">
        <v>45130.739583333336</v>
      </c>
    </row>
    <row r="136" spans="1:14" ht="12.75" x14ac:dyDescent="0.2">
      <c r="A136" s="5" t="s">
        <v>159</v>
      </c>
      <c r="B136" s="4" t="s">
        <v>21</v>
      </c>
      <c r="C136" s="4" t="s">
        <v>155</v>
      </c>
      <c r="D136" s="5">
        <v>16.3</v>
      </c>
      <c r="E136" s="4">
        <v>65.95</v>
      </c>
      <c r="F136" s="4">
        <f t="shared" si="27"/>
        <v>49.650000000000006</v>
      </c>
      <c r="G136" s="6">
        <v>45119</v>
      </c>
      <c r="J136" s="4">
        <f t="shared" si="26"/>
        <v>0</v>
      </c>
      <c r="K136" s="7">
        <f t="shared" si="28"/>
        <v>49.650000000000006</v>
      </c>
      <c r="L136" s="9">
        <v>45123.6875</v>
      </c>
      <c r="M136" s="9">
        <v>45126.4375</v>
      </c>
      <c r="N136" s="9">
        <v>45127.444444444445</v>
      </c>
    </row>
    <row r="137" spans="1:14" ht="12.75" x14ac:dyDescent="0.2">
      <c r="A137" s="5" t="s">
        <v>160</v>
      </c>
      <c r="B137" s="4" t="s">
        <v>22</v>
      </c>
      <c r="C137" s="4" t="s">
        <v>155</v>
      </c>
      <c r="D137" s="5">
        <v>16.16</v>
      </c>
      <c r="E137" s="4">
        <v>22.2</v>
      </c>
      <c r="F137" s="4">
        <f t="shared" si="27"/>
        <v>6.0399999999999991</v>
      </c>
      <c r="G137" s="6">
        <v>45119</v>
      </c>
      <c r="J137" s="4">
        <f t="shared" si="26"/>
        <v>0</v>
      </c>
      <c r="K137" s="7">
        <f t="shared" si="28"/>
        <v>6.0399999999999991</v>
      </c>
      <c r="L137" s="9">
        <v>45123.6875</v>
      </c>
      <c r="M137" s="9">
        <v>45130.739583333336</v>
      </c>
      <c r="N137" s="9">
        <v>45130.694444444445</v>
      </c>
    </row>
    <row r="138" spans="1:14" ht="12.75" x14ac:dyDescent="0.2">
      <c r="A138" s="5" t="s">
        <v>161</v>
      </c>
      <c r="B138" s="4" t="s">
        <v>16</v>
      </c>
      <c r="C138" s="4" t="s">
        <v>162</v>
      </c>
      <c r="D138" s="5">
        <v>16.34</v>
      </c>
      <c r="E138" s="4">
        <v>116.4</v>
      </c>
      <c r="F138" s="4">
        <f t="shared" si="27"/>
        <v>100.06</v>
      </c>
      <c r="G138" s="6">
        <v>45119</v>
      </c>
      <c r="J138" s="4">
        <f>SUM(J139:J143)</f>
        <v>5.1999999999998714E-3</v>
      </c>
      <c r="K138" s="7">
        <f t="shared" si="28"/>
        <v>100.0548</v>
      </c>
    </row>
    <row r="139" spans="1:14" ht="12.75" x14ac:dyDescent="0.2">
      <c r="A139" s="5" t="s">
        <v>163</v>
      </c>
      <c r="B139" s="4" t="s">
        <v>71</v>
      </c>
      <c r="C139" s="4" t="s">
        <v>162</v>
      </c>
      <c r="D139" s="5">
        <v>13.46</v>
      </c>
      <c r="E139" s="4">
        <v>13.53</v>
      </c>
      <c r="F139" s="4">
        <f t="shared" si="27"/>
        <v>6.9999999999998508E-2</v>
      </c>
      <c r="G139" s="6">
        <v>45119</v>
      </c>
      <c r="J139" s="4">
        <f t="shared" si="26"/>
        <v>0</v>
      </c>
      <c r="K139" s="7">
        <f t="shared" si="28"/>
        <v>6.9999999999998508E-2</v>
      </c>
      <c r="L139" s="9">
        <v>45123.6875</v>
      </c>
      <c r="M139" s="9">
        <v>45129.739583333336</v>
      </c>
      <c r="N139" s="9">
        <v>45130.739583333336</v>
      </c>
    </row>
    <row r="140" spans="1:14" ht="12.75" x14ac:dyDescent="0.2">
      <c r="A140" s="5" t="s">
        <v>164</v>
      </c>
      <c r="B140" s="4" t="s">
        <v>19</v>
      </c>
      <c r="C140" s="4" t="s">
        <v>162</v>
      </c>
      <c r="D140" s="5">
        <v>16.46</v>
      </c>
      <c r="E140" s="4">
        <v>30.96</v>
      </c>
      <c r="F140" s="4">
        <f t="shared" si="27"/>
        <v>14.5</v>
      </c>
      <c r="G140" s="6">
        <v>45119</v>
      </c>
      <c r="H140" s="4">
        <v>1.1488</v>
      </c>
      <c r="I140" s="4">
        <v>1.1533</v>
      </c>
      <c r="J140" s="4">
        <f t="shared" si="26"/>
        <v>4.4999999999999485E-3</v>
      </c>
      <c r="K140" s="7">
        <f t="shared" si="28"/>
        <v>14.4955</v>
      </c>
      <c r="L140" s="9">
        <v>45123.6875</v>
      </c>
      <c r="M140" s="9">
        <v>45124.6875</v>
      </c>
      <c r="N140" s="9">
        <v>45125.666666666664</v>
      </c>
    </row>
    <row r="141" spans="1:14" ht="12.75" x14ac:dyDescent="0.2">
      <c r="A141" s="5" t="s">
        <v>165</v>
      </c>
      <c r="B141" s="4" t="s">
        <v>20</v>
      </c>
      <c r="C141" s="4" t="s">
        <v>162</v>
      </c>
      <c r="D141" s="5">
        <v>16.09</v>
      </c>
      <c r="E141" s="4">
        <v>42.61</v>
      </c>
      <c r="F141" s="4">
        <f t="shared" si="27"/>
        <v>26.52</v>
      </c>
      <c r="G141" s="6">
        <v>45119</v>
      </c>
      <c r="H141" s="4">
        <v>1.1488</v>
      </c>
      <c r="I141" s="4">
        <v>1.1495</v>
      </c>
      <c r="J141" s="4">
        <f t="shared" si="26"/>
        <v>6.9999999999992291E-4</v>
      </c>
      <c r="K141" s="7">
        <f t="shared" si="28"/>
        <v>26.519300000000001</v>
      </c>
      <c r="L141" s="9">
        <v>45124.989583333336</v>
      </c>
      <c r="M141" s="9">
        <v>45129.739583333336</v>
      </c>
      <c r="N141" s="9">
        <v>45130.739583333336</v>
      </c>
    </row>
    <row r="142" spans="1:14" ht="12.75" x14ac:dyDescent="0.2">
      <c r="A142" s="5" t="s">
        <v>166</v>
      </c>
      <c r="B142" s="4" t="s">
        <v>21</v>
      </c>
      <c r="C142" s="4" t="s">
        <v>162</v>
      </c>
      <c r="D142" s="5">
        <v>16.16</v>
      </c>
      <c r="E142" s="4">
        <v>62.52</v>
      </c>
      <c r="F142" s="4">
        <f t="shared" si="27"/>
        <v>46.36</v>
      </c>
      <c r="G142" s="6">
        <v>45119</v>
      </c>
      <c r="J142" s="4">
        <f t="shared" si="26"/>
        <v>0</v>
      </c>
      <c r="K142" s="7">
        <f t="shared" si="28"/>
        <v>46.36</v>
      </c>
      <c r="L142" s="9">
        <v>45124.989583333336</v>
      </c>
      <c r="M142" s="9">
        <v>45125.677083333336</v>
      </c>
      <c r="N142" s="9">
        <v>45126.680555555555</v>
      </c>
    </row>
    <row r="143" spans="1:14" ht="12.75" x14ac:dyDescent="0.2">
      <c r="A143" s="5" t="s">
        <v>167</v>
      </c>
      <c r="B143" s="4" t="s">
        <v>22</v>
      </c>
      <c r="C143" s="4" t="s">
        <v>162</v>
      </c>
      <c r="D143" s="5">
        <v>13.28</v>
      </c>
      <c r="E143" s="4">
        <v>17.149999999999999</v>
      </c>
      <c r="F143" s="4">
        <f t="shared" si="27"/>
        <v>3.8699999999999992</v>
      </c>
      <c r="G143" s="6">
        <v>45119</v>
      </c>
      <c r="J143" s="4">
        <f t="shared" si="26"/>
        <v>0</v>
      </c>
      <c r="K143" s="7">
        <f t="shared" si="28"/>
        <v>3.8699999999999992</v>
      </c>
      <c r="L143" s="9">
        <v>45124.989583333336</v>
      </c>
      <c r="M143" s="9">
        <v>45128.666666666664</v>
      </c>
      <c r="N143" s="9">
        <v>45129.736111111109</v>
      </c>
    </row>
    <row r="144" spans="1:14" ht="12.75" x14ac:dyDescent="0.2">
      <c r="A144" s="5" t="s">
        <v>168</v>
      </c>
      <c r="B144" s="4" t="s">
        <v>16</v>
      </c>
      <c r="C144" s="4" t="s">
        <v>169</v>
      </c>
      <c r="D144" s="5">
        <v>13.36</v>
      </c>
      <c r="E144" s="4">
        <v>113.69</v>
      </c>
      <c r="F144" s="4">
        <f t="shared" si="27"/>
        <v>100.33</v>
      </c>
      <c r="G144" s="6">
        <v>45119</v>
      </c>
      <c r="J144" s="4">
        <f>SUM(J145:J149)</f>
        <v>1.9399999999999862E-2</v>
      </c>
      <c r="K144" s="7">
        <f t="shared" si="28"/>
        <v>100.31059999999999</v>
      </c>
      <c r="L144" s="9"/>
    </row>
    <row r="145" spans="1:14" ht="12.75" x14ac:dyDescent="0.2">
      <c r="A145" s="5" t="s">
        <v>170</v>
      </c>
      <c r="B145" s="4" t="s">
        <v>71</v>
      </c>
      <c r="C145" s="4" t="s">
        <v>169</v>
      </c>
      <c r="D145" s="5">
        <v>16.27</v>
      </c>
      <c r="E145" s="4">
        <v>16.61</v>
      </c>
      <c r="F145" s="4">
        <f t="shared" si="27"/>
        <v>0.33999999999999986</v>
      </c>
      <c r="G145" s="6">
        <v>45119</v>
      </c>
      <c r="J145" s="4">
        <f t="shared" si="26"/>
        <v>0</v>
      </c>
      <c r="K145" s="7">
        <f t="shared" si="28"/>
        <v>0.33999999999999986</v>
      </c>
      <c r="L145" s="9">
        <v>45124.989583333336</v>
      </c>
      <c r="M145" s="9">
        <v>45128.666666666664</v>
      </c>
      <c r="N145" s="9">
        <v>45129.739583333336</v>
      </c>
    </row>
    <row r="146" spans="1:14" ht="12.75" x14ac:dyDescent="0.2">
      <c r="A146" s="5" t="s">
        <v>171</v>
      </c>
      <c r="B146" s="4" t="s">
        <v>19</v>
      </c>
      <c r="C146" s="4" t="s">
        <v>169</v>
      </c>
      <c r="D146" s="5">
        <v>16.170000000000002</v>
      </c>
      <c r="E146" s="4">
        <v>28.95</v>
      </c>
      <c r="F146" s="4">
        <f t="shared" si="27"/>
        <v>12.779999999999998</v>
      </c>
      <c r="G146" s="6">
        <v>45119</v>
      </c>
      <c r="H146" s="4">
        <v>1.1487000000000001</v>
      </c>
      <c r="I146" s="4">
        <v>1.1658999999999999</v>
      </c>
      <c r="J146" s="4">
        <f t="shared" si="26"/>
        <v>1.7199999999999882E-2</v>
      </c>
      <c r="K146" s="7">
        <f t="shared" si="28"/>
        <v>12.762799999999999</v>
      </c>
      <c r="L146" s="9">
        <v>45124.989583333336</v>
      </c>
      <c r="M146" s="9">
        <v>45126.4375</v>
      </c>
      <c r="N146" s="9">
        <v>45127.444444444445</v>
      </c>
    </row>
    <row r="147" spans="1:14" ht="12.75" x14ac:dyDescent="0.2">
      <c r="A147" s="5" t="s">
        <v>172</v>
      </c>
      <c r="B147" s="4" t="s">
        <v>20</v>
      </c>
      <c r="C147" s="4" t="s">
        <v>169</v>
      </c>
      <c r="D147" s="5">
        <v>13.39</v>
      </c>
      <c r="E147" s="4">
        <v>45.82</v>
      </c>
      <c r="F147" s="4">
        <f t="shared" si="27"/>
        <v>32.43</v>
      </c>
      <c r="G147" s="6">
        <v>45119</v>
      </c>
      <c r="H147" s="4">
        <v>1.1487000000000001</v>
      </c>
      <c r="I147" s="4">
        <v>1.1492</v>
      </c>
      <c r="J147" s="4">
        <f t="shared" si="26"/>
        <v>4.9999999999994493E-4</v>
      </c>
      <c r="K147" s="7">
        <f t="shared" si="28"/>
        <v>32.429499999999997</v>
      </c>
      <c r="L147" s="9">
        <v>45124.989583333336</v>
      </c>
      <c r="M147" s="9">
        <v>45129.739583333336</v>
      </c>
      <c r="N147" s="9">
        <v>45130.739583333336</v>
      </c>
    </row>
    <row r="148" spans="1:14" ht="12.75" x14ac:dyDescent="0.2">
      <c r="A148" s="5" t="s">
        <v>173</v>
      </c>
      <c r="B148" s="4" t="s">
        <v>21</v>
      </c>
      <c r="C148" s="4" t="s">
        <v>169</v>
      </c>
      <c r="D148" s="5">
        <v>13.26</v>
      </c>
      <c r="E148" s="4">
        <v>51.39</v>
      </c>
      <c r="F148" s="4">
        <f t="shared" si="27"/>
        <v>38.130000000000003</v>
      </c>
      <c r="G148" s="6">
        <v>45119</v>
      </c>
      <c r="H148" s="4">
        <v>1.1487000000000001</v>
      </c>
      <c r="I148" s="4">
        <v>1.1504000000000001</v>
      </c>
      <c r="J148" s="4">
        <f t="shared" si="26"/>
        <v>1.7000000000000348E-3</v>
      </c>
      <c r="K148" s="7">
        <f t="shared" si="28"/>
        <v>38.128300000000003</v>
      </c>
      <c r="L148" s="9">
        <v>45124.989583333336</v>
      </c>
      <c r="M148" s="9">
        <v>45126.4375</v>
      </c>
      <c r="N148" s="9">
        <v>45127.444444444445</v>
      </c>
    </row>
    <row r="149" spans="1:14" ht="12.75" x14ac:dyDescent="0.2">
      <c r="A149" s="5" t="s">
        <v>174</v>
      </c>
      <c r="B149" s="4" t="s">
        <v>22</v>
      </c>
      <c r="C149" s="4" t="s">
        <v>169</v>
      </c>
      <c r="D149" s="5">
        <v>13.21</v>
      </c>
      <c r="E149" s="4">
        <v>17.93</v>
      </c>
      <c r="F149" s="4">
        <f t="shared" si="27"/>
        <v>4.7199999999999989</v>
      </c>
      <c r="G149" s="6">
        <v>45119</v>
      </c>
      <c r="J149" s="4">
        <f t="shared" si="26"/>
        <v>0</v>
      </c>
      <c r="K149" s="7">
        <f t="shared" si="28"/>
        <v>4.7199999999999989</v>
      </c>
      <c r="L149" s="9">
        <v>45124.989583333336</v>
      </c>
      <c r="M149" s="9">
        <v>45126.4375</v>
      </c>
      <c r="N149" s="9">
        <v>45127.444444444445</v>
      </c>
    </row>
    <row r="150" spans="1:14" ht="12.75" x14ac:dyDescent="0.2">
      <c r="A150" s="5" t="s">
        <v>175</v>
      </c>
      <c r="B150" s="4" t="s">
        <v>16</v>
      </c>
      <c r="C150" s="4" t="s">
        <v>176</v>
      </c>
      <c r="D150" s="5">
        <v>13.54</v>
      </c>
      <c r="E150" s="4">
        <v>113.95</v>
      </c>
      <c r="F150" s="4">
        <f t="shared" si="27"/>
        <v>100.41</v>
      </c>
      <c r="G150" s="6">
        <v>45119</v>
      </c>
      <c r="J150" s="4">
        <f>SUM(J151:J155)</f>
        <v>3.0699999999999728E-2</v>
      </c>
      <c r="K150" s="7">
        <f t="shared" si="28"/>
        <v>100.3793</v>
      </c>
    </row>
    <row r="151" spans="1:14" ht="12.75" x14ac:dyDescent="0.2">
      <c r="A151" s="5" t="s">
        <v>177</v>
      </c>
      <c r="B151" s="4" t="s">
        <v>71</v>
      </c>
      <c r="C151" s="4" t="s">
        <v>176</v>
      </c>
      <c r="D151" s="5">
        <v>13.58</v>
      </c>
      <c r="E151" s="4">
        <v>13.76</v>
      </c>
      <c r="F151" s="4">
        <f t="shared" si="27"/>
        <v>0.17999999999999972</v>
      </c>
      <c r="G151" s="6">
        <v>45119</v>
      </c>
      <c r="J151" s="4">
        <f t="shared" si="26"/>
        <v>0</v>
      </c>
      <c r="K151" s="7">
        <f t="shared" si="28"/>
        <v>0.17999999999999972</v>
      </c>
      <c r="L151" s="9">
        <v>45124.989583333336</v>
      </c>
      <c r="M151" s="9">
        <v>45130.739583333336</v>
      </c>
      <c r="N151" s="9">
        <v>45131.694444444445</v>
      </c>
    </row>
    <row r="152" spans="1:14" ht="12.75" x14ac:dyDescent="0.2">
      <c r="A152" s="5" t="s">
        <v>178</v>
      </c>
      <c r="B152" s="4" t="s">
        <v>19</v>
      </c>
      <c r="C152" s="4" t="s">
        <v>176</v>
      </c>
      <c r="D152" s="5">
        <v>13.47</v>
      </c>
      <c r="E152" s="4">
        <v>21.95</v>
      </c>
      <c r="F152" s="4">
        <f t="shared" si="27"/>
        <v>8.4799999999999986</v>
      </c>
      <c r="G152" s="6">
        <v>45119</v>
      </c>
      <c r="H152" s="4">
        <v>1.1487000000000001</v>
      </c>
      <c r="I152" s="4">
        <v>1.1659999999999999</v>
      </c>
      <c r="J152" s="4">
        <f t="shared" si="26"/>
        <v>1.7299999999999871E-2</v>
      </c>
      <c r="K152" s="7">
        <f t="shared" si="28"/>
        <v>8.4626999999999981</v>
      </c>
      <c r="L152" s="9">
        <v>45124.989583333336</v>
      </c>
      <c r="M152" s="9">
        <v>45129.739583333336</v>
      </c>
      <c r="N152" s="9">
        <v>45130.739583333336</v>
      </c>
    </row>
    <row r="153" spans="1:14" ht="12.75" x14ac:dyDescent="0.2">
      <c r="A153" s="5" t="s">
        <v>179</v>
      </c>
      <c r="B153" s="4" t="s">
        <v>20</v>
      </c>
      <c r="C153" s="4" t="s">
        <v>176</v>
      </c>
      <c r="D153" s="5">
        <v>13.98</v>
      </c>
      <c r="E153" s="4">
        <v>38.950000000000003</v>
      </c>
      <c r="F153" s="4">
        <f t="shared" si="27"/>
        <v>24.970000000000002</v>
      </c>
      <c r="G153" s="6">
        <v>45119</v>
      </c>
      <c r="H153" s="4">
        <v>1.1487000000000001</v>
      </c>
      <c r="I153" s="4">
        <v>1.1617</v>
      </c>
      <c r="J153" s="4">
        <f t="shared" si="26"/>
        <v>1.2999999999999901E-2</v>
      </c>
      <c r="K153" s="7">
        <f t="shared" si="28"/>
        <v>24.957000000000001</v>
      </c>
      <c r="L153" s="9">
        <v>45124.701388888891</v>
      </c>
      <c r="M153" s="9">
        <v>45130.739583333336</v>
      </c>
      <c r="N153" s="9">
        <v>45131.694444444445</v>
      </c>
    </row>
    <row r="154" spans="1:14" ht="12.75" x14ac:dyDescent="0.2">
      <c r="A154" s="5" t="s">
        <v>180</v>
      </c>
      <c r="B154" s="4" t="s">
        <v>21</v>
      </c>
      <c r="C154" s="4" t="s">
        <v>176</v>
      </c>
      <c r="D154" s="5">
        <v>15.84</v>
      </c>
      <c r="E154" s="4">
        <v>64.62</v>
      </c>
      <c r="F154" s="4">
        <f t="shared" si="27"/>
        <v>48.78</v>
      </c>
      <c r="G154" s="6">
        <v>45119</v>
      </c>
      <c r="J154" s="4">
        <f t="shared" si="26"/>
        <v>0</v>
      </c>
      <c r="K154" s="7">
        <f t="shared" si="28"/>
        <v>48.78</v>
      </c>
      <c r="L154" s="9">
        <v>45124.701388888891</v>
      </c>
      <c r="M154" s="9">
        <v>45129.739583333336</v>
      </c>
      <c r="N154" s="9">
        <v>45130.739583333336</v>
      </c>
    </row>
    <row r="155" spans="1:14" ht="12.75" x14ac:dyDescent="0.2">
      <c r="A155" s="5" t="s">
        <v>181</v>
      </c>
      <c r="B155" s="4" t="s">
        <v>22</v>
      </c>
      <c r="C155" s="4" t="s">
        <v>176</v>
      </c>
      <c r="D155" s="5">
        <v>13.67</v>
      </c>
      <c r="E155" s="4">
        <v>19.93</v>
      </c>
      <c r="F155" s="4">
        <f t="shared" si="27"/>
        <v>6.26</v>
      </c>
      <c r="G155" s="6">
        <v>45119</v>
      </c>
      <c r="H155" s="4">
        <v>1.1487000000000001</v>
      </c>
      <c r="I155" s="4">
        <v>1.1491</v>
      </c>
      <c r="J155" s="4">
        <f t="shared" si="26"/>
        <v>3.9999999999995595E-4</v>
      </c>
      <c r="K155" s="7">
        <f t="shared" si="28"/>
        <v>6.2595999999999998</v>
      </c>
      <c r="L155" s="9">
        <v>45141.520833333336</v>
      </c>
      <c r="M155" s="9">
        <v>45141.520833333336</v>
      </c>
      <c r="N155" s="9">
        <v>45143.729166666664</v>
      </c>
    </row>
    <row r="156" spans="1:14" ht="12.75" x14ac:dyDescent="0.2">
      <c r="A156" s="5" t="s">
        <v>182</v>
      </c>
      <c r="B156" s="4" t="s">
        <v>16</v>
      </c>
      <c r="C156" s="4" t="s">
        <v>183</v>
      </c>
      <c r="D156" s="5">
        <v>13.49</v>
      </c>
      <c r="E156" s="4">
        <v>114</v>
      </c>
      <c r="F156" s="4">
        <f t="shared" si="27"/>
        <v>100.51</v>
      </c>
      <c r="G156" s="6">
        <v>45120</v>
      </c>
      <c r="J156" s="4">
        <f>SUM(J157:J161)</f>
        <v>3.5500000000000087E-2</v>
      </c>
      <c r="K156" s="7">
        <f t="shared" si="28"/>
        <v>100.47450000000001</v>
      </c>
    </row>
    <row r="157" spans="1:14" ht="12.75" x14ac:dyDescent="0.2">
      <c r="A157" s="5" t="s">
        <v>184</v>
      </c>
      <c r="B157" s="4" t="s">
        <v>71</v>
      </c>
      <c r="C157" s="4" t="s">
        <v>183</v>
      </c>
      <c r="D157" s="5">
        <v>13.52</v>
      </c>
      <c r="E157" s="4">
        <v>13.84</v>
      </c>
      <c r="F157" s="4">
        <f t="shared" si="27"/>
        <v>0.32000000000000028</v>
      </c>
      <c r="G157" s="6">
        <v>45120</v>
      </c>
      <c r="J157" s="4">
        <f t="shared" si="26"/>
        <v>0</v>
      </c>
      <c r="K157" s="7">
        <f t="shared" si="28"/>
        <v>0.32000000000000028</v>
      </c>
      <c r="L157" s="9">
        <v>45124.701388888891</v>
      </c>
      <c r="M157" s="9">
        <v>45130.739583333336</v>
      </c>
      <c r="N157" s="9">
        <v>45131.694444444445</v>
      </c>
    </row>
    <row r="158" spans="1:14" ht="12.75" x14ac:dyDescent="0.2">
      <c r="A158" s="5" t="s">
        <v>185</v>
      </c>
      <c r="B158" s="4" t="s">
        <v>19</v>
      </c>
      <c r="C158" s="4" t="s">
        <v>183</v>
      </c>
      <c r="D158" s="5">
        <v>13.49</v>
      </c>
      <c r="E158" s="4">
        <v>18.52</v>
      </c>
      <c r="F158" s="4">
        <f t="shared" si="27"/>
        <v>5.0299999999999994</v>
      </c>
      <c r="G158" s="6">
        <v>45120</v>
      </c>
      <c r="H158" s="4">
        <v>1.1488</v>
      </c>
      <c r="I158" s="4">
        <v>1.1671</v>
      </c>
      <c r="J158" s="4">
        <f t="shared" si="26"/>
        <v>1.8299999999999983E-2</v>
      </c>
      <c r="K158" s="7">
        <f t="shared" si="28"/>
        <v>5.0116999999999994</v>
      </c>
      <c r="L158" s="9">
        <v>45124.701388888891</v>
      </c>
      <c r="M158" s="9">
        <v>45126.4375</v>
      </c>
      <c r="N158" s="9">
        <v>45127.444444444445</v>
      </c>
    </row>
    <row r="159" spans="1:14" ht="12.75" x14ac:dyDescent="0.2">
      <c r="A159" s="5" t="s">
        <v>186</v>
      </c>
      <c r="B159" s="4" t="s">
        <v>20</v>
      </c>
      <c r="C159" s="4" t="s">
        <v>183</v>
      </c>
      <c r="D159" s="5">
        <v>13.49</v>
      </c>
      <c r="E159" s="4">
        <v>40.799999999999997</v>
      </c>
      <c r="F159" s="4">
        <f t="shared" si="27"/>
        <v>27.309999999999995</v>
      </c>
      <c r="G159" s="6">
        <v>45120</v>
      </c>
      <c r="H159" s="4">
        <v>1.1488</v>
      </c>
      <c r="I159" s="4">
        <v>1.1564000000000001</v>
      </c>
      <c r="J159" s="4">
        <f t="shared" si="26"/>
        <v>7.6000000000000512E-3</v>
      </c>
      <c r="K159" s="7">
        <f t="shared" si="28"/>
        <v>27.302399999999995</v>
      </c>
      <c r="L159" s="9">
        <v>45130.75</v>
      </c>
      <c r="M159" s="9">
        <v>45135.6875</v>
      </c>
      <c r="N159" s="9">
        <v>45141.4375</v>
      </c>
    </row>
    <row r="160" spans="1:14" ht="12.75" x14ac:dyDescent="0.2">
      <c r="A160" s="5" t="s">
        <v>187</v>
      </c>
      <c r="B160" s="4" t="s">
        <v>21</v>
      </c>
      <c r="C160" s="4" t="s">
        <v>183</v>
      </c>
      <c r="D160" s="5">
        <v>13.44</v>
      </c>
      <c r="E160" s="4">
        <v>61.39</v>
      </c>
      <c r="F160" s="4">
        <f t="shared" si="27"/>
        <v>47.95</v>
      </c>
      <c r="G160" s="6">
        <v>45120</v>
      </c>
      <c r="H160" s="4">
        <v>1.1488</v>
      </c>
      <c r="I160" s="4">
        <v>1.1584000000000001</v>
      </c>
      <c r="J160" s="4">
        <f t="shared" si="26"/>
        <v>9.6000000000000529E-3</v>
      </c>
      <c r="K160" s="7">
        <f t="shared" si="28"/>
        <v>47.940400000000004</v>
      </c>
      <c r="L160" s="9">
        <v>45124.701388888891</v>
      </c>
      <c r="M160" s="9">
        <v>45126.4375</v>
      </c>
      <c r="N160" s="9">
        <v>45127.444444444445</v>
      </c>
    </row>
    <row r="161" spans="1:15" ht="12.75" x14ac:dyDescent="0.2">
      <c r="A161" s="5" t="s">
        <v>188</v>
      </c>
      <c r="B161" s="4" t="s">
        <v>22</v>
      </c>
      <c r="C161" s="4" t="s">
        <v>183</v>
      </c>
      <c r="D161" s="5">
        <v>13.37</v>
      </c>
      <c r="E161" s="4">
        <v>19.8</v>
      </c>
      <c r="F161" s="4">
        <f t="shared" si="27"/>
        <v>6.4300000000000015</v>
      </c>
      <c r="G161" s="6">
        <v>45120</v>
      </c>
      <c r="J161" s="4">
        <f t="shared" si="26"/>
        <v>0</v>
      </c>
      <c r="K161" s="7">
        <f t="shared" si="28"/>
        <v>6.4300000000000015</v>
      </c>
      <c r="L161" s="9">
        <v>45130.760416666664</v>
      </c>
      <c r="M161" s="9">
        <v>45130.760416666664</v>
      </c>
      <c r="N161" s="9">
        <v>45131.694444444445</v>
      </c>
    </row>
    <row r="162" spans="1:15" ht="12.75" x14ac:dyDescent="0.2">
      <c r="A162" s="5" t="s">
        <v>189</v>
      </c>
      <c r="B162" s="4" t="s">
        <v>16</v>
      </c>
      <c r="C162" s="4" t="s">
        <v>190</v>
      </c>
      <c r="D162" s="5">
        <v>13.21</v>
      </c>
      <c r="E162" s="4">
        <v>113.66</v>
      </c>
      <c r="F162" s="4">
        <f t="shared" si="27"/>
        <v>100.44999999999999</v>
      </c>
      <c r="G162" s="6">
        <v>45120</v>
      </c>
      <c r="J162" s="4">
        <f>SUM(J163:J167)</f>
        <v>5.5200000000000138E-2</v>
      </c>
      <c r="K162" s="7">
        <f t="shared" si="28"/>
        <v>100.39479999999999</v>
      </c>
    </row>
    <row r="163" spans="1:15" ht="12.75" x14ac:dyDescent="0.2">
      <c r="A163" s="5" t="s">
        <v>191</v>
      </c>
      <c r="B163" s="4" t="s">
        <v>71</v>
      </c>
      <c r="C163" s="4" t="s">
        <v>190</v>
      </c>
      <c r="D163" s="5">
        <v>13.59</v>
      </c>
      <c r="E163" s="4">
        <v>13.74</v>
      </c>
      <c r="F163" s="4">
        <f t="shared" si="27"/>
        <v>0.15000000000000036</v>
      </c>
      <c r="G163" s="6">
        <v>45120</v>
      </c>
      <c r="J163" s="4">
        <f t="shared" ref="J163:J179" si="29">I163-H163</f>
        <v>0</v>
      </c>
      <c r="K163" s="7">
        <f t="shared" si="28"/>
        <v>0.15000000000000036</v>
      </c>
      <c r="L163" s="9">
        <v>45153.565972222219</v>
      </c>
      <c r="M163" s="9">
        <v>45153.565972222219</v>
      </c>
      <c r="N163" s="9">
        <v>45159.347222222219</v>
      </c>
    </row>
    <row r="164" spans="1:15" ht="12.75" x14ac:dyDescent="0.2">
      <c r="A164" s="5" t="s">
        <v>192</v>
      </c>
      <c r="B164" s="4" t="s">
        <v>19</v>
      </c>
      <c r="C164" s="4" t="s">
        <v>190</v>
      </c>
      <c r="D164" s="5">
        <v>13.48</v>
      </c>
      <c r="E164" s="4">
        <v>24.85</v>
      </c>
      <c r="F164" s="4">
        <f t="shared" si="27"/>
        <v>11.370000000000001</v>
      </c>
      <c r="G164" s="6">
        <v>45120</v>
      </c>
      <c r="H164" s="4">
        <v>1.149</v>
      </c>
      <c r="I164" s="4">
        <v>1.1706000000000001</v>
      </c>
      <c r="J164" s="4">
        <f t="shared" si="29"/>
        <v>2.1600000000000064E-2</v>
      </c>
      <c r="K164" s="7">
        <f t="shared" si="28"/>
        <v>11.348400000000002</v>
      </c>
      <c r="L164" s="9">
        <v>45130.760416666664</v>
      </c>
      <c r="M164" s="9">
        <v>45130.736111111109</v>
      </c>
      <c r="N164" s="9">
        <v>45131.694444444445</v>
      </c>
    </row>
    <row r="165" spans="1:15" ht="12.75" x14ac:dyDescent="0.2">
      <c r="A165" s="5" t="s">
        <v>193</v>
      </c>
      <c r="B165" s="4" t="s">
        <v>20</v>
      </c>
      <c r="C165" s="4" t="s">
        <v>190</v>
      </c>
      <c r="D165" s="5">
        <v>13.42</v>
      </c>
      <c r="E165" s="4">
        <v>36.659999999999997</v>
      </c>
      <c r="F165" s="4">
        <f t="shared" si="27"/>
        <v>23.239999999999995</v>
      </c>
      <c r="G165" s="6">
        <v>45120</v>
      </c>
      <c r="H165" s="4">
        <v>1.149</v>
      </c>
      <c r="I165" s="4">
        <v>1.1751</v>
      </c>
      <c r="J165" s="4">
        <f t="shared" si="29"/>
        <v>2.6100000000000012E-2</v>
      </c>
      <c r="K165" s="7">
        <f t="shared" si="28"/>
        <v>23.213899999999995</v>
      </c>
      <c r="L165" s="9">
        <v>45141.520833333336</v>
      </c>
      <c r="M165" s="9">
        <v>45141.520833333336</v>
      </c>
      <c r="N165" s="9">
        <v>45143.729166666664</v>
      </c>
    </row>
    <row r="166" spans="1:15" ht="12.75" x14ac:dyDescent="0.2">
      <c r="A166" s="5" t="s">
        <v>194</v>
      </c>
      <c r="B166" s="4" t="s">
        <v>21</v>
      </c>
      <c r="C166" s="4" t="s">
        <v>190</v>
      </c>
      <c r="D166" s="5">
        <v>13.3</v>
      </c>
      <c r="E166" s="4">
        <v>61.45</v>
      </c>
      <c r="F166" s="4">
        <f t="shared" si="27"/>
        <v>48.150000000000006</v>
      </c>
      <c r="G166" s="6">
        <v>45120</v>
      </c>
      <c r="H166" s="4">
        <v>1.149</v>
      </c>
      <c r="I166" s="4">
        <v>1.1565000000000001</v>
      </c>
      <c r="J166" s="4">
        <f t="shared" si="29"/>
        <v>7.5000000000000622E-3</v>
      </c>
      <c r="K166" s="7">
        <f t="shared" si="28"/>
        <v>48.142500000000005</v>
      </c>
      <c r="L166" s="9">
        <v>45131.694444444445</v>
      </c>
      <c r="M166" s="9">
        <v>45131.694444444445</v>
      </c>
      <c r="N166" s="9">
        <v>45132.697916666664</v>
      </c>
    </row>
    <row r="167" spans="1:15" ht="12.75" x14ac:dyDescent="0.2">
      <c r="A167" s="5" t="s">
        <v>195</v>
      </c>
      <c r="B167" s="4" t="s">
        <v>22</v>
      </c>
      <c r="C167" s="4" t="s">
        <v>190</v>
      </c>
      <c r="D167" s="5">
        <v>13.37</v>
      </c>
      <c r="E167" s="4">
        <v>20.55</v>
      </c>
      <c r="F167" s="4">
        <f t="shared" si="27"/>
        <v>7.1800000000000015</v>
      </c>
      <c r="G167" s="6">
        <v>45120</v>
      </c>
      <c r="J167" s="4">
        <f t="shared" si="29"/>
        <v>0</v>
      </c>
      <c r="K167" s="7">
        <f t="shared" si="28"/>
        <v>7.1800000000000015</v>
      </c>
      <c r="L167" s="9">
        <v>45131.694444444445</v>
      </c>
      <c r="M167" s="9">
        <v>45131.694444444445</v>
      </c>
      <c r="N167" s="9">
        <v>45132.697916666664</v>
      </c>
    </row>
    <row r="168" spans="1:15" ht="12.75" x14ac:dyDescent="0.2">
      <c r="A168" s="5" t="s">
        <v>196</v>
      </c>
      <c r="B168" s="4" t="s">
        <v>16</v>
      </c>
      <c r="C168" s="4" t="s">
        <v>197</v>
      </c>
      <c r="D168" s="5">
        <v>14.98</v>
      </c>
      <c r="E168" s="4">
        <v>115.05</v>
      </c>
      <c r="F168" s="4">
        <f t="shared" si="27"/>
        <v>100.07</v>
      </c>
      <c r="G168" s="6">
        <v>45120</v>
      </c>
      <c r="J168" s="4">
        <f>SUM(J169:J173)</f>
        <v>2.0999999999999908E-2</v>
      </c>
      <c r="K168" s="7">
        <f t="shared" si="28"/>
        <v>100.04899999999999</v>
      </c>
      <c r="L168" s="9"/>
    </row>
    <row r="169" spans="1:15" ht="12.75" x14ac:dyDescent="0.2">
      <c r="A169" s="5" t="s">
        <v>198</v>
      </c>
      <c r="B169" s="4" t="s">
        <v>71</v>
      </c>
      <c r="C169" s="4" t="s">
        <v>197</v>
      </c>
      <c r="D169" s="5">
        <v>13.44</v>
      </c>
      <c r="E169" s="4">
        <v>13.79</v>
      </c>
      <c r="F169" s="4">
        <f t="shared" si="27"/>
        <v>0.34999999999999964</v>
      </c>
      <c r="G169" s="6">
        <v>45120</v>
      </c>
      <c r="J169" s="4">
        <f t="shared" si="29"/>
        <v>0</v>
      </c>
      <c r="K169" s="7">
        <f t="shared" si="28"/>
        <v>0.34999999999999964</v>
      </c>
      <c r="L169" s="9">
        <v>45134.677083333336</v>
      </c>
      <c r="M169" s="9">
        <v>45134.677083333336</v>
      </c>
      <c r="N169" s="9">
        <v>45135.6875</v>
      </c>
    </row>
    <row r="170" spans="1:15" ht="12.75" x14ac:dyDescent="0.2">
      <c r="A170" s="5" t="s">
        <v>199</v>
      </c>
      <c r="B170" s="4" t="s">
        <v>19</v>
      </c>
      <c r="C170" s="4" t="s">
        <v>197</v>
      </c>
      <c r="D170" s="5">
        <v>13.5</v>
      </c>
      <c r="E170" s="4">
        <v>17.37</v>
      </c>
      <c r="F170" s="4">
        <f t="shared" si="27"/>
        <v>3.870000000000001</v>
      </c>
      <c r="G170" s="6">
        <v>45120</v>
      </c>
      <c r="H170" s="4">
        <v>1.1488</v>
      </c>
      <c r="I170" s="4">
        <v>1.1499999999999999</v>
      </c>
      <c r="J170" s="4">
        <f t="shared" si="29"/>
        <v>1.1999999999998678E-3</v>
      </c>
      <c r="K170" s="7">
        <f t="shared" si="28"/>
        <v>3.8688000000000011</v>
      </c>
      <c r="L170" s="9">
        <v>45131.694444444445</v>
      </c>
      <c r="M170" s="9">
        <v>45131.694444444445</v>
      </c>
      <c r="N170" s="9">
        <v>45132.697916666664</v>
      </c>
    </row>
    <row r="171" spans="1:15" ht="12.75" x14ac:dyDescent="0.2">
      <c r="A171" s="5" t="s">
        <v>200</v>
      </c>
      <c r="B171" s="4" t="s">
        <v>20</v>
      </c>
      <c r="C171" s="4" t="s">
        <v>197</v>
      </c>
      <c r="D171" s="5">
        <v>13.5</v>
      </c>
      <c r="E171" s="4">
        <v>31.07</v>
      </c>
      <c r="F171" s="4">
        <f t="shared" si="27"/>
        <v>17.57</v>
      </c>
      <c r="G171" s="6">
        <v>45120</v>
      </c>
      <c r="H171" s="4">
        <v>1.1488</v>
      </c>
      <c r="I171" s="4">
        <v>1.1686000000000001</v>
      </c>
      <c r="J171" s="4">
        <f t="shared" si="29"/>
        <v>1.980000000000004E-2</v>
      </c>
      <c r="K171" s="7">
        <f t="shared" si="28"/>
        <v>17.5502</v>
      </c>
      <c r="L171" s="9">
        <v>45141.520833333336</v>
      </c>
      <c r="M171" s="9">
        <v>45141.520833333336</v>
      </c>
      <c r="N171" s="9">
        <v>45143.729166666664</v>
      </c>
    </row>
    <row r="172" spans="1:15" ht="12.75" x14ac:dyDescent="0.2">
      <c r="A172" s="5" t="s">
        <v>201</v>
      </c>
      <c r="B172" s="4" t="s">
        <v>21</v>
      </c>
      <c r="C172" s="4" t="s">
        <v>197</v>
      </c>
      <c r="D172" s="5">
        <v>13.41</v>
      </c>
      <c r="E172" s="4">
        <v>60.11</v>
      </c>
      <c r="F172" s="4">
        <f t="shared" si="27"/>
        <v>46.7</v>
      </c>
      <c r="G172" s="6">
        <v>45120</v>
      </c>
      <c r="J172" s="4">
        <f t="shared" si="29"/>
        <v>0</v>
      </c>
      <c r="K172" s="7">
        <f t="shared" si="28"/>
        <v>46.7</v>
      </c>
      <c r="L172" s="9">
        <v>45132.704861111109</v>
      </c>
      <c r="M172" s="9">
        <v>45132.704861111109</v>
      </c>
      <c r="N172" s="9">
        <v>45133.704861111109</v>
      </c>
    </row>
    <row r="173" spans="1:15" ht="12.75" x14ac:dyDescent="0.2">
      <c r="A173" s="5" t="s">
        <v>202</v>
      </c>
      <c r="B173" s="4" t="s">
        <v>22</v>
      </c>
      <c r="C173" s="4" t="s">
        <v>197</v>
      </c>
      <c r="D173" s="5">
        <v>13.48</v>
      </c>
      <c r="E173" s="4">
        <v>31.22</v>
      </c>
      <c r="F173" s="4">
        <f t="shared" si="27"/>
        <v>17.739999999999998</v>
      </c>
      <c r="G173" s="6">
        <v>45120</v>
      </c>
      <c r="J173" s="4">
        <f t="shared" si="29"/>
        <v>0</v>
      </c>
      <c r="K173" s="7">
        <f t="shared" si="28"/>
        <v>17.739999999999998</v>
      </c>
      <c r="L173" s="9">
        <v>45132.704861111109</v>
      </c>
      <c r="M173" s="9">
        <v>45132.704861111109</v>
      </c>
      <c r="N173" s="9">
        <v>45133.704861111109</v>
      </c>
    </row>
    <row r="174" spans="1:15" ht="12.75" x14ac:dyDescent="0.2">
      <c r="A174" s="5" t="s">
        <v>203</v>
      </c>
      <c r="B174" s="4" t="s">
        <v>16</v>
      </c>
      <c r="C174" s="4" t="s">
        <v>204</v>
      </c>
      <c r="D174" s="5">
        <v>13.44</v>
      </c>
      <c r="E174" s="4">
        <v>113.85</v>
      </c>
      <c r="F174" s="4">
        <f t="shared" si="27"/>
        <v>100.41</v>
      </c>
      <c r="G174" s="6">
        <v>45120</v>
      </c>
      <c r="J174">
        <f>SUM(J175:J179)</f>
        <v>2.6999999999999913E-2</v>
      </c>
      <c r="K174" s="7">
        <f t="shared" si="28"/>
        <v>100.383</v>
      </c>
    </row>
    <row r="175" spans="1:15" ht="12.75" x14ac:dyDescent="0.2">
      <c r="A175" s="5" t="s">
        <v>205</v>
      </c>
      <c r="B175" s="4" t="s">
        <v>71</v>
      </c>
      <c r="C175" s="4" t="s">
        <v>204</v>
      </c>
      <c r="D175" s="5">
        <v>13.44</v>
      </c>
      <c r="E175" s="4">
        <v>13.83</v>
      </c>
      <c r="F175" s="4">
        <f t="shared" si="27"/>
        <v>0.39000000000000057</v>
      </c>
      <c r="G175" s="6">
        <v>45120</v>
      </c>
      <c r="J175" s="4">
        <f t="shared" si="29"/>
        <v>0</v>
      </c>
      <c r="K175" s="7">
        <f t="shared" si="28"/>
        <v>0.39000000000000057</v>
      </c>
      <c r="L175" s="9">
        <v>45149.4375</v>
      </c>
      <c r="M175" s="9">
        <v>45149.4375</v>
      </c>
      <c r="N175" s="9">
        <v>45151.541666666664</v>
      </c>
    </row>
    <row r="176" spans="1:15" ht="12.75" x14ac:dyDescent="0.2">
      <c r="A176" s="5" t="s">
        <v>206</v>
      </c>
      <c r="B176" s="4" t="s">
        <v>19</v>
      </c>
      <c r="C176" s="4" t="s">
        <v>204</v>
      </c>
      <c r="D176" s="5">
        <v>2.19</v>
      </c>
      <c r="E176" s="4">
        <v>9.7899999999999991</v>
      </c>
      <c r="F176" s="4">
        <f t="shared" si="27"/>
        <v>7.6</v>
      </c>
      <c r="G176" s="6">
        <v>45120</v>
      </c>
      <c r="H176" s="4">
        <v>1.1487000000000001</v>
      </c>
      <c r="I176" s="4">
        <v>1.1573</v>
      </c>
      <c r="J176" s="4">
        <f t="shared" si="29"/>
        <v>8.599999999999941E-3</v>
      </c>
      <c r="K176" s="7">
        <f t="shared" si="28"/>
        <v>7.5914000000000001</v>
      </c>
      <c r="L176" s="9">
        <v>45132.704861111109</v>
      </c>
      <c r="M176" s="9">
        <v>45132.704861111109</v>
      </c>
      <c r="N176" s="9">
        <v>45133.704861111109</v>
      </c>
      <c r="O176" s="4" t="s">
        <v>207</v>
      </c>
    </row>
    <row r="177" spans="1:15" ht="12.75" x14ac:dyDescent="0.2">
      <c r="A177" s="5" t="s">
        <v>208</v>
      </c>
      <c r="B177" s="4" t="s">
        <v>20</v>
      </c>
      <c r="C177" s="4" t="s">
        <v>204</v>
      </c>
      <c r="D177" s="5">
        <v>13.59</v>
      </c>
      <c r="E177" s="4">
        <v>39.18</v>
      </c>
      <c r="F177" s="4">
        <f t="shared" si="27"/>
        <v>25.59</v>
      </c>
      <c r="G177" s="6">
        <v>45120</v>
      </c>
      <c r="H177" s="4">
        <v>1.1487000000000001</v>
      </c>
      <c r="I177" s="4">
        <v>1.1604000000000001</v>
      </c>
      <c r="J177" s="4">
        <f t="shared" si="29"/>
        <v>1.1700000000000044E-2</v>
      </c>
      <c r="K177" s="7">
        <f t="shared" si="28"/>
        <v>25.578299999999999</v>
      </c>
      <c r="L177" s="9">
        <v>45143.833333333336</v>
      </c>
      <c r="M177" s="9">
        <v>45143.833333333336</v>
      </c>
      <c r="N177" s="9">
        <v>45149.416666666664</v>
      </c>
    </row>
    <row r="178" spans="1:15" ht="12.75" x14ac:dyDescent="0.2">
      <c r="A178" s="5" t="s">
        <v>209</v>
      </c>
      <c r="B178" s="4" t="s">
        <v>21</v>
      </c>
      <c r="C178" s="4" t="s">
        <v>204</v>
      </c>
      <c r="D178" s="5">
        <v>13.45</v>
      </c>
      <c r="E178" s="4">
        <v>64.959999999999994</v>
      </c>
      <c r="F178" s="4">
        <f t="shared" si="27"/>
        <v>51.509999999999991</v>
      </c>
      <c r="G178" s="6">
        <v>45120</v>
      </c>
      <c r="H178" s="4">
        <v>1.1487000000000001</v>
      </c>
      <c r="I178" s="4">
        <v>1.1554</v>
      </c>
      <c r="J178" s="4">
        <f t="shared" si="29"/>
        <v>6.6999999999999282E-3</v>
      </c>
      <c r="K178" s="7">
        <f t="shared" si="28"/>
        <v>51.503299999999989</v>
      </c>
      <c r="L178" s="9">
        <v>45135.6875</v>
      </c>
      <c r="M178" s="9">
        <v>45135.6875</v>
      </c>
      <c r="N178" s="9">
        <v>45141.4375</v>
      </c>
    </row>
    <row r="179" spans="1:15" ht="12.75" x14ac:dyDescent="0.2">
      <c r="A179" s="5" t="s">
        <v>210</v>
      </c>
      <c r="B179" s="4" t="s">
        <v>22</v>
      </c>
      <c r="C179" s="4" t="s">
        <v>204</v>
      </c>
      <c r="D179" s="5">
        <v>13.57</v>
      </c>
      <c r="E179" s="4">
        <v>19.64</v>
      </c>
      <c r="F179" s="4">
        <f t="shared" si="27"/>
        <v>6.07</v>
      </c>
      <c r="G179" s="6">
        <v>45120</v>
      </c>
      <c r="J179" s="4">
        <f t="shared" si="29"/>
        <v>0</v>
      </c>
      <c r="K179" s="7">
        <f t="shared" si="28"/>
        <v>6.07</v>
      </c>
      <c r="L179" s="9">
        <v>45134.677083333336</v>
      </c>
      <c r="M179" s="9">
        <v>45134.677083333336</v>
      </c>
      <c r="N179" s="9">
        <v>45135.6875</v>
      </c>
    </row>
    <row r="180" spans="1:15" ht="12.75" x14ac:dyDescent="0.2">
      <c r="A180" s="5" t="s">
        <v>211</v>
      </c>
      <c r="B180" s="4" t="s">
        <v>16</v>
      </c>
      <c r="C180" s="4" t="s">
        <v>212</v>
      </c>
      <c r="D180" s="5">
        <v>13.28</v>
      </c>
      <c r="E180" s="4">
        <v>113.42</v>
      </c>
      <c r="F180" s="4">
        <f t="shared" si="27"/>
        <v>100.14</v>
      </c>
      <c r="G180" s="6">
        <v>45120</v>
      </c>
      <c r="J180">
        <f>SUM(J181:J185)</f>
        <v>9.0200000000000058E-2</v>
      </c>
      <c r="K180" s="7">
        <f t="shared" si="28"/>
        <v>100.0498</v>
      </c>
    </row>
    <row r="181" spans="1:15" ht="12.75" x14ac:dyDescent="0.2">
      <c r="A181" s="5" t="s">
        <v>213</v>
      </c>
      <c r="B181" s="4" t="s">
        <v>71</v>
      </c>
      <c r="C181" s="4" t="s">
        <v>212</v>
      </c>
      <c r="D181" s="5">
        <v>13.34</v>
      </c>
      <c r="E181" s="4">
        <v>13.56</v>
      </c>
      <c r="F181" s="4">
        <f t="shared" si="27"/>
        <v>0.22000000000000064</v>
      </c>
      <c r="G181" s="6">
        <v>45120</v>
      </c>
      <c r="J181">
        <f t="shared" ref="J181:J185" si="30">I181-H181</f>
        <v>0</v>
      </c>
      <c r="K181" s="7">
        <f t="shared" si="28"/>
        <v>0.22000000000000064</v>
      </c>
      <c r="L181" s="9">
        <v>45141.520833333336</v>
      </c>
      <c r="M181" s="9">
        <v>45141.520833333336</v>
      </c>
      <c r="N181" s="9">
        <v>45143.729166666664</v>
      </c>
    </row>
    <row r="182" spans="1:15" ht="12.75" x14ac:dyDescent="0.2">
      <c r="A182" s="5" t="s">
        <v>214</v>
      </c>
      <c r="B182" s="4" t="s">
        <v>19</v>
      </c>
      <c r="C182" s="4" t="s">
        <v>212</v>
      </c>
      <c r="D182" s="5">
        <v>13.29</v>
      </c>
      <c r="E182" s="4">
        <v>18.53</v>
      </c>
      <c r="F182" s="4">
        <f t="shared" si="27"/>
        <v>5.240000000000002</v>
      </c>
      <c r="G182" s="6">
        <v>45120</v>
      </c>
      <c r="H182" s="4">
        <v>1.1488</v>
      </c>
      <c r="I182" s="4">
        <v>1.2173</v>
      </c>
      <c r="J182">
        <f t="shared" si="30"/>
        <v>6.8500000000000005E-2</v>
      </c>
      <c r="K182" s="7">
        <f t="shared" si="28"/>
        <v>5.1715000000000018</v>
      </c>
      <c r="L182" s="9">
        <v>45135.6875</v>
      </c>
      <c r="M182" s="9">
        <v>45135.6875</v>
      </c>
      <c r="N182" s="9">
        <v>45141.4375</v>
      </c>
    </row>
    <row r="183" spans="1:15" ht="12.75" x14ac:dyDescent="0.2">
      <c r="A183" s="5" t="s">
        <v>215</v>
      </c>
      <c r="B183" s="4" t="s">
        <v>20</v>
      </c>
      <c r="C183" s="4" t="s">
        <v>212</v>
      </c>
      <c r="D183" s="5">
        <v>13.28</v>
      </c>
      <c r="E183" s="4">
        <v>44.67</v>
      </c>
      <c r="F183" s="4">
        <f t="shared" si="27"/>
        <v>31.39</v>
      </c>
      <c r="G183" s="6">
        <v>45120</v>
      </c>
      <c r="H183" s="4">
        <v>1.1488</v>
      </c>
      <c r="I183" s="4">
        <v>1.1705000000000001</v>
      </c>
      <c r="J183">
        <f t="shared" si="30"/>
        <v>2.1700000000000053E-2</v>
      </c>
      <c r="K183" s="7">
        <f t="shared" si="28"/>
        <v>31.368300000000001</v>
      </c>
      <c r="L183" s="9">
        <v>45141.520833333336</v>
      </c>
      <c r="M183" s="9">
        <v>45141.520833333336</v>
      </c>
      <c r="N183" s="9">
        <v>45143.729166666664</v>
      </c>
    </row>
    <row r="184" spans="1:15" ht="12.75" x14ac:dyDescent="0.2">
      <c r="A184" s="5" t="s">
        <v>216</v>
      </c>
      <c r="B184" s="4" t="s">
        <v>21</v>
      </c>
      <c r="C184" s="4" t="s">
        <v>212</v>
      </c>
      <c r="D184" s="5">
        <v>13.42</v>
      </c>
      <c r="E184" s="4">
        <v>56.85</v>
      </c>
      <c r="F184" s="4">
        <f t="shared" si="27"/>
        <v>43.43</v>
      </c>
      <c r="G184" s="6">
        <v>45120</v>
      </c>
      <c r="H184" s="4"/>
      <c r="J184">
        <f t="shared" si="30"/>
        <v>0</v>
      </c>
      <c r="K184" s="7">
        <f t="shared" si="28"/>
        <v>43.43</v>
      </c>
      <c r="L184" s="9">
        <v>45135.6875</v>
      </c>
      <c r="M184" s="9">
        <v>45135.6875</v>
      </c>
      <c r="N184" s="9">
        <v>45141.4375</v>
      </c>
    </row>
    <row r="185" spans="1:15" ht="12.75" x14ac:dyDescent="0.2">
      <c r="A185" s="5" t="s">
        <v>217</v>
      </c>
      <c r="B185" s="4" t="s">
        <v>22</v>
      </c>
      <c r="C185" s="4" t="s">
        <v>212</v>
      </c>
      <c r="D185" s="5">
        <v>13.26</v>
      </c>
      <c r="E185" s="4">
        <v>19.72</v>
      </c>
      <c r="F185" s="4">
        <f t="shared" si="27"/>
        <v>6.4599999999999991</v>
      </c>
      <c r="G185" s="6">
        <v>45120</v>
      </c>
      <c r="J185">
        <f t="shared" si="30"/>
        <v>0</v>
      </c>
      <c r="K185" s="7">
        <f t="shared" si="28"/>
        <v>6.4599999999999991</v>
      </c>
      <c r="L185" s="9">
        <v>45134.677083333336</v>
      </c>
      <c r="M185" s="9">
        <v>45134.677083333336</v>
      </c>
      <c r="N185" s="9">
        <v>45135.6875</v>
      </c>
    </row>
    <row r="186" spans="1:15" ht="12.75" x14ac:dyDescent="0.2">
      <c r="A186" s="5" t="s">
        <v>218</v>
      </c>
      <c r="B186" s="4" t="s">
        <v>16</v>
      </c>
      <c r="C186" s="4" t="s">
        <v>219</v>
      </c>
      <c r="D186" s="5">
        <v>13.12</v>
      </c>
      <c r="E186" s="4">
        <v>113.6</v>
      </c>
      <c r="F186" s="4">
        <f t="shared" si="27"/>
        <v>100.47999999999999</v>
      </c>
      <c r="G186" s="6">
        <v>45120</v>
      </c>
      <c r="J186">
        <f>SUM(J187:J191)</f>
        <v>0.31669999999999976</v>
      </c>
      <c r="K186" s="7">
        <f t="shared" si="28"/>
        <v>100.16329999999999</v>
      </c>
    </row>
    <row r="187" spans="1:15" ht="12.75" x14ac:dyDescent="0.2">
      <c r="A187" s="5" t="s">
        <v>220</v>
      </c>
      <c r="B187" s="4" t="s">
        <v>71</v>
      </c>
      <c r="C187" s="4" t="s">
        <v>219</v>
      </c>
      <c r="D187" s="5">
        <v>13.23</v>
      </c>
      <c r="E187" s="4">
        <v>14.11</v>
      </c>
      <c r="F187" s="4">
        <f t="shared" si="27"/>
        <v>0.87999999999999901</v>
      </c>
      <c r="G187" s="6">
        <v>45120</v>
      </c>
      <c r="J187">
        <f t="shared" ref="J187:J191" si="31">I187-H187</f>
        <v>0</v>
      </c>
      <c r="K187" s="7">
        <f t="shared" si="28"/>
        <v>0.87999999999999901</v>
      </c>
      <c r="L187" s="9">
        <v>45149.4375</v>
      </c>
      <c r="M187" s="9">
        <v>45149.4375</v>
      </c>
      <c r="N187" s="9">
        <v>45151.541666666664</v>
      </c>
    </row>
    <row r="188" spans="1:15" ht="12.75" x14ac:dyDescent="0.2">
      <c r="A188" s="5" t="s">
        <v>221</v>
      </c>
      <c r="B188" s="4" t="s">
        <v>19</v>
      </c>
      <c r="C188" s="4" t="s">
        <v>219</v>
      </c>
      <c r="D188" s="5">
        <v>13.15</v>
      </c>
      <c r="E188" s="4">
        <v>25.19</v>
      </c>
      <c r="F188" s="4">
        <f t="shared" si="27"/>
        <v>12.040000000000001</v>
      </c>
      <c r="G188" s="6">
        <v>45120</v>
      </c>
      <c r="H188" s="4">
        <v>1.149</v>
      </c>
      <c r="I188" s="4">
        <v>1.2605999999999999</v>
      </c>
      <c r="J188">
        <f t="shared" si="31"/>
        <v>0.11159999999999992</v>
      </c>
      <c r="K188" s="7">
        <f t="shared" si="28"/>
        <v>11.928400000000002</v>
      </c>
      <c r="L188" s="9">
        <v>45134.677083333336</v>
      </c>
      <c r="M188" s="9">
        <v>45134.677083333336</v>
      </c>
      <c r="N188" s="9">
        <v>45135.6875</v>
      </c>
    </row>
    <row r="189" spans="1:15" ht="12.75" x14ac:dyDescent="0.2">
      <c r="A189" s="5" t="s">
        <v>222</v>
      </c>
      <c r="B189" s="4" t="s">
        <v>20</v>
      </c>
      <c r="C189" s="4" t="s">
        <v>219</v>
      </c>
      <c r="D189" s="5">
        <v>13.21</v>
      </c>
      <c r="E189" s="4">
        <v>42.28</v>
      </c>
      <c r="F189" s="4">
        <f t="shared" si="27"/>
        <v>29.07</v>
      </c>
      <c r="G189" s="6">
        <v>45120</v>
      </c>
      <c r="H189" s="4">
        <v>1.149</v>
      </c>
      <c r="I189" s="4">
        <v>1.3228</v>
      </c>
      <c r="J189">
        <f t="shared" si="31"/>
        <v>0.17379999999999995</v>
      </c>
      <c r="K189" s="7">
        <f t="shared" si="28"/>
        <v>28.8962</v>
      </c>
      <c r="L189" s="9">
        <v>45141.520833333336</v>
      </c>
      <c r="M189" s="9">
        <v>45141.520833333336</v>
      </c>
      <c r="N189" s="9">
        <v>45143.729166666664</v>
      </c>
    </row>
    <row r="190" spans="1:15" ht="12.75" x14ac:dyDescent="0.2">
      <c r="A190" s="5" t="s">
        <v>223</v>
      </c>
      <c r="B190" s="4" t="s">
        <v>21</v>
      </c>
      <c r="C190" s="4" t="s">
        <v>219</v>
      </c>
      <c r="D190" s="5">
        <v>13.23</v>
      </c>
      <c r="E190" s="4">
        <v>51.54</v>
      </c>
      <c r="F190" s="4">
        <f t="shared" si="27"/>
        <v>38.31</v>
      </c>
      <c r="G190" s="6">
        <v>45120</v>
      </c>
      <c r="H190" s="4">
        <v>1.149</v>
      </c>
      <c r="I190" s="4">
        <v>1.1802999999999999</v>
      </c>
      <c r="J190">
        <f t="shared" si="31"/>
        <v>3.1299999999999883E-2</v>
      </c>
      <c r="K190" s="7">
        <f t="shared" si="28"/>
        <v>38.278700000000001</v>
      </c>
      <c r="L190" s="9">
        <v>45141.520833333336</v>
      </c>
      <c r="M190" s="9">
        <v>45141.520833333336</v>
      </c>
      <c r="N190" s="9">
        <v>45143.729166666664</v>
      </c>
    </row>
    <row r="191" spans="1:15" ht="12.75" x14ac:dyDescent="0.2">
      <c r="A191" s="5" t="s">
        <v>224</v>
      </c>
      <c r="B191" s="4" t="s">
        <v>22</v>
      </c>
      <c r="C191" s="4" t="s">
        <v>219</v>
      </c>
      <c r="D191" s="5">
        <v>2.1800000000000002</v>
      </c>
      <c r="E191" s="4">
        <v>6.09</v>
      </c>
      <c r="F191" s="4">
        <f t="shared" si="27"/>
        <v>3.9099999999999997</v>
      </c>
      <c r="G191" s="6">
        <v>45120</v>
      </c>
      <c r="J191">
        <f t="shared" si="31"/>
        <v>0</v>
      </c>
      <c r="K191" s="7">
        <f t="shared" si="28"/>
        <v>3.9099999999999997</v>
      </c>
      <c r="L191" s="9">
        <v>45132.704861111109</v>
      </c>
      <c r="M191" s="9">
        <v>45132.704861111109</v>
      </c>
      <c r="N191" s="9">
        <v>45133.704861111109</v>
      </c>
      <c r="O191" s="4" t="s">
        <v>207</v>
      </c>
    </row>
    <row r="192" spans="1:15" ht="12.75" x14ac:dyDescent="0.2">
      <c r="A192" s="5" t="s">
        <v>225</v>
      </c>
      <c r="B192" s="4" t="s">
        <v>16</v>
      </c>
      <c r="C192" s="4" t="s">
        <v>226</v>
      </c>
      <c r="D192" s="5">
        <v>13.25</v>
      </c>
      <c r="E192" s="4">
        <v>113.36</v>
      </c>
      <c r="F192" s="4">
        <f t="shared" si="27"/>
        <v>100.11</v>
      </c>
      <c r="G192" s="6">
        <v>45121</v>
      </c>
      <c r="J192">
        <f>SUM(J193:J197)</f>
        <v>7.0699999999999763E-2</v>
      </c>
      <c r="K192" s="7">
        <f t="shared" si="28"/>
        <v>100.0393</v>
      </c>
    </row>
    <row r="193" spans="1:14" ht="12.75" x14ac:dyDescent="0.2">
      <c r="A193" s="5" t="s">
        <v>227</v>
      </c>
      <c r="B193" s="4" t="s">
        <v>71</v>
      </c>
      <c r="C193" s="4" t="s">
        <v>226</v>
      </c>
      <c r="D193" s="5">
        <v>13.2</v>
      </c>
      <c r="E193" s="4">
        <v>13.83</v>
      </c>
      <c r="F193" s="4">
        <f t="shared" si="27"/>
        <v>0.63000000000000078</v>
      </c>
      <c r="G193" s="6">
        <v>45121</v>
      </c>
      <c r="J193">
        <f>I193-H193</f>
        <v>0</v>
      </c>
      <c r="K193" s="7">
        <f t="shared" si="28"/>
        <v>0.63000000000000078</v>
      </c>
      <c r="L193" s="9">
        <v>45133.649305555555</v>
      </c>
      <c r="M193" s="9">
        <v>45133.649305555555</v>
      </c>
      <c r="N193" s="9">
        <v>45134.65625</v>
      </c>
    </row>
    <row r="194" spans="1:14" ht="12.75" x14ac:dyDescent="0.2">
      <c r="A194" s="5" t="s">
        <v>228</v>
      </c>
      <c r="B194" s="4" t="s">
        <v>19</v>
      </c>
      <c r="C194" s="4" t="s">
        <v>226</v>
      </c>
      <c r="D194" s="5">
        <v>13.23</v>
      </c>
      <c r="E194" s="4">
        <v>20.239999999999998</v>
      </c>
      <c r="F194" s="4">
        <f t="shared" ref="F194:F257" si="32">E194-D194</f>
        <v>7.009999999999998</v>
      </c>
      <c r="G194" s="6">
        <v>45121</v>
      </c>
      <c r="H194" s="4">
        <v>1.1491</v>
      </c>
      <c r="I194" s="4">
        <v>1.1592</v>
      </c>
      <c r="J194">
        <f t="shared" ref="J194:J197" si="33">I194-H194</f>
        <v>1.0099999999999998E-2</v>
      </c>
      <c r="K194" s="7">
        <f t="shared" si="28"/>
        <v>6.9998999999999985</v>
      </c>
      <c r="L194" s="9">
        <v>45133.649305555555</v>
      </c>
      <c r="M194" s="9">
        <v>45133.649305555555</v>
      </c>
      <c r="N194" s="9">
        <v>45134.65625</v>
      </c>
    </row>
    <row r="195" spans="1:14" ht="12.75" x14ac:dyDescent="0.2">
      <c r="A195" s="5" t="s">
        <v>229</v>
      </c>
      <c r="B195" s="4" t="s">
        <v>20</v>
      </c>
      <c r="C195" s="4" t="s">
        <v>226</v>
      </c>
      <c r="D195" s="5">
        <v>13.31</v>
      </c>
      <c r="E195" s="4">
        <v>49.73</v>
      </c>
      <c r="F195" s="4">
        <f t="shared" si="32"/>
        <v>36.419999999999995</v>
      </c>
      <c r="G195" s="6">
        <v>45121</v>
      </c>
      <c r="H195" s="4">
        <v>1.1491</v>
      </c>
      <c r="I195" s="4">
        <v>1.1904999999999999</v>
      </c>
      <c r="J195">
        <f t="shared" si="33"/>
        <v>4.1399999999999881E-2</v>
      </c>
      <c r="K195" s="7">
        <f t="shared" ref="K195:K258" si="34">F195-J195</f>
        <v>36.378599999999992</v>
      </c>
      <c r="L195" s="9">
        <v>45134.677083333336</v>
      </c>
      <c r="M195" s="9">
        <v>45134.677083333336</v>
      </c>
      <c r="N195" s="9">
        <v>45135.6875</v>
      </c>
    </row>
    <row r="196" spans="1:14" ht="12.75" x14ac:dyDescent="0.2">
      <c r="A196" s="5" t="s">
        <v>230</v>
      </c>
      <c r="B196" s="4" t="s">
        <v>21</v>
      </c>
      <c r="C196" s="4" t="s">
        <v>226</v>
      </c>
      <c r="D196" s="5">
        <v>13.3</v>
      </c>
      <c r="E196" s="4">
        <v>52.67</v>
      </c>
      <c r="F196" s="4">
        <f t="shared" si="32"/>
        <v>39.370000000000005</v>
      </c>
      <c r="G196" s="6">
        <v>45121</v>
      </c>
      <c r="H196" s="4">
        <v>1.1491</v>
      </c>
      <c r="I196" s="4">
        <v>1.1676</v>
      </c>
      <c r="J196">
        <f t="shared" si="33"/>
        <v>1.8499999999999961E-2</v>
      </c>
      <c r="K196" s="7">
        <f t="shared" si="34"/>
        <v>39.351500000000001</v>
      </c>
      <c r="L196" s="9">
        <v>45133.649305555555</v>
      </c>
      <c r="M196" s="9">
        <v>45133.649305555555</v>
      </c>
      <c r="N196" s="9">
        <v>45134.65625</v>
      </c>
    </row>
    <row r="197" spans="1:14" ht="12.75" x14ac:dyDescent="0.2">
      <c r="A197" s="5" t="s">
        <v>231</v>
      </c>
      <c r="B197" s="4" t="s">
        <v>22</v>
      </c>
      <c r="C197" s="4" t="s">
        <v>226</v>
      </c>
      <c r="D197" s="5">
        <v>13.21</v>
      </c>
      <c r="E197" s="4">
        <v>15.09</v>
      </c>
      <c r="F197" s="4">
        <f t="shared" si="32"/>
        <v>1.879999999999999</v>
      </c>
      <c r="G197" s="6">
        <v>45121</v>
      </c>
      <c r="H197" s="4">
        <v>1.1491</v>
      </c>
      <c r="I197" s="4">
        <v>1.1497999999999999</v>
      </c>
      <c r="J197">
        <f t="shared" si="33"/>
        <v>6.9999999999992291E-4</v>
      </c>
      <c r="K197" s="7">
        <f t="shared" si="34"/>
        <v>1.8792999999999991</v>
      </c>
      <c r="L197" s="9">
        <v>45133.649305555555</v>
      </c>
      <c r="M197" s="9">
        <v>45133.649305555555</v>
      </c>
      <c r="N197" s="9">
        <v>45134.65625</v>
      </c>
    </row>
    <row r="198" spans="1:14" ht="12.75" x14ac:dyDescent="0.2">
      <c r="A198" s="5" t="s">
        <v>232</v>
      </c>
      <c r="B198" s="4" t="s">
        <v>16</v>
      </c>
      <c r="C198" s="4" t="s">
        <v>233</v>
      </c>
      <c r="D198" s="5">
        <v>13.3</v>
      </c>
      <c r="E198" s="4">
        <v>113.37</v>
      </c>
      <c r="F198" s="4">
        <f t="shared" si="32"/>
        <v>100.07000000000001</v>
      </c>
      <c r="G198" s="6">
        <v>45121</v>
      </c>
      <c r="J198">
        <f>SUM(J199:J203)</f>
        <v>3.6000000000000032E-2</v>
      </c>
      <c r="K198" s="7">
        <f t="shared" si="34"/>
        <v>100.03400000000001</v>
      </c>
    </row>
    <row r="199" spans="1:14" ht="12.75" x14ac:dyDescent="0.2">
      <c r="A199" s="5" t="s">
        <v>234</v>
      </c>
      <c r="B199" s="4" t="s">
        <v>71</v>
      </c>
      <c r="C199" s="4" t="s">
        <v>233</v>
      </c>
      <c r="D199" s="5">
        <v>13.34</v>
      </c>
      <c r="E199" s="4">
        <v>13.56</v>
      </c>
      <c r="F199" s="4">
        <f t="shared" si="32"/>
        <v>0.22000000000000064</v>
      </c>
      <c r="G199" s="6">
        <v>45121</v>
      </c>
      <c r="J199">
        <f>I199-H199</f>
        <v>0</v>
      </c>
      <c r="K199" s="7">
        <f t="shared" si="34"/>
        <v>0.22000000000000064</v>
      </c>
      <c r="L199" s="9">
        <v>45135.6875</v>
      </c>
      <c r="M199" s="9">
        <v>45135.6875</v>
      </c>
      <c r="N199" s="9">
        <v>45141.479166666664</v>
      </c>
    </row>
    <row r="200" spans="1:14" ht="12.75" x14ac:dyDescent="0.2">
      <c r="A200" s="5" t="s">
        <v>235</v>
      </c>
      <c r="B200" s="4" t="s">
        <v>19</v>
      </c>
      <c r="C200" s="4" t="s">
        <v>233</v>
      </c>
      <c r="D200" s="5">
        <v>13.32</v>
      </c>
      <c r="E200" s="4">
        <v>16.09</v>
      </c>
      <c r="F200" s="4">
        <f t="shared" si="32"/>
        <v>2.7699999999999996</v>
      </c>
      <c r="G200" s="6">
        <v>45121</v>
      </c>
      <c r="H200" s="4">
        <v>1.1493</v>
      </c>
      <c r="I200" s="4">
        <v>1.1511</v>
      </c>
      <c r="J200">
        <f t="shared" ref="J200:J203" si="35">I200-H200</f>
        <v>1.8000000000000238E-3</v>
      </c>
      <c r="K200" s="7">
        <f t="shared" si="34"/>
        <v>2.7681999999999993</v>
      </c>
      <c r="L200" s="9">
        <v>45133.649305555555</v>
      </c>
      <c r="M200" s="9">
        <v>45133.649305555555</v>
      </c>
      <c r="N200" s="9">
        <v>45134.65625</v>
      </c>
    </row>
    <row r="201" spans="1:14" ht="12.75" x14ac:dyDescent="0.2">
      <c r="A201" s="5" t="s">
        <v>236</v>
      </c>
      <c r="B201" s="4" t="s">
        <v>20</v>
      </c>
      <c r="C201" s="4" t="s">
        <v>233</v>
      </c>
      <c r="D201" s="5">
        <v>11.98</v>
      </c>
      <c r="E201" s="4">
        <v>39.24</v>
      </c>
      <c r="F201" s="4">
        <f t="shared" si="32"/>
        <v>27.26</v>
      </c>
      <c r="G201" s="6">
        <v>45121</v>
      </c>
      <c r="H201" s="4">
        <v>1.1493</v>
      </c>
      <c r="I201" s="4">
        <v>1.1681999999999999</v>
      </c>
      <c r="J201">
        <f t="shared" si="35"/>
        <v>1.8899999999999917E-2</v>
      </c>
      <c r="K201" s="7">
        <f t="shared" si="34"/>
        <v>27.241100000000003</v>
      </c>
      <c r="L201" s="9">
        <v>45134.677083333336</v>
      </c>
      <c r="M201" s="9">
        <v>45134.677083333336</v>
      </c>
      <c r="N201" s="9">
        <v>45135.677083333336</v>
      </c>
    </row>
    <row r="202" spans="1:14" ht="12.75" x14ac:dyDescent="0.2">
      <c r="A202" s="5" t="s">
        <v>237</v>
      </c>
      <c r="B202" s="4" t="s">
        <v>21</v>
      </c>
      <c r="C202" s="4" t="s">
        <v>233</v>
      </c>
      <c r="D202" s="5">
        <v>11.98</v>
      </c>
      <c r="E202" s="4">
        <v>65.62</v>
      </c>
      <c r="F202" s="4">
        <f t="shared" si="32"/>
        <v>53.64</v>
      </c>
      <c r="G202" s="6">
        <v>45121</v>
      </c>
      <c r="H202" s="4">
        <v>1.1493</v>
      </c>
      <c r="I202" s="4">
        <v>1.1646000000000001</v>
      </c>
      <c r="J202">
        <f t="shared" si="35"/>
        <v>1.5300000000000091E-2</v>
      </c>
      <c r="K202" s="7">
        <f t="shared" si="34"/>
        <v>53.624699999999997</v>
      </c>
      <c r="L202" s="9">
        <v>45133.649305555555</v>
      </c>
      <c r="M202" s="9">
        <v>45133.649305555555</v>
      </c>
      <c r="N202" s="9">
        <v>45134.65625</v>
      </c>
    </row>
    <row r="203" spans="1:14" ht="12.75" x14ac:dyDescent="0.2">
      <c r="A203" s="5" t="s">
        <v>238</v>
      </c>
      <c r="B203" s="4" t="s">
        <v>22</v>
      </c>
      <c r="C203" s="4" t="s">
        <v>233</v>
      </c>
      <c r="D203" s="5">
        <v>11.97</v>
      </c>
      <c r="E203" s="4">
        <v>16.45</v>
      </c>
      <c r="F203" s="4">
        <f t="shared" si="32"/>
        <v>4.4799999999999986</v>
      </c>
      <c r="G203" s="6">
        <v>45121</v>
      </c>
      <c r="J203">
        <f t="shared" si="35"/>
        <v>0</v>
      </c>
      <c r="K203" s="7">
        <f t="shared" si="34"/>
        <v>4.4799999999999986</v>
      </c>
      <c r="L203" s="9">
        <v>45133.649305555555</v>
      </c>
      <c r="M203" s="9">
        <v>45133.649305555555</v>
      </c>
      <c r="N203" s="9">
        <v>45134.65625</v>
      </c>
    </row>
    <row r="204" spans="1:14" ht="12.75" x14ac:dyDescent="0.2">
      <c r="A204" s="5" t="s">
        <v>239</v>
      </c>
      <c r="B204" s="4" t="s">
        <v>16</v>
      </c>
      <c r="C204" s="4" t="s">
        <v>240</v>
      </c>
      <c r="D204" s="5">
        <v>14.94</v>
      </c>
      <c r="E204" s="4">
        <v>114.98</v>
      </c>
      <c r="F204" s="4">
        <f t="shared" si="32"/>
        <v>100.04</v>
      </c>
      <c r="G204" s="6">
        <v>45122</v>
      </c>
      <c r="J204">
        <f>SUM(J205:J209)</f>
        <v>9.3999999999998529E-3</v>
      </c>
      <c r="K204" s="7">
        <f t="shared" si="34"/>
        <v>100.03060000000001</v>
      </c>
    </row>
    <row r="205" spans="1:14" ht="12.75" x14ac:dyDescent="0.2">
      <c r="A205" s="5" t="s">
        <v>241</v>
      </c>
      <c r="B205" s="4" t="s">
        <v>71</v>
      </c>
      <c r="C205" s="4" t="s">
        <v>240</v>
      </c>
      <c r="D205" s="5">
        <v>13.16</v>
      </c>
      <c r="E205" s="4">
        <v>13.24</v>
      </c>
      <c r="F205" s="4">
        <f t="shared" si="32"/>
        <v>8.0000000000000071E-2</v>
      </c>
      <c r="G205" s="6">
        <v>45122</v>
      </c>
      <c r="J205">
        <f>I205-H205</f>
        <v>0</v>
      </c>
      <c r="K205" s="7">
        <f t="shared" si="34"/>
        <v>8.0000000000000071E-2</v>
      </c>
      <c r="L205" s="9">
        <v>45133.649305555555</v>
      </c>
      <c r="M205" s="9">
        <v>45133.649305555555</v>
      </c>
      <c r="N205" s="9">
        <v>45134.65625</v>
      </c>
    </row>
    <row r="206" spans="1:14" ht="12.75" x14ac:dyDescent="0.2">
      <c r="A206" s="5" t="s">
        <v>242</v>
      </c>
      <c r="B206" s="4" t="s">
        <v>19</v>
      </c>
      <c r="C206" s="4" t="s">
        <v>240</v>
      </c>
      <c r="D206" s="5">
        <v>13.17</v>
      </c>
      <c r="E206" s="4">
        <v>20.399999999999999</v>
      </c>
      <c r="F206" s="4">
        <f t="shared" si="32"/>
        <v>7.2299999999999986</v>
      </c>
      <c r="G206" s="6">
        <v>45122</v>
      </c>
      <c r="H206" s="4">
        <v>1.1486000000000001</v>
      </c>
      <c r="I206" s="4">
        <v>1.1492</v>
      </c>
      <c r="J206">
        <f t="shared" ref="J206:J209" si="36">I206-H206</f>
        <v>5.9999999999993392E-4</v>
      </c>
      <c r="K206" s="7">
        <f t="shared" si="34"/>
        <v>7.2293999999999983</v>
      </c>
      <c r="L206" s="9">
        <v>45133.649305555555</v>
      </c>
      <c r="M206" s="9">
        <v>45133.649305555555</v>
      </c>
      <c r="N206" s="9">
        <v>45134.65625</v>
      </c>
    </row>
    <row r="207" spans="1:14" ht="12.75" x14ac:dyDescent="0.2">
      <c r="A207" s="5" t="s">
        <v>243</v>
      </c>
      <c r="B207" s="4" t="s">
        <v>20</v>
      </c>
      <c r="C207" s="4" t="s">
        <v>240</v>
      </c>
      <c r="D207" s="5">
        <v>13.18</v>
      </c>
      <c r="E207" s="4">
        <v>43.25</v>
      </c>
      <c r="F207" s="4">
        <f t="shared" si="32"/>
        <v>30.07</v>
      </c>
      <c r="G207" s="6">
        <v>45122</v>
      </c>
      <c r="H207" s="4">
        <v>1.1486000000000001</v>
      </c>
      <c r="I207" s="4">
        <v>1.1544000000000001</v>
      </c>
      <c r="J207">
        <f t="shared" si="36"/>
        <v>5.8000000000000274E-3</v>
      </c>
      <c r="K207" s="7">
        <f t="shared" si="34"/>
        <v>30.0642</v>
      </c>
      <c r="L207" s="9">
        <v>45133.649305555555</v>
      </c>
      <c r="M207" s="9">
        <v>45133.649305555555</v>
      </c>
      <c r="N207" s="9">
        <v>45134.65625</v>
      </c>
    </row>
    <row r="208" spans="1:14" ht="12.75" x14ac:dyDescent="0.2">
      <c r="A208" s="5" t="s">
        <v>244</v>
      </c>
      <c r="B208" s="4" t="s">
        <v>21</v>
      </c>
      <c r="C208" s="4" t="s">
        <v>240</v>
      </c>
      <c r="D208" s="5">
        <v>13.12</v>
      </c>
      <c r="E208" s="4">
        <v>54.73</v>
      </c>
      <c r="F208" s="4">
        <f t="shared" si="32"/>
        <v>41.61</v>
      </c>
      <c r="G208" s="6">
        <v>45122</v>
      </c>
      <c r="H208" s="4">
        <v>1.1486000000000001</v>
      </c>
      <c r="I208" s="4">
        <v>1.1516</v>
      </c>
      <c r="J208">
        <f t="shared" si="36"/>
        <v>2.9999999999998916E-3</v>
      </c>
      <c r="K208" s="7">
        <f t="shared" si="34"/>
        <v>41.606999999999999</v>
      </c>
      <c r="L208" s="9">
        <v>45133.649305555555</v>
      </c>
      <c r="M208" s="9">
        <v>45133.649305555555</v>
      </c>
      <c r="N208" s="9">
        <v>45134.65625</v>
      </c>
    </row>
    <row r="209" spans="1:14" ht="12.75" x14ac:dyDescent="0.2">
      <c r="A209" s="5" t="s">
        <v>245</v>
      </c>
      <c r="B209" s="4" t="s">
        <v>22</v>
      </c>
      <c r="C209" s="4" t="s">
        <v>240</v>
      </c>
      <c r="D209" s="5">
        <v>14.94</v>
      </c>
      <c r="E209" s="4">
        <v>18.89</v>
      </c>
      <c r="F209" s="4">
        <f t="shared" si="32"/>
        <v>3.9500000000000011</v>
      </c>
      <c r="G209" s="6">
        <v>45122</v>
      </c>
      <c r="J209">
        <f t="shared" si="36"/>
        <v>0</v>
      </c>
      <c r="K209" s="7">
        <f t="shared" si="34"/>
        <v>3.9500000000000011</v>
      </c>
      <c r="L209" s="9">
        <v>45133.649305555555</v>
      </c>
      <c r="M209" s="9">
        <v>45133.649305555555</v>
      </c>
      <c r="N209" s="9">
        <v>45134.65625</v>
      </c>
    </row>
    <row r="210" spans="1:14" ht="12.75" x14ac:dyDescent="0.2">
      <c r="A210" s="5" t="s">
        <v>246</v>
      </c>
      <c r="B210" s="4" t="s">
        <v>16</v>
      </c>
      <c r="C210" s="4" t="s">
        <v>247</v>
      </c>
      <c r="D210" s="5">
        <v>13.12</v>
      </c>
      <c r="E210" s="4">
        <v>113.46</v>
      </c>
      <c r="F210" s="4">
        <f t="shared" si="32"/>
        <v>100.33999999999999</v>
      </c>
      <c r="G210" s="6">
        <v>45122</v>
      </c>
      <c r="J210">
        <f>SUM(J211:J215)</f>
        <v>1.499999999999968E-2</v>
      </c>
      <c r="K210" s="7">
        <f t="shared" si="34"/>
        <v>100.32499999999999</v>
      </c>
    </row>
    <row r="211" spans="1:14" ht="12.75" x14ac:dyDescent="0.2">
      <c r="A211" s="5" t="s">
        <v>248</v>
      </c>
      <c r="B211" s="4" t="s">
        <v>71</v>
      </c>
      <c r="C211" s="4" t="s">
        <v>247</v>
      </c>
      <c r="D211" s="5">
        <v>13.19</v>
      </c>
      <c r="E211" s="4">
        <v>13.29</v>
      </c>
      <c r="F211" s="4">
        <f t="shared" si="32"/>
        <v>9.9999999999999645E-2</v>
      </c>
      <c r="G211" s="6">
        <v>45122</v>
      </c>
      <c r="J211">
        <f>I211-H211</f>
        <v>0</v>
      </c>
      <c r="K211" s="7">
        <f t="shared" si="34"/>
        <v>9.9999999999999645E-2</v>
      </c>
      <c r="L211" s="9">
        <v>45134.677083333336</v>
      </c>
      <c r="M211" s="9">
        <v>45134.677083333336</v>
      </c>
      <c r="N211" s="9">
        <v>45135.6875</v>
      </c>
    </row>
    <row r="212" spans="1:14" ht="12.75" x14ac:dyDescent="0.2">
      <c r="A212" s="5" t="s">
        <v>249</v>
      </c>
      <c r="B212" s="4" t="s">
        <v>19</v>
      </c>
      <c r="C212" s="4" t="s">
        <v>247</v>
      </c>
      <c r="D212" s="5">
        <v>13.18</v>
      </c>
      <c r="E212" s="4">
        <v>27.01</v>
      </c>
      <c r="F212" s="4">
        <f t="shared" si="32"/>
        <v>13.830000000000002</v>
      </c>
      <c r="G212" s="6">
        <v>45122</v>
      </c>
      <c r="H212" s="4">
        <v>1.1488</v>
      </c>
      <c r="I212" s="4">
        <v>1.1533</v>
      </c>
      <c r="J212">
        <f t="shared" ref="J212:J215" si="37">I212-H212</f>
        <v>4.4999999999999485E-3</v>
      </c>
      <c r="K212" s="7">
        <f t="shared" si="34"/>
        <v>13.825500000000002</v>
      </c>
      <c r="L212" s="9">
        <v>45133.649305555555</v>
      </c>
      <c r="M212" s="9">
        <v>45133.649305555555</v>
      </c>
      <c r="N212" s="9">
        <v>45134.65625</v>
      </c>
    </row>
    <row r="213" spans="1:14" ht="12.75" x14ac:dyDescent="0.2">
      <c r="A213" s="5" t="s">
        <v>250</v>
      </c>
      <c r="B213" s="4" t="s">
        <v>20</v>
      </c>
      <c r="C213" s="4" t="s">
        <v>247</v>
      </c>
      <c r="D213" s="5">
        <v>13.28</v>
      </c>
      <c r="E213" s="4">
        <v>42.9</v>
      </c>
      <c r="F213" s="4">
        <f t="shared" si="32"/>
        <v>29.619999999999997</v>
      </c>
      <c r="G213" s="6">
        <v>45122</v>
      </c>
      <c r="H213" s="4">
        <v>1.1488</v>
      </c>
      <c r="I213" s="4">
        <v>1.1539999999999999</v>
      </c>
      <c r="J213">
        <f t="shared" si="37"/>
        <v>5.1999999999998714E-3</v>
      </c>
      <c r="K213" s="7">
        <f t="shared" si="34"/>
        <v>29.614799999999999</v>
      </c>
      <c r="L213" s="9">
        <v>45134.677083333336</v>
      </c>
      <c r="M213" s="9">
        <v>45134.677083333336</v>
      </c>
      <c r="N213" s="9">
        <v>45135.6875</v>
      </c>
    </row>
    <row r="214" spans="1:14" ht="12.75" x14ac:dyDescent="0.2">
      <c r="A214" s="5" t="s">
        <v>251</v>
      </c>
      <c r="B214" s="4" t="s">
        <v>21</v>
      </c>
      <c r="C214" s="4" t="s">
        <v>247</v>
      </c>
      <c r="D214" s="5">
        <v>13.3</v>
      </c>
      <c r="E214" s="4">
        <v>53.69</v>
      </c>
      <c r="F214" s="4">
        <f t="shared" si="32"/>
        <v>40.39</v>
      </c>
      <c r="G214" s="6">
        <v>45122</v>
      </c>
      <c r="H214" s="4">
        <v>1.1488</v>
      </c>
      <c r="I214" s="4">
        <v>1.1540999999999999</v>
      </c>
      <c r="J214">
        <f t="shared" si="37"/>
        <v>5.2999999999998604E-3</v>
      </c>
      <c r="K214" s="7">
        <f t="shared" si="34"/>
        <v>40.384700000000002</v>
      </c>
      <c r="L214" s="9">
        <v>45134.677083333336</v>
      </c>
      <c r="M214" s="9">
        <v>45134.677083333336</v>
      </c>
      <c r="N214" s="9">
        <v>45135.6875</v>
      </c>
    </row>
    <row r="215" spans="1:14" ht="12.75" x14ac:dyDescent="0.2">
      <c r="A215" s="5" t="s">
        <v>252</v>
      </c>
      <c r="B215" s="4" t="s">
        <v>22</v>
      </c>
      <c r="C215" s="4" t="s">
        <v>247</v>
      </c>
      <c r="D215" s="5">
        <v>13.26</v>
      </c>
      <c r="E215" s="4">
        <v>17.46</v>
      </c>
      <c r="F215" s="4">
        <f t="shared" si="32"/>
        <v>4.2000000000000011</v>
      </c>
      <c r="G215" s="6">
        <v>45122</v>
      </c>
      <c r="J215">
        <f t="shared" si="37"/>
        <v>0</v>
      </c>
      <c r="K215" s="7">
        <f t="shared" si="34"/>
        <v>4.2000000000000011</v>
      </c>
      <c r="L215" s="9">
        <v>45134.677083333336</v>
      </c>
      <c r="M215" s="9">
        <v>45134.677083333336</v>
      </c>
      <c r="N215" s="9">
        <v>45135.6875</v>
      </c>
    </row>
    <row r="216" spans="1:14" ht="12.75" x14ac:dyDescent="0.2">
      <c r="A216" s="5" t="s">
        <v>253</v>
      </c>
      <c r="B216" s="4" t="s">
        <v>16</v>
      </c>
      <c r="C216" s="4" t="s">
        <v>254</v>
      </c>
      <c r="D216" s="5">
        <v>11.99</v>
      </c>
      <c r="E216" s="4">
        <v>112.06</v>
      </c>
      <c r="F216" s="4">
        <f t="shared" si="32"/>
        <v>100.07000000000001</v>
      </c>
      <c r="G216" s="6">
        <v>45122</v>
      </c>
      <c r="J216">
        <f>SUM(J217:J221)</f>
        <v>2.3499999999999854E-2</v>
      </c>
      <c r="K216" s="7">
        <f t="shared" si="34"/>
        <v>100.04650000000001</v>
      </c>
    </row>
    <row r="217" spans="1:14" ht="12.75" x14ac:dyDescent="0.2">
      <c r="A217" s="5" t="s">
        <v>255</v>
      </c>
      <c r="B217" s="4" t="s">
        <v>71</v>
      </c>
      <c r="C217" s="4" t="s">
        <v>254</v>
      </c>
      <c r="D217" s="5">
        <v>11.98</v>
      </c>
      <c r="E217" s="4">
        <v>12.03</v>
      </c>
      <c r="F217" s="4">
        <f t="shared" si="32"/>
        <v>4.9999999999998934E-2</v>
      </c>
      <c r="G217" s="6">
        <v>45122</v>
      </c>
      <c r="J217">
        <f>I217-H217</f>
        <v>0</v>
      </c>
      <c r="K217" s="7">
        <f t="shared" si="34"/>
        <v>4.9999999999998934E-2</v>
      </c>
      <c r="L217" s="9">
        <v>45133.649305555555</v>
      </c>
      <c r="M217" s="9">
        <v>45133.649305555555</v>
      </c>
      <c r="N217" s="9">
        <v>45134.666666666664</v>
      </c>
    </row>
    <row r="218" spans="1:14" ht="12.75" x14ac:dyDescent="0.2">
      <c r="A218" s="5" t="s">
        <v>256</v>
      </c>
      <c r="B218" s="4" t="s">
        <v>19</v>
      </c>
      <c r="C218" s="4" t="s">
        <v>254</v>
      </c>
      <c r="D218" s="5">
        <v>11.97</v>
      </c>
      <c r="E218" s="4">
        <v>19</v>
      </c>
      <c r="F218" s="4">
        <f t="shared" si="32"/>
        <v>7.0299999999999994</v>
      </c>
      <c r="G218" s="6">
        <v>45122</v>
      </c>
      <c r="H218" s="4">
        <v>1.1488</v>
      </c>
      <c r="I218" s="4">
        <v>1.1513</v>
      </c>
      <c r="J218">
        <f t="shared" ref="J218:J221" si="38">I218-H218</f>
        <v>2.4999999999999467E-3</v>
      </c>
      <c r="K218" s="7">
        <f t="shared" si="34"/>
        <v>7.0274999999999999</v>
      </c>
      <c r="L218" s="9">
        <v>45134.677083333336</v>
      </c>
      <c r="M218" s="9">
        <v>45134.677083333336</v>
      </c>
      <c r="N218" s="9">
        <v>45135.6875</v>
      </c>
    </row>
    <row r="219" spans="1:14" ht="12.75" x14ac:dyDescent="0.2">
      <c r="A219" s="5" t="s">
        <v>257</v>
      </c>
      <c r="B219" s="4" t="s">
        <v>20</v>
      </c>
      <c r="C219" s="4" t="s">
        <v>254</v>
      </c>
      <c r="D219" s="5">
        <v>11.98</v>
      </c>
      <c r="E219" s="4">
        <v>39.75</v>
      </c>
      <c r="F219" s="4">
        <f t="shared" si="32"/>
        <v>27.77</v>
      </c>
      <c r="G219" s="6">
        <v>45122</v>
      </c>
      <c r="H219" s="4">
        <v>1.1488</v>
      </c>
      <c r="I219" s="4">
        <v>1.1669</v>
      </c>
      <c r="J219">
        <f t="shared" si="38"/>
        <v>1.8100000000000005E-2</v>
      </c>
      <c r="K219" s="7">
        <f t="shared" si="34"/>
        <v>27.751899999999999</v>
      </c>
      <c r="L219" s="9">
        <v>45134.677083333336</v>
      </c>
      <c r="M219" s="9">
        <v>45134.677083333336</v>
      </c>
      <c r="N219" s="9">
        <v>45135.6875</v>
      </c>
    </row>
    <row r="220" spans="1:14" ht="12.75" x14ac:dyDescent="0.2">
      <c r="A220" s="5" t="s">
        <v>258</v>
      </c>
      <c r="B220" s="4" t="s">
        <v>21</v>
      </c>
      <c r="C220" s="4" t="s">
        <v>254</v>
      </c>
      <c r="D220" s="5">
        <v>11.96</v>
      </c>
      <c r="E220" s="4">
        <v>59.76</v>
      </c>
      <c r="F220" s="4">
        <f t="shared" si="32"/>
        <v>47.8</v>
      </c>
      <c r="G220" s="6">
        <v>45122</v>
      </c>
      <c r="H220" s="4">
        <v>1.1488</v>
      </c>
      <c r="I220" s="4">
        <v>1.1516999999999999</v>
      </c>
      <c r="J220">
        <f t="shared" si="38"/>
        <v>2.8999999999999027E-3</v>
      </c>
      <c r="K220" s="7">
        <f t="shared" si="34"/>
        <v>47.7971</v>
      </c>
      <c r="L220" s="9">
        <v>45134.677083333336</v>
      </c>
      <c r="M220" s="9">
        <v>45134.677083333336</v>
      </c>
      <c r="N220" s="9">
        <v>45135.6875</v>
      </c>
    </row>
    <row r="221" spans="1:14" ht="12.75" x14ac:dyDescent="0.2">
      <c r="A221" s="5" t="s">
        <v>259</v>
      </c>
      <c r="B221" s="4" t="s">
        <v>22</v>
      </c>
      <c r="C221" s="4" t="s">
        <v>254</v>
      </c>
      <c r="D221" s="5">
        <v>11.99</v>
      </c>
      <c r="E221" s="4">
        <v>17.64</v>
      </c>
      <c r="F221" s="4">
        <f t="shared" si="32"/>
        <v>5.65</v>
      </c>
      <c r="G221" s="6">
        <v>45122</v>
      </c>
      <c r="J221">
        <f t="shared" si="38"/>
        <v>0</v>
      </c>
      <c r="K221" s="7">
        <f t="shared" si="34"/>
        <v>5.65</v>
      </c>
      <c r="L221" s="9">
        <v>45134.677083333336</v>
      </c>
      <c r="M221" s="9">
        <v>45134.677083333336</v>
      </c>
      <c r="N221" s="9">
        <v>45135.6875</v>
      </c>
    </row>
    <row r="222" spans="1:14" ht="12.75" x14ac:dyDescent="0.2">
      <c r="A222" s="5" t="s">
        <v>260</v>
      </c>
      <c r="B222" s="4" t="s">
        <v>16</v>
      </c>
      <c r="C222" s="4" t="s">
        <v>261</v>
      </c>
      <c r="D222" s="5">
        <v>11.99</v>
      </c>
      <c r="E222" s="4">
        <v>112.45</v>
      </c>
      <c r="F222" s="4">
        <f t="shared" si="32"/>
        <v>100.46000000000001</v>
      </c>
      <c r="G222" s="6">
        <v>45122</v>
      </c>
      <c r="J222">
        <f>SUM(J223:J227)</f>
        <v>6.0699999999999976E-2</v>
      </c>
      <c r="K222" s="7">
        <f t="shared" si="34"/>
        <v>100.39930000000001</v>
      </c>
    </row>
    <row r="223" spans="1:14" ht="12.75" x14ac:dyDescent="0.2">
      <c r="A223" s="5" t="s">
        <v>262</v>
      </c>
      <c r="B223" s="4" t="s">
        <v>71</v>
      </c>
      <c r="C223" s="4" t="s">
        <v>261</v>
      </c>
      <c r="D223" s="5">
        <v>12</v>
      </c>
      <c r="E223" s="4">
        <v>12.31</v>
      </c>
      <c r="F223" s="4">
        <f t="shared" si="32"/>
        <v>0.3100000000000005</v>
      </c>
      <c r="G223" s="6">
        <v>45122</v>
      </c>
      <c r="J223">
        <f>I223-H223</f>
        <v>0</v>
      </c>
      <c r="K223" s="7">
        <f t="shared" si="34"/>
        <v>0.3100000000000005</v>
      </c>
      <c r="L223" s="9">
        <v>45133.649305555555</v>
      </c>
      <c r="M223" s="9">
        <v>45133.649305555555</v>
      </c>
      <c r="N223" s="9">
        <v>45134.666666666664</v>
      </c>
    </row>
    <row r="224" spans="1:14" ht="12.75" x14ac:dyDescent="0.2">
      <c r="A224" s="5" t="s">
        <v>263</v>
      </c>
      <c r="B224" s="4" t="s">
        <v>19</v>
      </c>
      <c r="C224" s="4" t="s">
        <v>261</v>
      </c>
      <c r="D224" s="5">
        <v>11.97</v>
      </c>
      <c r="E224" s="4">
        <v>22.63</v>
      </c>
      <c r="F224" s="4">
        <f t="shared" si="32"/>
        <v>10.659999999999998</v>
      </c>
      <c r="G224" s="6">
        <v>45122</v>
      </c>
      <c r="H224" s="4">
        <v>1.149</v>
      </c>
      <c r="I224" s="4">
        <v>1.1775</v>
      </c>
      <c r="J224">
        <f t="shared" ref="J224:J227" si="39">I224-H224</f>
        <v>2.849999999999997E-2</v>
      </c>
      <c r="K224" s="7">
        <f t="shared" si="34"/>
        <v>10.631499999999999</v>
      </c>
      <c r="L224" s="9">
        <v>45133.649305555555</v>
      </c>
      <c r="M224" s="9">
        <v>45133.649305555555</v>
      </c>
      <c r="N224" s="9">
        <v>45134.666666666664</v>
      </c>
    </row>
    <row r="225" spans="1:14" ht="12.75" x14ac:dyDescent="0.2">
      <c r="A225" s="5" t="s">
        <v>264</v>
      </c>
      <c r="B225" s="4" t="s">
        <v>20</v>
      </c>
      <c r="C225" s="4" t="s">
        <v>261</v>
      </c>
      <c r="D225" s="5">
        <v>12.02</v>
      </c>
      <c r="E225" s="4">
        <v>40.340000000000003</v>
      </c>
      <c r="F225" s="4">
        <f t="shared" si="32"/>
        <v>28.320000000000004</v>
      </c>
      <c r="G225" s="6">
        <v>45122</v>
      </c>
      <c r="H225" s="4">
        <v>1.149</v>
      </c>
      <c r="I225" s="4">
        <v>1.1758</v>
      </c>
      <c r="J225">
        <f t="shared" si="39"/>
        <v>2.6799999999999935E-2</v>
      </c>
      <c r="K225" s="7">
        <f t="shared" si="34"/>
        <v>28.293200000000002</v>
      </c>
      <c r="L225" s="9">
        <v>45141.520833333336</v>
      </c>
      <c r="M225" s="9">
        <v>45141.520833333336</v>
      </c>
      <c r="N225" s="9">
        <v>45143.729166666664</v>
      </c>
    </row>
    <row r="226" spans="1:14" ht="12.75" x14ac:dyDescent="0.2">
      <c r="A226" s="5" t="s">
        <v>265</v>
      </c>
      <c r="B226" s="4" t="s">
        <v>21</v>
      </c>
      <c r="C226" s="4" t="s">
        <v>261</v>
      </c>
      <c r="D226" s="5">
        <v>12.08</v>
      </c>
      <c r="E226" s="4">
        <v>58.36</v>
      </c>
      <c r="F226" s="4">
        <f t="shared" si="32"/>
        <v>46.28</v>
      </c>
      <c r="G226" s="6">
        <v>45122</v>
      </c>
      <c r="H226" s="4">
        <v>1.149</v>
      </c>
      <c r="I226" s="4">
        <v>1.1544000000000001</v>
      </c>
      <c r="J226">
        <f t="shared" si="39"/>
        <v>5.4000000000000714E-3</v>
      </c>
      <c r="K226" s="7">
        <f t="shared" si="34"/>
        <v>46.2746</v>
      </c>
      <c r="L226" s="9">
        <v>45134.677083333336</v>
      </c>
      <c r="M226" s="9">
        <v>45134.677083333336</v>
      </c>
      <c r="N226" s="9">
        <v>45135.6875</v>
      </c>
    </row>
    <row r="227" spans="1:14" ht="12.75" x14ac:dyDescent="0.2">
      <c r="A227" s="5" t="s">
        <v>266</v>
      </c>
      <c r="B227" s="4" t="s">
        <v>22</v>
      </c>
      <c r="C227" s="4" t="s">
        <v>261</v>
      </c>
      <c r="D227" s="5">
        <v>12.07</v>
      </c>
      <c r="E227" s="4">
        <v>17.88</v>
      </c>
      <c r="F227" s="4">
        <f t="shared" si="32"/>
        <v>5.8099999999999987</v>
      </c>
      <c r="G227" s="6">
        <v>45122</v>
      </c>
      <c r="J227">
        <f t="shared" si="39"/>
        <v>0</v>
      </c>
      <c r="K227" s="7">
        <f t="shared" si="34"/>
        <v>5.8099999999999987</v>
      </c>
      <c r="L227" s="9">
        <v>45134.677083333336</v>
      </c>
      <c r="M227" s="9">
        <v>45134.677083333336</v>
      </c>
      <c r="N227" s="9">
        <v>45135.6875</v>
      </c>
    </row>
    <row r="228" spans="1:14" ht="12.75" x14ac:dyDescent="0.2">
      <c r="A228" s="5" t="s">
        <v>267</v>
      </c>
      <c r="B228" s="4" t="s">
        <v>16</v>
      </c>
      <c r="C228" s="4" t="s">
        <v>268</v>
      </c>
      <c r="D228" s="5">
        <v>12.06</v>
      </c>
      <c r="E228" s="4">
        <v>112.1</v>
      </c>
      <c r="F228" s="4">
        <f t="shared" si="32"/>
        <v>100.03999999999999</v>
      </c>
      <c r="G228" s="6">
        <v>45122</v>
      </c>
      <c r="J228">
        <f>SUM(J229:J233)</f>
        <v>4.2799999999999727E-2</v>
      </c>
      <c r="K228" s="7">
        <f t="shared" si="34"/>
        <v>99.997199999999992</v>
      </c>
    </row>
    <row r="229" spans="1:14" ht="12.75" x14ac:dyDescent="0.2">
      <c r="A229" s="5" t="s">
        <v>269</v>
      </c>
      <c r="B229" s="4" t="s">
        <v>71</v>
      </c>
      <c r="C229" s="4" t="s">
        <v>268</v>
      </c>
      <c r="D229" s="5">
        <v>11.96</v>
      </c>
      <c r="E229" s="4">
        <v>12.08</v>
      </c>
      <c r="F229" s="4">
        <f t="shared" si="32"/>
        <v>0.11999999999999922</v>
      </c>
      <c r="G229" s="6">
        <v>45122</v>
      </c>
      <c r="J229">
        <f t="shared" ref="J229:J233" si="40">I229-H229</f>
        <v>0</v>
      </c>
      <c r="K229" s="7">
        <f t="shared" si="34"/>
        <v>0.11999999999999922</v>
      </c>
      <c r="L229" s="9">
        <v>45141.520833333336</v>
      </c>
      <c r="M229" s="9">
        <v>45141.520833333336</v>
      </c>
      <c r="N229" s="9">
        <v>45143.729166666664</v>
      </c>
    </row>
    <row r="230" spans="1:14" ht="12.75" x14ac:dyDescent="0.2">
      <c r="A230" s="5" t="s">
        <v>270</v>
      </c>
      <c r="B230" s="4" t="s">
        <v>19</v>
      </c>
      <c r="C230" s="4" t="s">
        <v>268</v>
      </c>
      <c r="D230" s="5">
        <v>11.97</v>
      </c>
      <c r="E230" s="4">
        <v>32.119999999999997</v>
      </c>
      <c r="F230" s="4">
        <f t="shared" si="32"/>
        <v>20.149999999999999</v>
      </c>
      <c r="G230" s="6">
        <v>45122</v>
      </c>
      <c r="H230" s="4">
        <v>1.1488</v>
      </c>
      <c r="I230" s="4">
        <v>1.1834</v>
      </c>
      <c r="J230">
        <f t="shared" si="40"/>
        <v>3.4599999999999964E-2</v>
      </c>
      <c r="K230" s="7">
        <f t="shared" si="34"/>
        <v>20.115399999999998</v>
      </c>
      <c r="L230" s="9">
        <v>45135.6875</v>
      </c>
      <c r="M230" s="9">
        <v>45135.6875</v>
      </c>
      <c r="N230" s="9">
        <v>45141.4375</v>
      </c>
    </row>
    <row r="231" spans="1:14" ht="12.75" x14ac:dyDescent="0.2">
      <c r="A231" s="5" t="s">
        <v>271</v>
      </c>
      <c r="B231" s="4" t="s">
        <v>20</v>
      </c>
      <c r="C231" s="4" t="s">
        <v>268</v>
      </c>
      <c r="D231" s="5">
        <v>12.07</v>
      </c>
      <c r="E231" s="4">
        <v>44.07</v>
      </c>
      <c r="F231" s="4">
        <f t="shared" si="32"/>
        <v>32</v>
      </c>
      <c r="G231" s="6">
        <v>45122</v>
      </c>
      <c r="H231" s="4">
        <v>1.1488</v>
      </c>
      <c r="I231" s="4">
        <v>1.1540999999999999</v>
      </c>
      <c r="J231">
        <f t="shared" si="40"/>
        <v>5.2999999999998604E-3</v>
      </c>
      <c r="K231" s="7">
        <f t="shared" si="34"/>
        <v>31.994700000000002</v>
      </c>
      <c r="L231" s="9">
        <v>45135.6875</v>
      </c>
      <c r="M231" s="9">
        <v>45135.6875</v>
      </c>
      <c r="N231" s="9">
        <v>45141.4375</v>
      </c>
    </row>
    <row r="232" spans="1:14" ht="12.75" x14ac:dyDescent="0.2">
      <c r="A232" s="5" t="s">
        <v>272</v>
      </c>
      <c r="B232" s="4" t="s">
        <v>21</v>
      </c>
      <c r="C232" s="4" t="s">
        <v>268</v>
      </c>
      <c r="D232" s="5">
        <v>12.12</v>
      </c>
      <c r="E232" s="4">
        <v>43.85</v>
      </c>
      <c r="F232" s="4">
        <f t="shared" si="32"/>
        <v>31.730000000000004</v>
      </c>
      <c r="G232" s="6">
        <v>45122</v>
      </c>
      <c r="H232" s="4">
        <v>1.1488</v>
      </c>
      <c r="I232" s="4">
        <v>1.1516999999999999</v>
      </c>
      <c r="J232">
        <f t="shared" si="40"/>
        <v>2.8999999999999027E-3</v>
      </c>
      <c r="K232" s="7">
        <f t="shared" si="34"/>
        <v>31.727100000000004</v>
      </c>
      <c r="L232" s="9">
        <v>45135.6875</v>
      </c>
      <c r="M232" s="9">
        <v>45135.6875</v>
      </c>
      <c r="N232" s="9">
        <v>45141.4375</v>
      </c>
    </row>
    <row r="233" spans="1:14" ht="12.75" x14ac:dyDescent="0.2">
      <c r="A233" s="5" t="s">
        <v>273</v>
      </c>
      <c r="B233" s="4" t="s">
        <v>22</v>
      </c>
      <c r="C233" s="4" t="s">
        <v>268</v>
      </c>
      <c r="D233" s="5">
        <v>12.01</v>
      </c>
      <c r="E233" s="4">
        <v>17.05</v>
      </c>
      <c r="F233" s="4">
        <f t="shared" si="32"/>
        <v>5.0400000000000009</v>
      </c>
      <c r="G233" s="6">
        <v>45122</v>
      </c>
      <c r="J233">
        <f t="shared" si="40"/>
        <v>0</v>
      </c>
      <c r="K233" s="7">
        <f t="shared" si="34"/>
        <v>5.0400000000000009</v>
      </c>
      <c r="L233" s="9">
        <v>45135.6875</v>
      </c>
      <c r="M233" s="9">
        <v>45135.6875</v>
      </c>
      <c r="N233" s="9">
        <v>45141.4375</v>
      </c>
    </row>
    <row r="234" spans="1:14" ht="12.75" x14ac:dyDescent="0.2">
      <c r="A234" s="5" t="s">
        <v>274</v>
      </c>
      <c r="B234" s="4" t="s">
        <v>16</v>
      </c>
      <c r="C234" s="4" t="s">
        <v>275</v>
      </c>
      <c r="D234" s="5">
        <v>14.93</v>
      </c>
      <c r="E234" s="4">
        <v>114.97</v>
      </c>
      <c r="F234" s="4">
        <f t="shared" si="32"/>
        <v>100.03999999999999</v>
      </c>
      <c r="G234" s="6">
        <v>45122</v>
      </c>
      <c r="J234">
        <f>SUM(J235:J239)</f>
        <v>3.3499999999999863E-2</v>
      </c>
      <c r="K234" s="7">
        <f t="shared" si="34"/>
        <v>100.00649999999999</v>
      </c>
    </row>
    <row r="235" spans="1:14" ht="12.75" x14ac:dyDescent="0.2">
      <c r="A235" s="5" t="s">
        <v>276</v>
      </c>
      <c r="B235" s="4" t="s">
        <v>71</v>
      </c>
      <c r="C235" s="4" t="s">
        <v>275</v>
      </c>
      <c r="D235" s="5">
        <v>14.82</v>
      </c>
      <c r="E235" s="4">
        <v>15.25</v>
      </c>
      <c r="F235" s="4">
        <f t="shared" si="32"/>
        <v>0.42999999999999972</v>
      </c>
      <c r="G235" s="6">
        <v>45122</v>
      </c>
      <c r="J235">
        <f t="shared" ref="J235:J239" si="41">I235-H235</f>
        <v>0</v>
      </c>
      <c r="K235" s="7">
        <f t="shared" si="34"/>
        <v>0.42999999999999972</v>
      </c>
      <c r="L235" s="9">
        <v>45143.833333333336</v>
      </c>
      <c r="M235" s="9">
        <v>45143.833333333336</v>
      </c>
      <c r="N235" s="9">
        <v>45149.416666666664</v>
      </c>
    </row>
    <row r="236" spans="1:14" ht="12.75" x14ac:dyDescent="0.2">
      <c r="A236" s="5" t="s">
        <v>277</v>
      </c>
      <c r="B236" s="4" t="s">
        <v>19</v>
      </c>
      <c r="C236" s="4" t="s">
        <v>275</v>
      </c>
      <c r="D236" s="5">
        <v>14.92</v>
      </c>
      <c r="E236" s="4">
        <v>22.27</v>
      </c>
      <c r="F236" s="4">
        <f t="shared" si="32"/>
        <v>7.35</v>
      </c>
      <c r="G236" s="6">
        <v>45122</v>
      </c>
      <c r="H236" s="4">
        <v>1.1489</v>
      </c>
      <c r="I236" s="4">
        <v>1.1516</v>
      </c>
      <c r="J236">
        <f t="shared" si="41"/>
        <v>2.6999999999999247E-3</v>
      </c>
      <c r="K236" s="7">
        <f t="shared" si="34"/>
        <v>7.3472999999999997</v>
      </c>
      <c r="L236" s="9">
        <v>45135.6875</v>
      </c>
      <c r="M236" s="9">
        <v>45135.6875</v>
      </c>
      <c r="N236" s="9">
        <v>45141.4375</v>
      </c>
    </row>
    <row r="237" spans="1:14" ht="12.75" x14ac:dyDescent="0.2">
      <c r="A237" s="5" t="s">
        <v>278</v>
      </c>
      <c r="B237" s="4" t="s">
        <v>20</v>
      </c>
      <c r="C237" s="4" t="s">
        <v>275</v>
      </c>
      <c r="D237" s="5">
        <v>14.95</v>
      </c>
      <c r="E237" s="4">
        <v>40.42</v>
      </c>
      <c r="F237" s="4">
        <f t="shared" si="32"/>
        <v>25.470000000000002</v>
      </c>
      <c r="G237" s="6">
        <v>45122</v>
      </c>
      <c r="H237" s="4">
        <v>1.1489</v>
      </c>
      <c r="I237" s="4">
        <v>1.1744000000000001</v>
      </c>
      <c r="J237">
        <f t="shared" si="41"/>
        <v>2.5500000000000078E-2</v>
      </c>
      <c r="K237" s="7">
        <f t="shared" si="34"/>
        <v>25.444500000000001</v>
      </c>
      <c r="L237" s="9">
        <v>45143.833333333336</v>
      </c>
      <c r="M237" s="9">
        <v>45143.833333333336</v>
      </c>
      <c r="N237" s="9">
        <v>45149.416666666664</v>
      </c>
    </row>
    <row r="238" spans="1:14" ht="12.75" x14ac:dyDescent="0.2">
      <c r="A238" s="5" t="s">
        <v>279</v>
      </c>
      <c r="B238" s="4" t="s">
        <v>21</v>
      </c>
      <c r="C238" s="4" t="s">
        <v>275</v>
      </c>
      <c r="D238" s="5">
        <v>14.88</v>
      </c>
      <c r="E238" s="4">
        <v>64.84</v>
      </c>
      <c r="F238" s="4">
        <f t="shared" si="32"/>
        <v>49.96</v>
      </c>
      <c r="G238" s="6">
        <v>45122</v>
      </c>
      <c r="H238" s="4">
        <v>1.1489</v>
      </c>
      <c r="I238" s="4">
        <v>1.1529</v>
      </c>
      <c r="J238">
        <f t="shared" si="41"/>
        <v>4.0000000000000036E-3</v>
      </c>
      <c r="K238" s="7">
        <f t="shared" si="34"/>
        <v>49.956000000000003</v>
      </c>
      <c r="L238" s="9">
        <v>45135.6875</v>
      </c>
      <c r="M238" s="9">
        <v>45135.6875</v>
      </c>
      <c r="N238" s="9">
        <v>45141.4375</v>
      </c>
    </row>
    <row r="239" spans="1:14" ht="12.75" x14ac:dyDescent="0.2">
      <c r="A239" s="5" t="s">
        <v>280</v>
      </c>
      <c r="B239" s="4" t="s">
        <v>22</v>
      </c>
      <c r="C239" s="4" t="s">
        <v>275</v>
      </c>
      <c r="D239" s="5">
        <v>14.94</v>
      </c>
      <c r="E239" s="4">
        <v>22.44</v>
      </c>
      <c r="F239" s="4">
        <f t="shared" si="32"/>
        <v>7.5000000000000018</v>
      </c>
      <c r="G239" s="6">
        <v>45122</v>
      </c>
      <c r="H239" s="4">
        <v>1.1489</v>
      </c>
      <c r="I239" s="4">
        <v>1.1501999999999999</v>
      </c>
      <c r="J239">
        <f t="shared" si="41"/>
        <v>1.2999999999998568E-3</v>
      </c>
      <c r="K239" s="7">
        <f t="shared" si="34"/>
        <v>7.4987000000000021</v>
      </c>
      <c r="L239" s="9">
        <v>45135.6875</v>
      </c>
      <c r="M239" s="9">
        <v>45135.6875</v>
      </c>
      <c r="N239" s="9">
        <v>45141.4375</v>
      </c>
    </row>
    <row r="240" spans="1:14" ht="12.75" x14ac:dyDescent="0.2">
      <c r="A240" s="5" t="s">
        <v>281</v>
      </c>
      <c r="B240" s="4" t="s">
        <v>16</v>
      </c>
      <c r="C240" s="4" t="s">
        <v>282</v>
      </c>
      <c r="D240" s="5">
        <v>14.95</v>
      </c>
      <c r="E240" s="4">
        <v>115.07</v>
      </c>
      <c r="F240" s="4">
        <f t="shared" si="32"/>
        <v>100.11999999999999</v>
      </c>
      <c r="G240" s="6">
        <v>45122</v>
      </c>
      <c r="J240">
        <f>SUM(J241:J245)</f>
        <v>7.1999999999998732E-3</v>
      </c>
      <c r="K240" s="7">
        <f t="shared" si="34"/>
        <v>100.11279999999999</v>
      </c>
    </row>
    <row r="241" spans="1:14" ht="12.75" x14ac:dyDescent="0.2">
      <c r="A241" s="5" t="s">
        <v>283</v>
      </c>
      <c r="B241" s="4" t="s">
        <v>71</v>
      </c>
      <c r="C241" s="4" t="s">
        <v>282</v>
      </c>
      <c r="D241" s="5">
        <v>14.91</v>
      </c>
      <c r="E241" s="4">
        <v>15.14</v>
      </c>
      <c r="F241" s="4">
        <f t="shared" si="32"/>
        <v>0.23000000000000043</v>
      </c>
      <c r="G241" s="6">
        <v>45122</v>
      </c>
      <c r="J241">
        <f>I241-H241</f>
        <v>0</v>
      </c>
      <c r="K241" s="7">
        <f t="shared" si="34"/>
        <v>0.23000000000000043</v>
      </c>
      <c r="L241" s="9">
        <v>45141.520833333336</v>
      </c>
      <c r="M241" s="9">
        <v>45141.520833333336</v>
      </c>
      <c r="N241" s="9">
        <v>45143.729166666664</v>
      </c>
    </row>
    <row r="242" spans="1:14" ht="12.75" x14ac:dyDescent="0.2">
      <c r="A242" s="5" t="s">
        <v>284</v>
      </c>
      <c r="B242" s="4" t="s">
        <v>19</v>
      </c>
      <c r="C242" s="4" t="s">
        <v>282</v>
      </c>
      <c r="D242" s="5">
        <v>14.9</v>
      </c>
      <c r="E242" s="4">
        <v>17.71</v>
      </c>
      <c r="F242" s="4">
        <f t="shared" si="32"/>
        <v>2.8100000000000005</v>
      </c>
      <c r="G242" s="6">
        <v>45122</v>
      </c>
      <c r="H242" s="4">
        <v>1.1488</v>
      </c>
      <c r="I242" s="4">
        <v>1.149</v>
      </c>
      <c r="J242">
        <f t="shared" ref="J242:J245" si="42">I242-H242</f>
        <v>1.9999999999997797E-4</v>
      </c>
      <c r="K242" s="7">
        <f t="shared" si="34"/>
        <v>2.8098000000000005</v>
      </c>
      <c r="L242" s="9">
        <v>45134.677083333336</v>
      </c>
      <c r="M242" s="9">
        <v>45134.677083333336</v>
      </c>
      <c r="N242" s="9">
        <v>45135.6875</v>
      </c>
    </row>
    <row r="243" spans="1:14" ht="12.75" x14ac:dyDescent="0.2">
      <c r="A243" s="5" t="s">
        <v>285</v>
      </c>
      <c r="B243" s="4" t="s">
        <v>20</v>
      </c>
      <c r="C243" s="4" t="s">
        <v>282</v>
      </c>
      <c r="D243" s="5">
        <v>14.85</v>
      </c>
      <c r="E243" s="4">
        <v>36.89</v>
      </c>
      <c r="F243" s="4">
        <f t="shared" si="32"/>
        <v>22.04</v>
      </c>
      <c r="G243" s="6">
        <v>45122</v>
      </c>
      <c r="H243" s="4">
        <v>1.1488</v>
      </c>
      <c r="I243" s="4">
        <v>1.1536999999999999</v>
      </c>
      <c r="J243">
        <f t="shared" si="42"/>
        <v>4.8999999999999044E-3</v>
      </c>
      <c r="K243" s="7">
        <f t="shared" si="34"/>
        <v>22.0351</v>
      </c>
      <c r="L243" s="9">
        <v>45141.520833333336</v>
      </c>
      <c r="M243" s="9">
        <v>45141.520833333336</v>
      </c>
      <c r="N243" s="9">
        <v>45143.729166666664</v>
      </c>
    </row>
    <row r="244" spans="1:14" ht="12.75" x14ac:dyDescent="0.2">
      <c r="A244" s="5" t="s">
        <v>286</v>
      </c>
      <c r="B244" s="4" t="s">
        <v>21</v>
      </c>
      <c r="C244" s="4" t="s">
        <v>282</v>
      </c>
      <c r="D244" s="5">
        <v>14.87</v>
      </c>
      <c r="E244" s="4">
        <v>66.59</v>
      </c>
      <c r="F244" s="4">
        <f t="shared" si="32"/>
        <v>51.720000000000006</v>
      </c>
      <c r="G244" s="6">
        <v>45122</v>
      </c>
      <c r="H244" s="4">
        <v>1.1488</v>
      </c>
      <c r="I244" s="4">
        <v>1.1509</v>
      </c>
      <c r="J244">
        <f t="shared" si="42"/>
        <v>2.0999999999999908E-3</v>
      </c>
      <c r="K244" s="7">
        <f t="shared" si="34"/>
        <v>51.717900000000007</v>
      </c>
      <c r="L244" s="9">
        <v>45134.677083333336</v>
      </c>
      <c r="M244" s="9">
        <v>45134.677083333336</v>
      </c>
      <c r="N244" s="9">
        <v>45135.6875</v>
      </c>
    </row>
    <row r="245" spans="1:14" ht="12.75" x14ac:dyDescent="0.2">
      <c r="A245" s="5" t="s">
        <v>287</v>
      </c>
      <c r="B245" s="4" t="s">
        <v>22</v>
      </c>
      <c r="C245" s="4" t="s">
        <v>282</v>
      </c>
      <c r="D245" s="5">
        <v>14.9</v>
      </c>
      <c r="E245" s="4">
        <v>25.93</v>
      </c>
      <c r="F245" s="4">
        <f t="shared" si="32"/>
        <v>11.03</v>
      </c>
      <c r="G245" s="6">
        <v>45122</v>
      </c>
      <c r="H245" s="4"/>
      <c r="I245" s="4"/>
      <c r="J245">
        <f t="shared" si="42"/>
        <v>0</v>
      </c>
      <c r="K245" s="7">
        <f t="shared" si="34"/>
        <v>11.03</v>
      </c>
      <c r="L245" s="9">
        <v>45134.677083333336</v>
      </c>
      <c r="M245" s="9">
        <v>45134.677083333336</v>
      </c>
      <c r="N245" s="9">
        <v>45135.6875</v>
      </c>
    </row>
    <row r="246" spans="1:14" ht="12.75" x14ac:dyDescent="0.2">
      <c r="A246" s="5" t="s">
        <v>288</v>
      </c>
      <c r="B246" s="4" t="s">
        <v>16</v>
      </c>
      <c r="C246" s="4" t="s">
        <v>289</v>
      </c>
      <c r="D246" s="5">
        <v>11.99</v>
      </c>
      <c r="E246" s="4">
        <v>112.25</v>
      </c>
      <c r="F246" s="4">
        <f t="shared" si="32"/>
        <v>100.26</v>
      </c>
      <c r="G246" s="6">
        <v>45122</v>
      </c>
      <c r="J246">
        <f>SUM(J247:J251)</f>
        <v>1.839999999999975E-2</v>
      </c>
      <c r="K246" s="7">
        <f t="shared" si="34"/>
        <v>100.24160000000001</v>
      </c>
    </row>
    <row r="247" spans="1:14" ht="12.75" x14ac:dyDescent="0.2">
      <c r="A247" s="5" t="s">
        <v>290</v>
      </c>
      <c r="B247" s="4" t="s">
        <v>71</v>
      </c>
      <c r="C247" s="4" t="s">
        <v>289</v>
      </c>
      <c r="D247" s="5">
        <v>11.99</v>
      </c>
      <c r="E247" s="4">
        <v>12.09</v>
      </c>
      <c r="F247" s="4">
        <f t="shared" si="32"/>
        <v>9.9999999999999645E-2</v>
      </c>
      <c r="G247" s="6">
        <v>45122</v>
      </c>
      <c r="J247">
        <f>I247-H247</f>
        <v>0</v>
      </c>
      <c r="K247" s="7">
        <f t="shared" si="34"/>
        <v>9.9999999999999645E-2</v>
      </c>
      <c r="L247" s="9">
        <v>45141.520833333336</v>
      </c>
      <c r="M247" s="9">
        <v>45141.520833333336</v>
      </c>
      <c r="N247" s="9">
        <v>45143.729166666664</v>
      </c>
    </row>
    <row r="248" spans="1:14" ht="12.75" x14ac:dyDescent="0.2">
      <c r="A248" s="5" t="s">
        <v>291</v>
      </c>
      <c r="B248" s="4" t="s">
        <v>19</v>
      </c>
      <c r="C248" s="4" t="s">
        <v>289</v>
      </c>
      <c r="D248" s="5">
        <v>12.09</v>
      </c>
      <c r="E248" s="4">
        <v>21.16</v>
      </c>
      <c r="F248" s="4">
        <f t="shared" si="32"/>
        <v>9.07</v>
      </c>
      <c r="G248" s="6">
        <v>45122</v>
      </c>
      <c r="H248" s="4">
        <v>1.1488</v>
      </c>
      <c r="I248" s="4">
        <v>1.1500999999999999</v>
      </c>
      <c r="J248">
        <f t="shared" ref="J248:J251" si="43">I248-H248</f>
        <v>1.2999999999998568E-3</v>
      </c>
      <c r="K248" s="7">
        <f t="shared" si="34"/>
        <v>9.0686999999999998</v>
      </c>
      <c r="L248" s="9">
        <v>45134.677083333336</v>
      </c>
      <c r="M248" s="9">
        <v>45134.677083333336</v>
      </c>
      <c r="N248" s="9">
        <v>45135.6875</v>
      </c>
    </row>
    <row r="249" spans="1:14" ht="12.75" x14ac:dyDescent="0.2">
      <c r="A249" s="5" t="s">
        <v>292</v>
      </c>
      <c r="B249" s="4" t="s">
        <v>20</v>
      </c>
      <c r="C249" s="4" t="s">
        <v>289</v>
      </c>
      <c r="D249" s="5">
        <v>11.98</v>
      </c>
      <c r="E249" s="4">
        <v>48.37</v>
      </c>
      <c r="F249" s="4">
        <f t="shared" si="32"/>
        <v>36.39</v>
      </c>
      <c r="G249" s="6">
        <v>45122</v>
      </c>
      <c r="H249" s="4">
        <v>1.1488</v>
      </c>
      <c r="I249" s="4">
        <v>1.1537999999999999</v>
      </c>
      <c r="J249">
        <f t="shared" si="43"/>
        <v>4.9999999999998934E-3</v>
      </c>
      <c r="K249" s="7">
        <f t="shared" si="34"/>
        <v>36.384999999999998</v>
      </c>
      <c r="L249" s="9">
        <v>45141.520833333336</v>
      </c>
      <c r="M249" s="9">
        <v>45141.520833333336</v>
      </c>
      <c r="N249" s="9">
        <v>45143.729166666664</v>
      </c>
    </row>
    <row r="250" spans="1:14" ht="12.75" x14ac:dyDescent="0.2">
      <c r="A250" s="5" t="s">
        <v>293</v>
      </c>
      <c r="B250" s="4" t="s">
        <v>21</v>
      </c>
      <c r="C250" s="4" t="s">
        <v>289</v>
      </c>
      <c r="D250" s="5">
        <v>12.1</v>
      </c>
      <c r="E250" s="4">
        <v>54.22</v>
      </c>
      <c r="F250" s="4">
        <f t="shared" si="32"/>
        <v>42.12</v>
      </c>
      <c r="G250" s="6">
        <v>45122</v>
      </c>
      <c r="H250" s="4">
        <v>1.1488</v>
      </c>
      <c r="I250" s="4">
        <v>1.1604000000000001</v>
      </c>
      <c r="J250">
        <f t="shared" si="43"/>
        <v>1.1600000000000055E-2</v>
      </c>
      <c r="K250" s="7">
        <f t="shared" si="34"/>
        <v>42.108399999999996</v>
      </c>
      <c r="L250" s="9">
        <v>45141.520833333336</v>
      </c>
      <c r="M250" s="9">
        <v>45141.520833333336</v>
      </c>
      <c r="N250" s="9">
        <v>45143.729166666664</v>
      </c>
    </row>
    <row r="251" spans="1:14" ht="12.75" x14ac:dyDescent="0.2">
      <c r="A251" s="5" t="s">
        <v>294</v>
      </c>
      <c r="B251" s="4" t="s">
        <v>22</v>
      </c>
      <c r="C251" s="4" t="s">
        <v>289</v>
      </c>
      <c r="D251" s="5">
        <v>12</v>
      </c>
      <c r="E251" s="4">
        <v>14.75</v>
      </c>
      <c r="F251" s="4">
        <f t="shared" si="32"/>
        <v>2.75</v>
      </c>
      <c r="G251" s="6">
        <v>45122</v>
      </c>
      <c r="H251" s="4">
        <v>1.1488</v>
      </c>
      <c r="I251" s="4">
        <v>1.1493</v>
      </c>
      <c r="J251">
        <f t="shared" si="43"/>
        <v>4.9999999999994493E-4</v>
      </c>
      <c r="K251" s="7">
        <f t="shared" si="34"/>
        <v>2.7495000000000003</v>
      </c>
      <c r="L251" s="9">
        <v>45141.520833333336</v>
      </c>
      <c r="M251" s="9">
        <v>45141.520833333336</v>
      </c>
      <c r="N251" s="9">
        <v>45143.729166666664</v>
      </c>
    </row>
    <row r="252" spans="1:14" ht="12.75" x14ac:dyDescent="0.2">
      <c r="A252" s="5" t="s">
        <v>295</v>
      </c>
      <c r="B252" s="4" t="s">
        <v>16</v>
      </c>
      <c r="C252" s="4" t="s">
        <v>296</v>
      </c>
      <c r="D252" s="5">
        <v>14.98</v>
      </c>
      <c r="E252" s="4">
        <v>115.05</v>
      </c>
      <c r="F252" s="4">
        <f t="shared" si="32"/>
        <v>100.07</v>
      </c>
      <c r="G252" s="6">
        <v>45122</v>
      </c>
      <c r="J252">
        <f>SUM(J253:J257)</f>
        <v>2.6699999999999724E-2</v>
      </c>
      <c r="K252" s="7">
        <f t="shared" si="34"/>
        <v>100.04329999999999</v>
      </c>
    </row>
    <row r="253" spans="1:14" ht="12.75" x14ac:dyDescent="0.2">
      <c r="A253" s="5" t="s">
        <v>297</v>
      </c>
      <c r="B253" s="4" t="s">
        <v>71</v>
      </c>
      <c r="C253" s="4" t="s">
        <v>296</v>
      </c>
      <c r="D253" s="5">
        <v>14.91</v>
      </c>
      <c r="E253" s="4">
        <v>15.05</v>
      </c>
      <c r="F253" s="4">
        <f t="shared" si="32"/>
        <v>0.14000000000000057</v>
      </c>
      <c r="G253" s="6">
        <v>45122</v>
      </c>
      <c r="J253">
        <f>I253-H253</f>
        <v>0</v>
      </c>
      <c r="K253" s="7">
        <f t="shared" si="34"/>
        <v>0.14000000000000057</v>
      </c>
      <c r="L253" s="9">
        <v>45143.833333333336</v>
      </c>
      <c r="M253" s="9">
        <v>45143.833333333336</v>
      </c>
      <c r="N253" s="9">
        <v>45149.416666666664</v>
      </c>
    </row>
    <row r="254" spans="1:14" ht="12.75" x14ac:dyDescent="0.2">
      <c r="A254" s="5" t="s">
        <v>298</v>
      </c>
      <c r="B254" s="4" t="s">
        <v>19</v>
      </c>
      <c r="C254" s="4" t="s">
        <v>296</v>
      </c>
      <c r="D254" s="5">
        <v>15.01</v>
      </c>
      <c r="E254" s="4">
        <v>23.01</v>
      </c>
      <c r="F254" s="4">
        <f t="shared" si="32"/>
        <v>8.0000000000000018</v>
      </c>
      <c r="G254" s="6">
        <v>45122</v>
      </c>
      <c r="H254" s="4">
        <v>1.1487000000000001</v>
      </c>
      <c r="I254" s="4">
        <v>1.1558999999999999</v>
      </c>
      <c r="J254">
        <f t="shared" ref="J254:J257" si="44">I254-H254</f>
        <v>7.1999999999998732E-3</v>
      </c>
      <c r="K254" s="7">
        <f t="shared" si="34"/>
        <v>7.9928000000000017</v>
      </c>
      <c r="L254" s="9">
        <v>45135.6875</v>
      </c>
      <c r="M254" s="9">
        <v>45135.6875</v>
      </c>
      <c r="N254" s="9">
        <v>45141.4375</v>
      </c>
    </row>
    <row r="255" spans="1:14" ht="12.75" x14ac:dyDescent="0.2">
      <c r="A255" s="5" t="s">
        <v>299</v>
      </c>
      <c r="B255" s="4" t="s">
        <v>20</v>
      </c>
      <c r="C255" s="4" t="s">
        <v>296</v>
      </c>
      <c r="D255" s="5">
        <v>11.96</v>
      </c>
      <c r="E255" s="4">
        <v>38.840000000000003</v>
      </c>
      <c r="F255" s="4">
        <f t="shared" si="32"/>
        <v>26.880000000000003</v>
      </c>
      <c r="G255" s="6">
        <v>45122</v>
      </c>
      <c r="H255" s="4">
        <v>1.1487000000000001</v>
      </c>
      <c r="I255" s="4">
        <v>1.1653</v>
      </c>
      <c r="J255">
        <f t="shared" si="44"/>
        <v>1.6599999999999948E-2</v>
      </c>
      <c r="K255" s="7">
        <f t="shared" si="34"/>
        <v>26.863400000000002</v>
      </c>
      <c r="L255" s="9">
        <v>45141.520833333336</v>
      </c>
      <c r="M255" s="9">
        <v>45141.520833333336</v>
      </c>
      <c r="N255" s="9">
        <v>45143.729166666664</v>
      </c>
    </row>
    <row r="256" spans="1:14" ht="12.75" x14ac:dyDescent="0.2">
      <c r="A256" s="5" t="s">
        <v>300</v>
      </c>
      <c r="B256" s="4" t="s">
        <v>21</v>
      </c>
      <c r="C256" s="4" t="s">
        <v>296</v>
      </c>
      <c r="D256" s="5">
        <v>12.01</v>
      </c>
      <c r="E256" s="4">
        <v>57.82</v>
      </c>
      <c r="F256" s="4">
        <f t="shared" si="32"/>
        <v>45.81</v>
      </c>
      <c r="G256" s="6">
        <v>45122</v>
      </c>
      <c r="H256" s="4">
        <v>1.1487000000000001</v>
      </c>
      <c r="I256" s="4">
        <v>1.1516</v>
      </c>
      <c r="J256">
        <f t="shared" si="44"/>
        <v>2.8999999999999027E-3</v>
      </c>
      <c r="K256" s="7">
        <f t="shared" si="34"/>
        <v>45.807100000000005</v>
      </c>
      <c r="L256" s="9">
        <v>45135.6875</v>
      </c>
      <c r="M256" s="9">
        <v>45135.6875</v>
      </c>
      <c r="N256" s="9">
        <v>45141.4375</v>
      </c>
    </row>
    <row r="257" spans="1:14" ht="12.75" x14ac:dyDescent="0.2">
      <c r="A257" s="5" t="s">
        <v>301</v>
      </c>
      <c r="B257" s="4" t="s">
        <v>22</v>
      </c>
      <c r="C257" s="4" t="s">
        <v>296</v>
      </c>
      <c r="D257" s="5">
        <v>12.03</v>
      </c>
      <c r="E257" s="4">
        <v>18.88</v>
      </c>
      <c r="F257" s="4">
        <f t="shared" si="32"/>
        <v>6.85</v>
      </c>
      <c r="G257" s="6">
        <v>45122</v>
      </c>
      <c r="J257">
        <f t="shared" si="44"/>
        <v>0</v>
      </c>
      <c r="K257" s="7">
        <f t="shared" si="34"/>
        <v>6.85</v>
      </c>
      <c r="L257" s="9">
        <v>45135.6875</v>
      </c>
      <c r="M257" s="9">
        <v>45135.6875</v>
      </c>
      <c r="N257" s="9">
        <v>45141.4375</v>
      </c>
    </row>
    <row r="258" spans="1:14" ht="12.75" x14ac:dyDescent="0.2">
      <c r="A258" s="5" t="s">
        <v>302</v>
      </c>
      <c r="B258" s="4" t="s">
        <v>16</v>
      </c>
      <c r="C258" s="4" t="s">
        <v>303</v>
      </c>
      <c r="D258" s="5">
        <v>13.22</v>
      </c>
      <c r="E258" s="4">
        <v>113.23</v>
      </c>
      <c r="F258" s="4">
        <f t="shared" ref="F258:F321" si="45">E258-D258</f>
        <v>100.01</v>
      </c>
      <c r="G258" s="6">
        <v>45124</v>
      </c>
      <c r="J258">
        <f>SUM(J259:J263)</f>
        <v>1.8400000000000194E-2</v>
      </c>
      <c r="K258" s="7">
        <f t="shared" si="34"/>
        <v>99.991600000000005</v>
      </c>
    </row>
    <row r="259" spans="1:14" ht="12.75" x14ac:dyDescent="0.2">
      <c r="A259" s="5" t="s">
        <v>304</v>
      </c>
      <c r="B259" s="4" t="s">
        <v>71</v>
      </c>
      <c r="C259" s="4" t="s">
        <v>303</v>
      </c>
      <c r="D259" s="5">
        <v>13.33</v>
      </c>
      <c r="E259" s="4">
        <v>13.61</v>
      </c>
      <c r="F259" s="4">
        <f t="shared" si="45"/>
        <v>0.27999999999999936</v>
      </c>
      <c r="G259" s="6">
        <v>45124</v>
      </c>
      <c r="J259">
        <f>I259-H259</f>
        <v>0</v>
      </c>
      <c r="K259" s="7">
        <f t="shared" ref="K259:K322" si="46">F259-J259</f>
        <v>0.27999999999999936</v>
      </c>
      <c r="L259" s="9">
        <v>45141.520833333336</v>
      </c>
      <c r="M259" s="9">
        <v>45141.520833333336</v>
      </c>
      <c r="N259" s="9">
        <v>45143.729166666664</v>
      </c>
    </row>
    <row r="260" spans="1:14" ht="12.75" x14ac:dyDescent="0.2">
      <c r="A260" s="5" t="s">
        <v>305</v>
      </c>
      <c r="B260" s="4" t="s">
        <v>19</v>
      </c>
      <c r="C260" s="4" t="s">
        <v>303</v>
      </c>
      <c r="D260" s="5">
        <v>13.39</v>
      </c>
      <c r="E260" s="4">
        <v>22.58</v>
      </c>
      <c r="F260" s="4">
        <f t="shared" si="45"/>
        <v>9.1899999999999977</v>
      </c>
      <c r="G260" s="6">
        <v>45124</v>
      </c>
      <c r="H260" s="4">
        <v>1.1494</v>
      </c>
      <c r="I260" s="4">
        <v>1.1587000000000001</v>
      </c>
      <c r="J260">
        <f t="shared" ref="J260:J263" si="47">I260-H260</f>
        <v>9.300000000000086E-3</v>
      </c>
      <c r="K260" s="7">
        <f t="shared" si="46"/>
        <v>9.1806999999999981</v>
      </c>
      <c r="L260" s="9">
        <v>45135.6875</v>
      </c>
      <c r="M260" s="9">
        <v>45135.6875</v>
      </c>
      <c r="N260" s="9">
        <v>45141.4375</v>
      </c>
    </row>
    <row r="261" spans="1:14" ht="12.75" x14ac:dyDescent="0.2">
      <c r="A261" s="5" t="s">
        <v>306</v>
      </c>
      <c r="B261" s="4" t="s">
        <v>20</v>
      </c>
      <c r="C261" s="4" t="s">
        <v>303</v>
      </c>
      <c r="D261" s="5">
        <v>13.46</v>
      </c>
      <c r="E261" s="4">
        <v>49.54</v>
      </c>
      <c r="F261" s="4">
        <f t="shared" si="45"/>
        <v>36.08</v>
      </c>
      <c r="G261" s="6">
        <v>45124</v>
      </c>
      <c r="H261" s="4">
        <v>1.1494</v>
      </c>
      <c r="I261" s="4">
        <v>1.1552</v>
      </c>
      <c r="J261">
        <f t="shared" si="47"/>
        <v>5.8000000000000274E-3</v>
      </c>
      <c r="K261" s="7">
        <f t="shared" si="46"/>
        <v>36.074199999999998</v>
      </c>
      <c r="L261" s="9">
        <v>45141.520833333336</v>
      </c>
      <c r="M261" s="9">
        <v>45141.520833333336</v>
      </c>
      <c r="N261" s="9">
        <v>45143.729166666664</v>
      </c>
    </row>
    <row r="262" spans="1:14" ht="12.75" x14ac:dyDescent="0.2">
      <c r="A262" s="5" t="s">
        <v>307</v>
      </c>
      <c r="B262" s="4" t="s">
        <v>21</v>
      </c>
      <c r="C262" s="4" t="s">
        <v>303</v>
      </c>
      <c r="D262" s="5">
        <v>13.59</v>
      </c>
      <c r="E262" s="4">
        <v>56.53</v>
      </c>
      <c r="F262" s="4">
        <f t="shared" si="45"/>
        <v>42.94</v>
      </c>
      <c r="G262" s="6">
        <v>45124</v>
      </c>
      <c r="H262" s="4">
        <v>1.1494</v>
      </c>
      <c r="I262" s="4">
        <v>1.1527000000000001</v>
      </c>
      <c r="J262">
        <f t="shared" si="47"/>
        <v>3.3000000000000806E-3</v>
      </c>
      <c r="K262" s="7">
        <f t="shared" si="46"/>
        <v>42.936699999999995</v>
      </c>
      <c r="L262" s="9">
        <v>45135.6875</v>
      </c>
      <c r="M262" s="9">
        <v>45135.6875</v>
      </c>
      <c r="N262" s="9">
        <v>45141.4375</v>
      </c>
    </row>
    <row r="263" spans="1:14" ht="12.75" x14ac:dyDescent="0.2">
      <c r="A263" s="5" t="s">
        <v>308</v>
      </c>
      <c r="B263" s="4" t="s">
        <v>22</v>
      </c>
      <c r="C263" s="4" t="s">
        <v>303</v>
      </c>
      <c r="D263" s="5">
        <v>13.34</v>
      </c>
      <c r="E263" s="4">
        <v>16.600000000000001</v>
      </c>
      <c r="F263" s="4">
        <f t="shared" si="45"/>
        <v>3.2600000000000016</v>
      </c>
      <c r="G263" s="6">
        <v>45124</v>
      </c>
      <c r="J263">
        <f t="shared" si="47"/>
        <v>0</v>
      </c>
      <c r="K263" s="7">
        <f t="shared" si="46"/>
        <v>3.2600000000000016</v>
      </c>
      <c r="L263" s="9">
        <v>45135.6875</v>
      </c>
      <c r="M263" s="9">
        <v>45135.6875</v>
      </c>
      <c r="N263" s="9">
        <v>45141.4375</v>
      </c>
    </row>
    <row r="264" spans="1:14" ht="12.75" x14ac:dyDescent="0.2">
      <c r="A264" s="8">
        <v>44929</v>
      </c>
      <c r="B264" s="4" t="s">
        <v>16</v>
      </c>
      <c r="C264" s="4" t="s">
        <v>309</v>
      </c>
      <c r="D264" s="5">
        <v>13.4</v>
      </c>
      <c r="E264" s="4">
        <v>113.44</v>
      </c>
      <c r="F264" s="4">
        <f t="shared" si="45"/>
        <v>100.03999999999999</v>
      </c>
      <c r="G264" s="6">
        <v>45124</v>
      </c>
      <c r="J264">
        <f>SUM(J265:J269)</f>
        <v>3.9999999999997815E-3</v>
      </c>
      <c r="K264" s="7">
        <f t="shared" si="46"/>
        <v>100.03599999999999</v>
      </c>
    </row>
    <row r="265" spans="1:14" ht="12.75" x14ac:dyDescent="0.2">
      <c r="A265" s="5" t="s">
        <v>310</v>
      </c>
      <c r="B265" s="4" t="s">
        <v>71</v>
      </c>
      <c r="C265" s="4" t="s">
        <v>309</v>
      </c>
      <c r="D265" s="5">
        <v>16.100000000000001</v>
      </c>
      <c r="E265" s="4">
        <v>16.239999999999998</v>
      </c>
      <c r="F265" s="4">
        <f t="shared" si="45"/>
        <v>0.13999999999999702</v>
      </c>
      <c r="G265" s="6">
        <v>45124</v>
      </c>
      <c r="J265">
        <f>I265-H265</f>
        <v>0</v>
      </c>
      <c r="K265" s="7">
        <f t="shared" si="46"/>
        <v>0.13999999999999702</v>
      </c>
      <c r="L265" s="9">
        <v>45153.565972222219</v>
      </c>
      <c r="M265" s="9">
        <v>45153.565972222219</v>
      </c>
      <c r="N265" s="9">
        <v>45159.347222222219</v>
      </c>
    </row>
    <row r="266" spans="1:14" ht="12.75" x14ac:dyDescent="0.2">
      <c r="A266" s="8">
        <v>44960</v>
      </c>
      <c r="B266" s="4" t="s">
        <v>19</v>
      </c>
      <c r="C266" s="4" t="s">
        <v>309</v>
      </c>
      <c r="D266" s="5">
        <v>13.44</v>
      </c>
      <c r="E266" s="4">
        <v>16.899999999999999</v>
      </c>
      <c r="F266" s="4">
        <f t="shared" si="45"/>
        <v>3.4599999999999991</v>
      </c>
      <c r="G266" s="6">
        <v>45124</v>
      </c>
      <c r="H266" s="4">
        <v>1.1489</v>
      </c>
      <c r="I266" s="4">
        <v>1.1514</v>
      </c>
      <c r="J266">
        <f t="shared" ref="J266:J269" si="48">I266-H266</f>
        <v>2.4999999999999467E-3</v>
      </c>
      <c r="K266" s="7">
        <f t="shared" si="46"/>
        <v>3.4574999999999991</v>
      </c>
      <c r="L266" s="9">
        <v>45141.520833333336</v>
      </c>
      <c r="M266" s="9">
        <v>45141.520833333336</v>
      </c>
      <c r="N266" s="9">
        <v>45143.729166666664</v>
      </c>
    </row>
    <row r="267" spans="1:14" ht="12.75" x14ac:dyDescent="0.2">
      <c r="A267" s="8">
        <v>44988</v>
      </c>
      <c r="B267" s="4" t="s">
        <v>20</v>
      </c>
      <c r="C267" s="4" t="s">
        <v>309</v>
      </c>
      <c r="D267" s="5">
        <v>13.32</v>
      </c>
      <c r="E267" s="4">
        <v>38.11</v>
      </c>
      <c r="F267" s="4">
        <f t="shared" si="45"/>
        <v>24.79</v>
      </c>
      <c r="G267" s="6">
        <v>45124</v>
      </c>
      <c r="H267" s="4">
        <v>1.1489</v>
      </c>
      <c r="I267" s="4">
        <v>1.1500999999999999</v>
      </c>
      <c r="J267">
        <f t="shared" si="48"/>
        <v>1.1999999999998678E-3</v>
      </c>
      <c r="K267" s="7">
        <f t="shared" si="46"/>
        <v>24.788799999999998</v>
      </c>
      <c r="L267" s="9">
        <v>45149.4375</v>
      </c>
      <c r="M267" s="9">
        <v>45149.4375</v>
      </c>
      <c r="N267" s="9">
        <v>45151.541666666664</v>
      </c>
    </row>
    <row r="268" spans="1:14" ht="12.75" x14ac:dyDescent="0.2">
      <c r="A268" s="8">
        <v>45019</v>
      </c>
      <c r="B268" s="4" t="s">
        <v>21</v>
      </c>
      <c r="C268" s="4" t="s">
        <v>309</v>
      </c>
      <c r="D268" s="5">
        <v>13.32</v>
      </c>
      <c r="E268" s="4">
        <v>66.680000000000007</v>
      </c>
      <c r="F268" s="4">
        <f t="shared" si="45"/>
        <v>53.360000000000007</v>
      </c>
      <c r="G268" s="6">
        <v>45124</v>
      </c>
      <c r="H268" s="4">
        <v>1.1489</v>
      </c>
      <c r="I268" s="4">
        <v>1.1492</v>
      </c>
      <c r="J268">
        <f t="shared" si="48"/>
        <v>2.9999999999996696E-4</v>
      </c>
      <c r="K268" s="7">
        <f t="shared" si="46"/>
        <v>53.359700000000004</v>
      </c>
      <c r="L268" s="9">
        <v>45141.520833333336</v>
      </c>
      <c r="M268" s="9">
        <v>45141.520833333336</v>
      </c>
      <c r="N268" s="9">
        <v>45143.729166666664</v>
      </c>
    </row>
    <row r="269" spans="1:14" ht="12.75" x14ac:dyDescent="0.2">
      <c r="A269" s="8">
        <v>45049</v>
      </c>
      <c r="B269" s="4" t="s">
        <v>22</v>
      </c>
      <c r="C269" s="4" t="s">
        <v>309</v>
      </c>
      <c r="D269" s="5">
        <v>13.53</v>
      </c>
      <c r="E269" s="4">
        <v>21.15</v>
      </c>
      <c r="F269" s="4">
        <f t="shared" si="45"/>
        <v>7.6199999999999992</v>
      </c>
      <c r="G269" s="6">
        <v>45124</v>
      </c>
      <c r="J269">
        <f t="shared" si="48"/>
        <v>0</v>
      </c>
      <c r="K269" s="7">
        <f t="shared" si="46"/>
        <v>7.6199999999999992</v>
      </c>
      <c r="L269" s="9">
        <v>45141.520833333336</v>
      </c>
      <c r="M269" s="9">
        <v>45141.520833333336</v>
      </c>
      <c r="N269" s="9">
        <v>45143.729166666664</v>
      </c>
    </row>
    <row r="270" spans="1:14" ht="12.75" x14ac:dyDescent="0.2">
      <c r="A270" s="8">
        <v>45080</v>
      </c>
      <c r="B270" s="4" t="s">
        <v>16</v>
      </c>
      <c r="C270" s="4" t="s">
        <v>311</v>
      </c>
      <c r="D270" s="5">
        <v>13.44</v>
      </c>
      <c r="E270" s="4">
        <v>113.55</v>
      </c>
      <c r="F270" s="4">
        <f t="shared" si="45"/>
        <v>100.11</v>
      </c>
      <c r="G270" s="6">
        <v>45124</v>
      </c>
      <c r="J270" s="4">
        <f>SUM(J271:J275)</f>
        <v>7.3000000000000842E-3</v>
      </c>
      <c r="K270" s="7">
        <f t="shared" si="46"/>
        <v>100.1027</v>
      </c>
    </row>
    <row r="271" spans="1:14" ht="12.75" x14ac:dyDescent="0.2">
      <c r="A271" s="5" t="s">
        <v>312</v>
      </c>
      <c r="B271" s="4" t="s">
        <v>71</v>
      </c>
      <c r="C271" s="4" t="s">
        <v>311</v>
      </c>
      <c r="D271" s="5">
        <v>13.22</v>
      </c>
      <c r="E271" s="4">
        <v>13.3</v>
      </c>
      <c r="F271" s="4">
        <f t="shared" si="45"/>
        <v>8.0000000000000071E-2</v>
      </c>
      <c r="G271" s="6">
        <v>45124</v>
      </c>
      <c r="H271" s="4"/>
      <c r="J271" s="4">
        <f>I271-H271</f>
        <v>0</v>
      </c>
      <c r="K271" s="7">
        <f t="shared" si="46"/>
        <v>8.0000000000000071E-2</v>
      </c>
      <c r="L271" s="9">
        <v>45135.6875</v>
      </c>
      <c r="M271" s="9">
        <v>45135.6875</v>
      </c>
      <c r="N271" s="9">
        <v>45141.4375</v>
      </c>
    </row>
    <row r="272" spans="1:14" ht="12.75" x14ac:dyDescent="0.2">
      <c r="A272" s="8">
        <v>45110</v>
      </c>
      <c r="B272" s="4" t="s">
        <v>19</v>
      </c>
      <c r="C272" s="4" t="s">
        <v>311</v>
      </c>
      <c r="D272" s="5">
        <v>13.3</v>
      </c>
      <c r="E272" s="4">
        <v>23.46</v>
      </c>
      <c r="F272" s="4">
        <f t="shared" si="45"/>
        <v>10.16</v>
      </c>
      <c r="G272" s="6">
        <v>45124</v>
      </c>
      <c r="H272" s="4">
        <v>1.149</v>
      </c>
      <c r="I272" s="4">
        <v>1.1547000000000001</v>
      </c>
      <c r="J272" s="4">
        <f t="shared" ref="J272:J275" si="49">I272-H272</f>
        <v>5.7000000000000384E-3</v>
      </c>
      <c r="K272" s="7">
        <f t="shared" si="46"/>
        <v>10.154299999999999</v>
      </c>
      <c r="L272" s="9">
        <v>45135.6875</v>
      </c>
      <c r="M272" s="9">
        <v>45135.6875</v>
      </c>
      <c r="N272" s="9">
        <v>45141.4375</v>
      </c>
    </row>
    <row r="273" spans="1:14" ht="12.75" x14ac:dyDescent="0.2">
      <c r="A273" s="8">
        <v>45141</v>
      </c>
      <c r="B273" s="4" t="s">
        <v>20</v>
      </c>
      <c r="C273" s="4" t="s">
        <v>311</v>
      </c>
      <c r="D273" s="5">
        <v>13.54</v>
      </c>
      <c r="E273" s="4">
        <v>43.89</v>
      </c>
      <c r="F273" s="4">
        <f t="shared" si="45"/>
        <v>30.35</v>
      </c>
      <c r="G273" s="6">
        <v>45124</v>
      </c>
      <c r="H273" s="4">
        <v>1.149</v>
      </c>
      <c r="I273" s="4">
        <v>1.1506000000000001</v>
      </c>
      <c r="J273" s="4">
        <f t="shared" si="49"/>
        <v>1.6000000000000458E-3</v>
      </c>
      <c r="K273" s="7">
        <f t="shared" si="46"/>
        <v>30.348400000000002</v>
      </c>
      <c r="L273" s="9">
        <v>45135.6875</v>
      </c>
      <c r="M273" s="9">
        <v>45135.6875</v>
      </c>
      <c r="N273" s="9">
        <v>45141.4375</v>
      </c>
    </row>
    <row r="274" spans="1:14" ht="12.75" x14ac:dyDescent="0.2">
      <c r="A274" s="8">
        <v>45172</v>
      </c>
      <c r="B274" s="4" t="s">
        <v>21</v>
      </c>
      <c r="C274" s="4" t="s">
        <v>311</v>
      </c>
      <c r="D274" s="5">
        <v>13.38</v>
      </c>
      <c r="E274" s="4">
        <v>59.48</v>
      </c>
      <c r="F274" s="4">
        <f t="shared" si="45"/>
        <v>46.099999999999994</v>
      </c>
      <c r="G274" s="6">
        <v>45124</v>
      </c>
      <c r="J274" s="4">
        <f t="shared" si="49"/>
        <v>0</v>
      </c>
      <c r="K274" s="7">
        <f t="shared" si="46"/>
        <v>46.099999999999994</v>
      </c>
      <c r="L274" s="9">
        <v>45135.6875</v>
      </c>
      <c r="M274" s="9">
        <v>45135.6875</v>
      </c>
      <c r="N274" s="9">
        <v>45141.479166666664</v>
      </c>
    </row>
    <row r="275" spans="1:14" ht="12.75" x14ac:dyDescent="0.2">
      <c r="A275" s="8">
        <v>45202</v>
      </c>
      <c r="B275" s="4" t="s">
        <v>22</v>
      </c>
      <c r="C275" s="4" t="s">
        <v>311</v>
      </c>
      <c r="D275" s="5">
        <v>13.32</v>
      </c>
      <c r="E275" s="4">
        <v>18.86</v>
      </c>
      <c r="F275" s="4">
        <f t="shared" si="45"/>
        <v>5.5399999999999991</v>
      </c>
      <c r="G275" s="6">
        <v>45124</v>
      </c>
      <c r="J275" s="4">
        <f t="shared" si="49"/>
        <v>0</v>
      </c>
      <c r="K275" s="7">
        <f t="shared" si="46"/>
        <v>5.5399999999999991</v>
      </c>
      <c r="L275" s="9">
        <v>45135.6875</v>
      </c>
      <c r="M275" s="9">
        <v>45135.6875</v>
      </c>
      <c r="N275" s="9">
        <v>45141.479166666664</v>
      </c>
    </row>
    <row r="276" spans="1:14" ht="12.75" x14ac:dyDescent="0.2">
      <c r="A276" s="8">
        <v>45233</v>
      </c>
      <c r="B276" s="4" t="s">
        <v>16</v>
      </c>
      <c r="C276" s="4" t="s">
        <v>313</v>
      </c>
      <c r="D276" s="5">
        <v>13.32</v>
      </c>
      <c r="E276" s="4">
        <v>113.62</v>
      </c>
      <c r="F276" s="4">
        <f t="shared" si="45"/>
        <v>100.30000000000001</v>
      </c>
      <c r="G276" s="6">
        <v>45124</v>
      </c>
      <c r="J276">
        <f>SUM(J277:J281)</f>
        <v>3.1199999999999894E-2</v>
      </c>
      <c r="K276" s="7">
        <f t="shared" si="46"/>
        <v>100.26880000000001</v>
      </c>
    </row>
    <row r="277" spans="1:14" ht="12.75" x14ac:dyDescent="0.2">
      <c r="A277" s="5" t="s">
        <v>314</v>
      </c>
      <c r="B277" s="4" t="s">
        <v>71</v>
      </c>
      <c r="C277" s="4" t="s">
        <v>313</v>
      </c>
      <c r="D277" s="5">
        <v>13.53</v>
      </c>
      <c r="E277" s="4">
        <v>13.76</v>
      </c>
      <c r="F277" s="4">
        <f t="shared" si="45"/>
        <v>0.23000000000000043</v>
      </c>
      <c r="G277" s="6">
        <v>45124</v>
      </c>
      <c r="J277">
        <f>I277-H277</f>
        <v>0</v>
      </c>
      <c r="K277" s="7">
        <f t="shared" si="46"/>
        <v>0.23000000000000043</v>
      </c>
      <c r="L277" s="9">
        <v>45149.4375</v>
      </c>
      <c r="M277" s="9">
        <v>45149.4375</v>
      </c>
      <c r="N277" s="9">
        <v>45151.541666666664</v>
      </c>
    </row>
    <row r="278" spans="1:14" ht="12.75" x14ac:dyDescent="0.2">
      <c r="A278" s="8">
        <v>45263</v>
      </c>
      <c r="B278" s="4" t="s">
        <v>19</v>
      </c>
      <c r="C278" s="4" t="s">
        <v>313</v>
      </c>
      <c r="D278" s="5">
        <v>13.27</v>
      </c>
      <c r="E278" s="4">
        <v>19.91</v>
      </c>
      <c r="F278" s="4">
        <f t="shared" si="45"/>
        <v>6.6400000000000006</v>
      </c>
      <c r="G278" s="6">
        <v>45124</v>
      </c>
      <c r="H278" s="4">
        <v>1.1487000000000001</v>
      </c>
      <c r="I278" s="4">
        <v>1.1709000000000001</v>
      </c>
      <c r="J278">
        <f t="shared" ref="J278:J281" si="50">I278-H278</f>
        <v>2.2199999999999998E-2</v>
      </c>
      <c r="K278" s="7">
        <f t="shared" si="46"/>
        <v>6.6178000000000008</v>
      </c>
      <c r="L278" s="9">
        <v>45135.6875</v>
      </c>
      <c r="M278" s="9">
        <v>45135.6875</v>
      </c>
      <c r="N278" s="9">
        <v>45141.479166666664</v>
      </c>
    </row>
    <row r="279" spans="1:14" ht="12.75" x14ac:dyDescent="0.2">
      <c r="A279" s="5" t="s">
        <v>315</v>
      </c>
      <c r="B279" s="4" t="s">
        <v>20</v>
      </c>
      <c r="C279" s="4" t="s">
        <v>313</v>
      </c>
      <c r="D279" s="5">
        <v>13.33</v>
      </c>
      <c r="E279" s="4">
        <v>35.31</v>
      </c>
      <c r="F279" s="4">
        <f t="shared" si="45"/>
        <v>21.980000000000004</v>
      </c>
      <c r="G279" s="6">
        <v>45124</v>
      </c>
      <c r="H279" s="4">
        <v>1.1487000000000001</v>
      </c>
      <c r="I279" s="4">
        <v>1.1563000000000001</v>
      </c>
      <c r="J279">
        <f t="shared" si="50"/>
        <v>7.6000000000000512E-3</v>
      </c>
      <c r="K279" s="7">
        <f t="shared" si="46"/>
        <v>21.972400000000004</v>
      </c>
      <c r="L279" s="9">
        <v>45141.520833333336</v>
      </c>
      <c r="M279" s="9">
        <v>45141.520833333336</v>
      </c>
      <c r="N279" s="9">
        <v>45143.729166666664</v>
      </c>
    </row>
    <row r="280" spans="1:14" ht="12.75" x14ac:dyDescent="0.2">
      <c r="A280" s="5" t="s">
        <v>316</v>
      </c>
      <c r="B280" s="4" t="s">
        <v>21</v>
      </c>
      <c r="C280" s="4" t="s">
        <v>313</v>
      </c>
      <c r="D280" s="5">
        <v>13.36</v>
      </c>
      <c r="E280" s="4">
        <v>66.260000000000005</v>
      </c>
      <c r="F280" s="4">
        <f t="shared" si="45"/>
        <v>52.900000000000006</v>
      </c>
      <c r="G280" s="6">
        <v>45124</v>
      </c>
      <c r="H280" s="4">
        <v>1.1487000000000001</v>
      </c>
      <c r="I280" s="4">
        <v>1.1500999999999999</v>
      </c>
      <c r="J280">
        <f t="shared" si="50"/>
        <v>1.3999999999998458E-3</v>
      </c>
      <c r="K280" s="7">
        <f t="shared" si="46"/>
        <v>52.898600000000009</v>
      </c>
      <c r="L280" s="9">
        <v>45135.6875</v>
      </c>
      <c r="M280" s="9">
        <v>45135.6875</v>
      </c>
      <c r="N280" s="9">
        <v>45141.479166666664</v>
      </c>
    </row>
    <row r="281" spans="1:14" ht="12.75" x14ac:dyDescent="0.2">
      <c r="A281" s="5" t="s">
        <v>317</v>
      </c>
      <c r="B281" s="4" t="s">
        <v>22</v>
      </c>
      <c r="C281" s="4" t="s">
        <v>313</v>
      </c>
      <c r="D281" s="5">
        <v>13.39</v>
      </c>
      <c r="E281" s="4">
        <v>21.73</v>
      </c>
      <c r="F281" s="4">
        <f t="shared" si="45"/>
        <v>8.34</v>
      </c>
      <c r="G281" s="6">
        <v>45124</v>
      </c>
      <c r="J281">
        <f t="shared" si="50"/>
        <v>0</v>
      </c>
      <c r="K281" s="7">
        <f t="shared" si="46"/>
        <v>8.34</v>
      </c>
      <c r="L281" s="9">
        <v>45135.6875</v>
      </c>
      <c r="M281" s="9">
        <v>45135.6875</v>
      </c>
      <c r="N281" s="9">
        <v>45141.479166666664</v>
      </c>
    </row>
    <row r="282" spans="1:14" ht="12.75" x14ac:dyDescent="0.2">
      <c r="A282" s="5" t="s">
        <v>318</v>
      </c>
      <c r="B282" s="4" t="s">
        <v>16</v>
      </c>
      <c r="C282" s="4" t="s">
        <v>319</v>
      </c>
      <c r="D282" s="5">
        <v>13.33</v>
      </c>
      <c r="E282" s="4">
        <v>113.45</v>
      </c>
      <c r="F282" s="4">
        <f t="shared" si="45"/>
        <v>100.12</v>
      </c>
      <c r="G282" s="6">
        <v>45125</v>
      </c>
      <c r="J282">
        <f>SUM(J283:J287)</f>
        <v>2.0199999999999996E-2</v>
      </c>
      <c r="K282" s="7">
        <f t="shared" si="46"/>
        <v>100.0998</v>
      </c>
    </row>
    <row r="283" spans="1:14" ht="12.75" x14ac:dyDescent="0.2">
      <c r="A283" s="5" t="s">
        <v>320</v>
      </c>
      <c r="B283" s="4" t="s">
        <v>71</v>
      </c>
      <c r="C283" s="4" t="s">
        <v>319</v>
      </c>
      <c r="D283" s="5">
        <v>13.56</v>
      </c>
      <c r="E283" s="4">
        <v>13.78</v>
      </c>
      <c r="F283" s="4">
        <f t="shared" si="45"/>
        <v>0.21999999999999886</v>
      </c>
      <c r="G283" s="6">
        <v>45125</v>
      </c>
      <c r="J283">
        <f>I283-H283</f>
        <v>0</v>
      </c>
      <c r="K283" s="7">
        <f t="shared" si="46"/>
        <v>0.21999999999999886</v>
      </c>
      <c r="L283" s="9">
        <v>45135.6875</v>
      </c>
      <c r="M283" s="9">
        <v>45135.6875</v>
      </c>
      <c r="N283" s="9">
        <v>45141.479166666664</v>
      </c>
    </row>
    <row r="284" spans="1:14" ht="12.75" x14ac:dyDescent="0.2">
      <c r="A284" s="5" t="s">
        <v>321</v>
      </c>
      <c r="B284" s="4" t="s">
        <v>19</v>
      </c>
      <c r="C284" s="4" t="s">
        <v>319</v>
      </c>
      <c r="D284" s="5">
        <v>13.29</v>
      </c>
      <c r="E284" s="4">
        <v>15.86</v>
      </c>
      <c r="F284" s="4">
        <f t="shared" si="45"/>
        <v>2.5700000000000003</v>
      </c>
      <c r="G284" s="6">
        <v>45125</v>
      </c>
      <c r="H284" s="4">
        <v>1.1488</v>
      </c>
      <c r="I284" s="4">
        <v>1.1505000000000001</v>
      </c>
      <c r="J284">
        <f t="shared" ref="J284:J287" si="51">I284-H284</f>
        <v>1.7000000000000348E-3</v>
      </c>
      <c r="K284" s="7">
        <f t="shared" si="46"/>
        <v>2.5683000000000002</v>
      </c>
      <c r="L284" s="9">
        <v>45135.6875</v>
      </c>
      <c r="M284" s="9">
        <v>45135.6875</v>
      </c>
      <c r="N284" s="9">
        <v>45141.4375</v>
      </c>
    </row>
    <row r="285" spans="1:14" ht="12.75" x14ac:dyDescent="0.2">
      <c r="A285" s="5" t="s">
        <v>322</v>
      </c>
      <c r="B285" s="4" t="s">
        <v>20</v>
      </c>
      <c r="C285" s="4" t="s">
        <v>319</v>
      </c>
      <c r="D285" s="5">
        <v>13.35</v>
      </c>
      <c r="E285" s="4">
        <v>34.340000000000003</v>
      </c>
      <c r="F285" s="4">
        <f t="shared" si="45"/>
        <v>20.990000000000002</v>
      </c>
      <c r="G285" s="6">
        <v>45125</v>
      </c>
      <c r="H285" s="4">
        <v>1.1488</v>
      </c>
      <c r="I285" s="4">
        <v>1.1623000000000001</v>
      </c>
      <c r="J285">
        <f t="shared" si="51"/>
        <v>1.3500000000000068E-2</v>
      </c>
      <c r="K285" s="7">
        <f t="shared" si="46"/>
        <v>20.976500000000001</v>
      </c>
      <c r="L285" s="9">
        <v>45141.520833333336</v>
      </c>
      <c r="M285" s="9">
        <v>45141.520833333336</v>
      </c>
      <c r="N285" s="9">
        <v>45143.729166666664</v>
      </c>
    </row>
    <row r="286" spans="1:14" ht="12.75" x14ac:dyDescent="0.2">
      <c r="A286" s="5" t="s">
        <v>323</v>
      </c>
      <c r="B286" s="4" t="s">
        <v>21</v>
      </c>
      <c r="C286" s="4" t="s">
        <v>319</v>
      </c>
      <c r="D286" s="5">
        <v>13.31</v>
      </c>
      <c r="E286" s="4">
        <v>65.739999999999995</v>
      </c>
      <c r="F286" s="4">
        <f t="shared" si="45"/>
        <v>52.429999999999993</v>
      </c>
      <c r="G286" s="6">
        <v>45125</v>
      </c>
      <c r="H286" s="4">
        <v>1.1488</v>
      </c>
      <c r="I286" s="4">
        <v>1.1536999999999999</v>
      </c>
      <c r="J286">
        <f t="shared" si="51"/>
        <v>4.8999999999999044E-3</v>
      </c>
      <c r="K286" s="7">
        <f t="shared" si="46"/>
        <v>52.425099999999993</v>
      </c>
      <c r="L286" s="9">
        <v>45135.6875</v>
      </c>
      <c r="M286" s="9">
        <v>45135.6875</v>
      </c>
      <c r="N286" s="9">
        <v>45141.4375</v>
      </c>
    </row>
    <row r="287" spans="1:14" ht="12.75" x14ac:dyDescent="0.2">
      <c r="A287" s="5" t="s">
        <v>324</v>
      </c>
      <c r="B287" s="4" t="s">
        <v>22</v>
      </c>
      <c r="C287" s="4" t="s">
        <v>319</v>
      </c>
      <c r="D287" s="5">
        <v>13.28</v>
      </c>
      <c r="E287" s="4">
        <v>25.36</v>
      </c>
      <c r="F287" s="4">
        <f t="shared" si="45"/>
        <v>12.08</v>
      </c>
      <c r="G287" s="6">
        <v>45125</v>
      </c>
      <c r="H287" s="4">
        <v>1.1488</v>
      </c>
      <c r="I287" s="4">
        <v>1.1489</v>
      </c>
      <c r="J287">
        <f t="shared" si="51"/>
        <v>9.9999999999988987E-5</v>
      </c>
      <c r="K287" s="7">
        <f t="shared" si="46"/>
        <v>12.0799</v>
      </c>
      <c r="L287" s="9">
        <v>45135.6875</v>
      </c>
      <c r="M287" s="9">
        <v>45135.6875</v>
      </c>
      <c r="N287" s="9">
        <v>45141.479166666664</v>
      </c>
    </row>
    <row r="288" spans="1:14" ht="12.75" x14ac:dyDescent="0.2">
      <c r="A288" s="5" t="s">
        <v>325</v>
      </c>
      <c r="B288" s="4" t="s">
        <v>16</v>
      </c>
      <c r="C288" s="4" t="s">
        <v>326</v>
      </c>
      <c r="D288" s="5">
        <v>13.28</v>
      </c>
      <c r="E288" s="4">
        <v>113.53</v>
      </c>
      <c r="F288" s="4">
        <f t="shared" si="45"/>
        <v>100.25</v>
      </c>
      <c r="G288" s="6">
        <v>45125</v>
      </c>
      <c r="J288">
        <f>SUM(J289:J293)</f>
        <v>3.6899999999999933E-2</v>
      </c>
      <c r="K288" s="7">
        <f t="shared" si="46"/>
        <v>100.2131</v>
      </c>
    </row>
    <row r="289" spans="1:14" ht="12.75" x14ac:dyDescent="0.2">
      <c r="A289" s="5" t="s">
        <v>327</v>
      </c>
      <c r="B289" s="4" t="s">
        <v>71</v>
      </c>
      <c r="C289" s="4" t="s">
        <v>326</v>
      </c>
      <c r="D289" s="5">
        <v>13.51</v>
      </c>
      <c r="E289" s="4">
        <v>13.67</v>
      </c>
      <c r="F289" s="4">
        <f t="shared" si="45"/>
        <v>0.16000000000000014</v>
      </c>
      <c r="G289" s="6">
        <v>45125</v>
      </c>
      <c r="J289">
        <f>I289-H289</f>
        <v>0</v>
      </c>
      <c r="K289" s="7">
        <f t="shared" si="46"/>
        <v>0.16000000000000014</v>
      </c>
      <c r="L289" s="9">
        <v>45149.4375</v>
      </c>
      <c r="M289" s="9">
        <v>45149.4375</v>
      </c>
      <c r="N289" s="9">
        <v>45151.541666666664</v>
      </c>
    </row>
    <row r="290" spans="1:14" ht="12.75" x14ac:dyDescent="0.2">
      <c r="A290" s="5" t="s">
        <v>328</v>
      </c>
      <c r="B290" s="4" t="s">
        <v>19</v>
      </c>
      <c r="C290" s="4" t="s">
        <v>326</v>
      </c>
      <c r="D290" s="5">
        <v>16.28</v>
      </c>
      <c r="E290" s="4">
        <v>25.56</v>
      </c>
      <c r="F290" s="4">
        <f t="shared" si="45"/>
        <v>9.2799999999999976</v>
      </c>
      <c r="G290" s="6">
        <v>45125</v>
      </c>
      <c r="H290" s="4">
        <v>1.1489</v>
      </c>
      <c r="I290" s="4">
        <v>1.1566000000000001</v>
      </c>
      <c r="J290">
        <f t="shared" ref="J290:J293" si="52">I290-H290</f>
        <v>7.7000000000000401E-3</v>
      </c>
      <c r="K290" s="7">
        <f t="shared" si="46"/>
        <v>9.2722999999999978</v>
      </c>
      <c r="L290" s="9">
        <v>45149.4375</v>
      </c>
      <c r="M290" s="9">
        <v>45149.4375</v>
      </c>
      <c r="N290" s="9">
        <v>45151.541666666664</v>
      </c>
    </row>
    <row r="291" spans="1:14" ht="12.75" x14ac:dyDescent="0.2">
      <c r="A291" s="5" t="s">
        <v>329</v>
      </c>
      <c r="B291" s="4" t="s">
        <v>20</v>
      </c>
      <c r="C291" s="4" t="s">
        <v>326</v>
      </c>
      <c r="D291" s="5">
        <v>13.93</v>
      </c>
      <c r="E291" s="4">
        <v>38.590000000000003</v>
      </c>
      <c r="F291" s="4">
        <f t="shared" si="45"/>
        <v>24.660000000000004</v>
      </c>
      <c r="G291" s="6">
        <v>45125</v>
      </c>
      <c r="H291" s="4">
        <v>1.1489</v>
      </c>
      <c r="I291" s="4">
        <v>1.1751</v>
      </c>
      <c r="J291">
        <f t="shared" si="52"/>
        <v>2.6200000000000001E-2</v>
      </c>
      <c r="K291" s="7">
        <f t="shared" si="46"/>
        <v>24.633800000000004</v>
      </c>
      <c r="L291" s="9">
        <v>45153.565972222219</v>
      </c>
      <c r="M291" s="9">
        <v>45153.565972222219</v>
      </c>
      <c r="N291" s="9">
        <v>45159.347222222219</v>
      </c>
    </row>
    <row r="292" spans="1:14" ht="12.75" x14ac:dyDescent="0.2">
      <c r="A292" s="5" t="s">
        <v>330</v>
      </c>
      <c r="B292" s="4" t="s">
        <v>21</v>
      </c>
      <c r="C292" s="4" t="s">
        <v>326</v>
      </c>
      <c r="D292" s="5">
        <v>13.27</v>
      </c>
      <c r="E292" s="4">
        <v>61.05</v>
      </c>
      <c r="F292" s="4">
        <f t="shared" si="45"/>
        <v>47.78</v>
      </c>
      <c r="G292" s="6">
        <v>45125</v>
      </c>
      <c r="H292" s="4">
        <v>1.1489</v>
      </c>
      <c r="I292" s="4">
        <v>1.1518999999999999</v>
      </c>
      <c r="J292">
        <f t="shared" si="52"/>
        <v>2.9999999999998916E-3</v>
      </c>
      <c r="K292" s="7">
        <f t="shared" si="46"/>
        <v>47.777000000000001</v>
      </c>
      <c r="L292" s="9">
        <v>45141.520833333336</v>
      </c>
      <c r="M292" s="9">
        <v>45141.520833333336</v>
      </c>
      <c r="N292" s="9">
        <v>45143.729166666664</v>
      </c>
    </row>
    <row r="293" spans="1:14" ht="12.75" x14ac:dyDescent="0.2">
      <c r="A293" s="5" t="s">
        <v>331</v>
      </c>
      <c r="B293" s="4" t="s">
        <v>22</v>
      </c>
      <c r="C293" s="4" t="s">
        <v>326</v>
      </c>
      <c r="D293" s="5">
        <v>13.37</v>
      </c>
      <c r="E293" s="4">
        <v>21.42</v>
      </c>
      <c r="F293" s="4">
        <f t="shared" si="45"/>
        <v>8.0500000000000025</v>
      </c>
      <c r="G293" s="6">
        <v>45125</v>
      </c>
      <c r="J293">
        <f t="shared" si="52"/>
        <v>0</v>
      </c>
      <c r="K293" s="7">
        <f t="shared" si="46"/>
        <v>8.0500000000000025</v>
      </c>
      <c r="L293" s="9">
        <v>45141.520833333336</v>
      </c>
      <c r="M293" s="9">
        <v>45141.520833333336</v>
      </c>
      <c r="N293" s="9">
        <v>45143.729166666664</v>
      </c>
    </row>
    <row r="294" spans="1:14" ht="12.75" x14ac:dyDescent="0.2">
      <c r="A294" s="5" t="s">
        <v>332</v>
      </c>
      <c r="B294" s="4" t="s">
        <v>16</v>
      </c>
      <c r="C294" s="4" t="s">
        <v>333</v>
      </c>
      <c r="D294" s="5">
        <v>16.36</v>
      </c>
      <c r="E294" s="4">
        <v>116.95</v>
      </c>
      <c r="F294" s="4">
        <f t="shared" si="45"/>
        <v>100.59</v>
      </c>
      <c r="G294" s="6">
        <v>45126</v>
      </c>
      <c r="J294">
        <f>SUM(J295:J299)</f>
        <v>7.9000000000000181E-3</v>
      </c>
      <c r="K294" s="7">
        <f t="shared" si="46"/>
        <v>100.5821</v>
      </c>
    </row>
    <row r="295" spans="1:14" ht="12.75" x14ac:dyDescent="0.2">
      <c r="A295" s="5" t="s">
        <v>334</v>
      </c>
      <c r="B295" s="4" t="s">
        <v>71</v>
      </c>
      <c r="C295" s="4" t="s">
        <v>333</v>
      </c>
      <c r="D295" s="5">
        <v>13.29</v>
      </c>
      <c r="E295" s="4">
        <v>13.36</v>
      </c>
      <c r="F295" s="4">
        <f t="shared" si="45"/>
        <v>7.0000000000000284E-2</v>
      </c>
      <c r="G295" s="6">
        <v>45126</v>
      </c>
      <c r="J295">
        <f>I295-H295</f>
        <v>0</v>
      </c>
      <c r="K295" s="7">
        <f t="shared" si="46"/>
        <v>7.0000000000000284E-2</v>
      </c>
      <c r="L295" s="9">
        <v>45153.565972222219</v>
      </c>
      <c r="M295" s="9">
        <v>45153.565972222219</v>
      </c>
      <c r="N295" s="9">
        <v>45159.347222222219</v>
      </c>
    </row>
    <row r="296" spans="1:14" ht="12.75" x14ac:dyDescent="0.2">
      <c r="A296" s="5" t="s">
        <v>335</v>
      </c>
      <c r="B296" s="4" t="s">
        <v>19</v>
      </c>
      <c r="C296" s="4" t="s">
        <v>333</v>
      </c>
      <c r="D296" s="5">
        <v>13.33</v>
      </c>
      <c r="E296" s="4">
        <v>17</v>
      </c>
      <c r="F296" s="4">
        <f t="shared" si="45"/>
        <v>3.67</v>
      </c>
      <c r="G296" s="6">
        <v>45126</v>
      </c>
      <c r="H296" s="4">
        <v>1.1489</v>
      </c>
      <c r="I296" s="4">
        <v>1.1509</v>
      </c>
      <c r="J296">
        <f t="shared" ref="J296:J299" si="53">I296-H296</f>
        <v>2.0000000000000018E-3</v>
      </c>
      <c r="K296" s="7">
        <f t="shared" si="46"/>
        <v>3.6680000000000001</v>
      </c>
      <c r="L296" s="9">
        <v>45149.4375</v>
      </c>
      <c r="M296" s="9">
        <v>45149.4375</v>
      </c>
      <c r="N296" s="9">
        <v>45151.541666666664</v>
      </c>
    </row>
    <row r="297" spans="1:14" ht="12.75" x14ac:dyDescent="0.2">
      <c r="A297" s="5" t="s">
        <v>336</v>
      </c>
      <c r="B297" s="4" t="s">
        <v>20</v>
      </c>
      <c r="C297" s="4" t="s">
        <v>333</v>
      </c>
      <c r="D297" s="5">
        <v>16.03</v>
      </c>
      <c r="E297" s="4">
        <v>35</v>
      </c>
      <c r="F297" s="4">
        <f t="shared" si="45"/>
        <v>18.97</v>
      </c>
      <c r="G297" s="6">
        <v>45126</v>
      </c>
      <c r="H297" s="4">
        <v>1.1489</v>
      </c>
      <c r="I297" s="4">
        <v>1.1532</v>
      </c>
      <c r="J297">
        <f t="shared" si="53"/>
        <v>4.2999999999999705E-3</v>
      </c>
      <c r="K297" s="7">
        <f t="shared" si="46"/>
        <v>18.965699999999998</v>
      </c>
      <c r="L297" s="9">
        <v>45153.565972222219</v>
      </c>
      <c r="M297" s="9">
        <v>45153.565972222219</v>
      </c>
      <c r="N297" s="9">
        <v>45159.347222222219</v>
      </c>
    </row>
    <row r="298" spans="1:14" ht="12.75" x14ac:dyDescent="0.2">
      <c r="A298" s="5" t="s">
        <v>337</v>
      </c>
      <c r="B298" s="4" t="s">
        <v>21</v>
      </c>
      <c r="C298" s="4" t="s">
        <v>333</v>
      </c>
      <c r="D298" s="5">
        <v>16.18</v>
      </c>
      <c r="E298" s="4">
        <v>71.75</v>
      </c>
      <c r="F298" s="4">
        <f t="shared" si="45"/>
        <v>55.57</v>
      </c>
      <c r="G298" s="6">
        <v>45126</v>
      </c>
      <c r="H298" s="4">
        <v>1.1489</v>
      </c>
      <c r="I298" s="4">
        <v>1.1505000000000001</v>
      </c>
      <c r="J298">
        <f t="shared" si="53"/>
        <v>1.6000000000000458E-3</v>
      </c>
      <c r="K298" s="7">
        <f t="shared" si="46"/>
        <v>55.568399999999997</v>
      </c>
      <c r="L298" s="9">
        <v>45149.4375</v>
      </c>
      <c r="M298" s="9">
        <v>45149.4375</v>
      </c>
      <c r="N298" s="9">
        <v>45151.541666666664</v>
      </c>
    </row>
    <row r="299" spans="1:14" ht="12.75" x14ac:dyDescent="0.2">
      <c r="A299" s="5" t="s">
        <v>338</v>
      </c>
      <c r="B299" s="4" t="s">
        <v>22</v>
      </c>
      <c r="C299" s="4" t="s">
        <v>333</v>
      </c>
      <c r="D299" s="5">
        <v>13.3</v>
      </c>
      <c r="E299" s="4">
        <v>24.18</v>
      </c>
      <c r="F299" s="4">
        <f t="shared" si="45"/>
        <v>10.879999999999999</v>
      </c>
      <c r="G299" s="6">
        <v>45126</v>
      </c>
      <c r="J299">
        <f t="shared" si="53"/>
        <v>0</v>
      </c>
      <c r="K299" s="7">
        <f t="shared" si="46"/>
        <v>10.879999999999999</v>
      </c>
      <c r="L299" s="9">
        <v>45143.833333333336</v>
      </c>
      <c r="M299" s="9">
        <v>45143.833333333336</v>
      </c>
      <c r="N299" s="9">
        <v>45149.416666666664</v>
      </c>
    </row>
    <row r="300" spans="1:14" ht="12.75" x14ac:dyDescent="0.2">
      <c r="A300" s="5" t="s">
        <v>339</v>
      </c>
      <c r="B300" s="4" t="s">
        <v>16</v>
      </c>
      <c r="C300" s="4" t="s">
        <v>340</v>
      </c>
      <c r="D300" s="5">
        <v>16.14</v>
      </c>
      <c r="E300" s="4">
        <v>116.46</v>
      </c>
      <c r="F300" s="4">
        <f t="shared" si="45"/>
        <v>100.32</v>
      </c>
      <c r="G300" s="6">
        <v>45126</v>
      </c>
      <c r="J300">
        <f>SUM(J301:J305)</f>
        <v>6.0999999999999943E-3</v>
      </c>
      <c r="K300" s="7">
        <f t="shared" si="46"/>
        <v>100.31389999999999</v>
      </c>
    </row>
    <row r="301" spans="1:14" ht="12.75" x14ac:dyDescent="0.2">
      <c r="A301" s="5" t="s">
        <v>341</v>
      </c>
      <c r="B301" s="4" t="s">
        <v>71</v>
      </c>
      <c r="C301" s="4" t="s">
        <v>340</v>
      </c>
      <c r="D301" s="5">
        <v>13.32</v>
      </c>
      <c r="E301" s="4">
        <v>13.36</v>
      </c>
      <c r="F301" s="4">
        <f t="shared" si="45"/>
        <v>3.9999999999999147E-2</v>
      </c>
      <c r="G301" s="6">
        <v>45126</v>
      </c>
      <c r="J301">
        <f>I301-H301</f>
        <v>0</v>
      </c>
      <c r="K301" s="7">
        <f t="shared" si="46"/>
        <v>3.9999999999999147E-2</v>
      </c>
      <c r="L301" s="9">
        <v>45149.4375</v>
      </c>
      <c r="M301" s="9">
        <v>45149.4375</v>
      </c>
      <c r="N301" s="9">
        <v>45151.541666666664</v>
      </c>
    </row>
    <row r="302" spans="1:14" ht="12.75" x14ac:dyDescent="0.2">
      <c r="A302" s="5" t="s">
        <v>342</v>
      </c>
      <c r="B302" s="4" t="s">
        <v>19</v>
      </c>
      <c r="C302" s="4" t="s">
        <v>340</v>
      </c>
      <c r="D302" s="5">
        <v>16.190000000000001</v>
      </c>
      <c r="E302" s="4">
        <v>27.42</v>
      </c>
      <c r="F302" s="4">
        <f t="shared" si="45"/>
        <v>11.23</v>
      </c>
      <c r="G302" s="6">
        <v>45126</v>
      </c>
      <c r="H302" s="4">
        <v>1.1489</v>
      </c>
      <c r="I302" s="4">
        <v>1.1509</v>
      </c>
      <c r="J302">
        <f t="shared" ref="J302:J305" si="54">I302-H302</f>
        <v>2.0000000000000018E-3</v>
      </c>
      <c r="K302" s="7">
        <f t="shared" si="46"/>
        <v>11.228</v>
      </c>
      <c r="L302" s="9">
        <v>45149.4375</v>
      </c>
      <c r="M302" s="9">
        <v>45149.4375</v>
      </c>
      <c r="N302" s="9">
        <v>45151.541666666664</v>
      </c>
    </row>
    <row r="303" spans="1:14" ht="12.75" x14ac:dyDescent="0.2">
      <c r="A303" s="5" t="s">
        <v>343</v>
      </c>
      <c r="B303" s="4" t="s">
        <v>20</v>
      </c>
      <c r="C303" s="4" t="s">
        <v>340</v>
      </c>
      <c r="D303" s="5">
        <v>16.239999999999998</v>
      </c>
      <c r="E303" s="4">
        <v>45.59</v>
      </c>
      <c r="F303" s="4">
        <f t="shared" si="45"/>
        <v>29.350000000000005</v>
      </c>
      <c r="G303" s="6">
        <v>45126</v>
      </c>
      <c r="H303" s="4">
        <v>1.1489</v>
      </c>
      <c r="I303" s="4">
        <v>1.151</v>
      </c>
      <c r="J303">
        <f t="shared" si="54"/>
        <v>2.0999999999999908E-3</v>
      </c>
      <c r="K303" s="7">
        <f t="shared" si="46"/>
        <v>29.347900000000006</v>
      </c>
      <c r="L303" s="9">
        <v>45141.520833333336</v>
      </c>
      <c r="M303" s="9">
        <v>45141.520833333336</v>
      </c>
      <c r="N303" s="9">
        <v>45143.729166666664</v>
      </c>
    </row>
    <row r="304" spans="1:14" ht="12.75" x14ac:dyDescent="0.2">
      <c r="A304" s="5" t="s">
        <v>344</v>
      </c>
      <c r="B304" s="4" t="s">
        <v>21</v>
      </c>
      <c r="C304" s="4" t="s">
        <v>340</v>
      </c>
      <c r="D304" s="5">
        <v>16.13</v>
      </c>
      <c r="E304" s="4">
        <v>62.49</v>
      </c>
      <c r="F304" s="4">
        <f t="shared" si="45"/>
        <v>46.36</v>
      </c>
      <c r="G304" s="6">
        <v>45126</v>
      </c>
      <c r="H304" s="4">
        <v>1.1489</v>
      </c>
      <c r="I304" s="4">
        <v>1.1509</v>
      </c>
      <c r="J304">
        <f t="shared" si="54"/>
        <v>2.0000000000000018E-3</v>
      </c>
      <c r="K304" s="7">
        <f t="shared" si="46"/>
        <v>46.357999999999997</v>
      </c>
      <c r="L304" s="9">
        <v>45149.4375</v>
      </c>
      <c r="M304" s="9">
        <v>45149.4375</v>
      </c>
      <c r="N304" s="9">
        <v>45151.541666666664</v>
      </c>
    </row>
    <row r="305" spans="1:14" ht="12.75" x14ac:dyDescent="0.2">
      <c r="A305" s="5" t="s">
        <v>345</v>
      </c>
      <c r="B305" s="4" t="s">
        <v>22</v>
      </c>
      <c r="C305" s="4" t="s">
        <v>340</v>
      </c>
      <c r="D305" s="5">
        <v>16.239999999999998</v>
      </c>
      <c r="E305" s="4">
        <v>21.39</v>
      </c>
      <c r="F305" s="4">
        <f t="shared" si="45"/>
        <v>5.1500000000000021</v>
      </c>
      <c r="G305" s="6">
        <v>45126</v>
      </c>
      <c r="H305" s="4"/>
      <c r="J305">
        <f t="shared" si="54"/>
        <v>0</v>
      </c>
      <c r="K305" s="7">
        <f t="shared" si="46"/>
        <v>5.1500000000000021</v>
      </c>
      <c r="L305" s="9">
        <v>45141.520833333336</v>
      </c>
      <c r="M305" s="9">
        <v>45141.520833333336</v>
      </c>
      <c r="N305" s="9">
        <v>45143.729166666664</v>
      </c>
    </row>
    <row r="306" spans="1:14" ht="12.75" x14ac:dyDescent="0.2">
      <c r="A306" s="5" t="s">
        <v>346</v>
      </c>
      <c r="B306" s="4" t="s">
        <v>16</v>
      </c>
      <c r="C306" s="4" t="s">
        <v>347</v>
      </c>
      <c r="D306" s="5">
        <v>13.39</v>
      </c>
      <c r="E306" s="4">
        <v>113.58</v>
      </c>
      <c r="F306" s="4">
        <f t="shared" si="45"/>
        <v>100.19</v>
      </c>
      <c r="G306" s="6">
        <v>45127</v>
      </c>
      <c r="J306">
        <f>SUM(J307:J311)</f>
        <v>8.9999999999990088E-4</v>
      </c>
      <c r="K306" s="7">
        <f t="shared" si="46"/>
        <v>100.1891</v>
      </c>
    </row>
    <row r="307" spans="1:14" ht="12.75" x14ac:dyDescent="0.2">
      <c r="A307" s="5" t="s">
        <v>348</v>
      </c>
      <c r="B307" s="4" t="s">
        <v>71</v>
      </c>
      <c r="C307" s="4" t="s">
        <v>347</v>
      </c>
      <c r="D307" s="5">
        <v>13.37</v>
      </c>
      <c r="E307" s="4">
        <v>13.6</v>
      </c>
      <c r="F307" s="4">
        <f t="shared" si="45"/>
        <v>0.23000000000000043</v>
      </c>
      <c r="G307" s="6">
        <v>45127</v>
      </c>
      <c r="J307">
        <f>I307-H307</f>
        <v>0</v>
      </c>
      <c r="K307" s="7">
        <f t="shared" si="46"/>
        <v>0.23000000000000043</v>
      </c>
      <c r="L307" s="9">
        <v>45159.375</v>
      </c>
      <c r="M307" s="9">
        <v>45159.375</v>
      </c>
      <c r="N307" s="9">
        <v>45161.381944444445</v>
      </c>
    </row>
    <row r="308" spans="1:14" ht="12.75" x14ac:dyDescent="0.2">
      <c r="A308" s="5" t="s">
        <v>349</v>
      </c>
      <c r="B308" s="4" t="s">
        <v>19</v>
      </c>
      <c r="C308" s="4" t="s">
        <v>347</v>
      </c>
      <c r="D308" s="5">
        <v>15.96</v>
      </c>
      <c r="E308" s="4">
        <v>18.91</v>
      </c>
      <c r="F308" s="4">
        <f t="shared" si="45"/>
        <v>2.9499999999999993</v>
      </c>
      <c r="G308" s="6">
        <v>45127</v>
      </c>
      <c r="H308" s="4">
        <v>1.1491</v>
      </c>
      <c r="I308" s="4">
        <v>1.1492</v>
      </c>
      <c r="J308">
        <f t="shared" ref="J308:J311" si="55">I308-H308</f>
        <v>9.9999999999988987E-5</v>
      </c>
      <c r="K308" s="7">
        <f t="shared" si="46"/>
        <v>2.9498999999999995</v>
      </c>
      <c r="L308" s="9">
        <v>45143.833333333336</v>
      </c>
      <c r="M308" s="9">
        <v>45143.833333333336</v>
      </c>
      <c r="N308" s="9">
        <v>45149.416666666664</v>
      </c>
    </row>
    <row r="309" spans="1:14" ht="12.75" x14ac:dyDescent="0.2">
      <c r="A309" s="5" t="s">
        <v>350</v>
      </c>
      <c r="B309" s="4" t="s">
        <v>20</v>
      </c>
      <c r="C309" s="4" t="s">
        <v>347</v>
      </c>
      <c r="D309" s="5">
        <v>13.21</v>
      </c>
      <c r="E309" s="4">
        <v>42.13</v>
      </c>
      <c r="F309" s="4">
        <f t="shared" si="45"/>
        <v>28.92</v>
      </c>
      <c r="G309" s="6">
        <v>45127</v>
      </c>
      <c r="J309">
        <f t="shared" si="55"/>
        <v>0</v>
      </c>
      <c r="K309" s="7">
        <f t="shared" si="46"/>
        <v>28.92</v>
      </c>
      <c r="L309" s="9">
        <v>45159.375</v>
      </c>
      <c r="M309" s="9">
        <v>45159.375</v>
      </c>
      <c r="N309" s="9">
        <v>45161.381944444445</v>
      </c>
    </row>
    <row r="310" spans="1:14" ht="12.75" x14ac:dyDescent="0.2">
      <c r="A310" s="5" t="s">
        <v>351</v>
      </c>
      <c r="B310" s="4" t="s">
        <v>21</v>
      </c>
      <c r="C310" s="4" t="s">
        <v>347</v>
      </c>
      <c r="D310" s="5">
        <v>16.2</v>
      </c>
      <c r="E310" s="4">
        <v>67.239999999999995</v>
      </c>
      <c r="F310" s="4">
        <f t="shared" si="45"/>
        <v>51.039999999999992</v>
      </c>
      <c r="G310" s="6">
        <v>45127</v>
      </c>
      <c r="H310" s="4">
        <v>1.1491</v>
      </c>
      <c r="I310" s="4">
        <v>1.1498999999999999</v>
      </c>
      <c r="J310">
        <f t="shared" si="55"/>
        <v>7.9999999999991189E-4</v>
      </c>
      <c r="K310" s="7">
        <f t="shared" si="46"/>
        <v>51.039199999999994</v>
      </c>
      <c r="L310" s="9">
        <v>45161.399305555555</v>
      </c>
      <c r="M310" s="9">
        <v>45161.399305555555</v>
      </c>
      <c r="N310" s="9">
        <v>45163.399305555555</v>
      </c>
    </row>
    <row r="311" spans="1:14" ht="12.75" x14ac:dyDescent="0.2">
      <c r="A311" s="5" t="s">
        <v>352</v>
      </c>
      <c r="B311" s="4" t="s">
        <v>22</v>
      </c>
      <c r="C311" s="4" t="s">
        <v>347</v>
      </c>
      <c r="D311" s="5">
        <v>12.03</v>
      </c>
      <c r="E311" s="4">
        <v>19.96</v>
      </c>
      <c r="F311" s="4">
        <f t="shared" si="45"/>
        <v>7.9300000000000015</v>
      </c>
      <c r="G311" s="6">
        <v>45127</v>
      </c>
      <c r="J311">
        <f t="shared" si="55"/>
        <v>0</v>
      </c>
      <c r="K311" s="7">
        <f t="shared" si="46"/>
        <v>7.9300000000000015</v>
      </c>
      <c r="L311" s="9">
        <v>45143.833333333336</v>
      </c>
      <c r="M311" s="9">
        <v>45143.833333333336</v>
      </c>
      <c r="N311" s="9">
        <v>45149.416666666664</v>
      </c>
    </row>
    <row r="312" spans="1:14" ht="12.75" x14ac:dyDescent="0.2">
      <c r="A312" s="5" t="s">
        <v>353</v>
      </c>
      <c r="B312" s="4" t="s">
        <v>16</v>
      </c>
      <c r="C312" s="4" t="s">
        <v>354</v>
      </c>
      <c r="D312" s="5">
        <v>16.350000000000001</v>
      </c>
      <c r="E312" s="4">
        <v>116.77</v>
      </c>
      <c r="F312" s="4">
        <f t="shared" si="45"/>
        <v>100.41999999999999</v>
      </c>
      <c r="G312" s="6">
        <v>45127</v>
      </c>
      <c r="J312">
        <f>SUM(J313:J317)</f>
        <v>0.11109999999999998</v>
      </c>
      <c r="K312" s="7">
        <f t="shared" si="46"/>
        <v>100.30889999999999</v>
      </c>
    </row>
    <row r="313" spans="1:14" ht="12.75" x14ac:dyDescent="0.2">
      <c r="A313" s="5" t="s">
        <v>355</v>
      </c>
      <c r="B313" s="4" t="s">
        <v>71</v>
      </c>
      <c r="C313" s="4" t="s">
        <v>354</v>
      </c>
      <c r="D313" s="5">
        <v>15.04</v>
      </c>
      <c r="E313" s="4">
        <v>15.58</v>
      </c>
      <c r="F313" s="4">
        <f t="shared" si="45"/>
        <v>0.54000000000000092</v>
      </c>
      <c r="G313" s="6">
        <v>45127</v>
      </c>
      <c r="J313">
        <f>I313-H313</f>
        <v>0</v>
      </c>
      <c r="K313" s="7">
        <f t="shared" si="46"/>
        <v>0.54000000000000092</v>
      </c>
      <c r="L313" s="9">
        <v>45169.527777777781</v>
      </c>
      <c r="M313" s="9">
        <v>45169.527777777781</v>
      </c>
      <c r="N313" s="9">
        <v>45173.388888888891</v>
      </c>
    </row>
    <row r="314" spans="1:14" ht="12.75" x14ac:dyDescent="0.2">
      <c r="A314" s="5" t="s">
        <v>356</v>
      </c>
      <c r="B314" s="4" t="s">
        <v>19</v>
      </c>
      <c r="C314" s="4" t="s">
        <v>354</v>
      </c>
      <c r="D314" s="5">
        <v>16.41</v>
      </c>
      <c r="E314" s="4">
        <v>21.09</v>
      </c>
      <c r="F314" s="4">
        <f t="shared" si="45"/>
        <v>4.68</v>
      </c>
      <c r="G314" s="6">
        <v>45127</v>
      </c>
      <c r="H314" s="4">
        <v>1.1491</v>
      </c>
      <c r="I314" s="4">
        <v>1.2079</v>
      </c>
      <c r="J314">
        <f t="shared" ref="J314:J317" si="56">I314-H314</f>
        <v>5.8799999999999963E-2</v>
      </c>
      <c r="K314" s="7">
        <f t="shared" si="46"/>
        <v>4.6212</v>
      </c>
      <c r="L314" s="9">
        <v>45143.833333333336</v>
      </c>
      <c r="M314" s="9">
        <v>45143.833333333336</v>
      </c>
      <c r="N314" s="9">
        <v>45149.416666666664</v>
      </c>
    </row>
    <row r="315" spans="1:14" ht="12.75" x14ac:dyDescent="0.2">
      <c r="A315" s="5" t="s">
        <v>357</v>
      </c>
      <c r="B315" s="4" t="s">
        <v>20</v>
      </c>
      <c r="C315" s="4" t="s">
        <v>354</v>
      </c>
      <c r="D315" s="5">
        <v>15</v>
      </c>
      <c r="E315" s="4">
        <v>34.840000000000003</v>
      </c>
      <c r="F315" s="4">
        <f t="shared" si="45"/>
        <v>19.840000000000003</v>
      </c>
      <c r="G315" s="6">
        <v>45127</v>
      </c>
      <c r="H315" s="4">
        <v>1.1491</v>
      </c>
      <c r="I315" s="4">
        <v>1.1898</v>
      </c>
      <c r="J315">
        <f t="shared" si="56"/>
        <v>4.0699999999999958E-2</v>
      </c>
      <c r="K315" s="7">
        <f t="shared" si="46"/>
        <v>19.799300000000002</v>
      </c>
      <c r="L315" s="9">
        <v>45175.440972222219</v>
      </c>
      <c r="M315" s="9">
        <v>45175.440972222219</v>
      </c>
      <c r="N315" s="9">
        <v>45177.440972222219</v>
      </c>
    </row>
    <row r="316" spans="1:14" ht="12.75" x14ac:dyDescent="0.2">
      <c r="A316" s="5" t="s">
        <v>358</v>
      </c>
      <c r="B316" s="4" t="s">
        <v>21</v>
      </c>
      <c r="C316" s="4" t="s">
        <v>354</v>
      </c>
      <c r="D316" s="5">
        <v>16.16</v>
      </c>
      <c r="E316" s="4">
        <v>74.23</v>
      </c>
      <c r="F316" s="4">
        <f t="shared" si="45"/>
        <v>58.070000000000007</v>
      </c>
      <c r="G316" s="6">
        <v>45127</v>
      </c>
      <c r="H316" s="4">
        <v>1.1491</v>
      </c>
      <c r="I316" s="4">
        <v>1.1607000000000001</v>
      </c>
      <c r="J316">
        <f t="shared" si="56"/>
        <v>1.1600000000000055E-2</v>
      </c>
      <c r="K316" s="7">
        <f t="shared" si="46"/>
        <v>58.058400000000006</v>
      </c>
      <c r="L316" s="9">
        <v>45161.399305555555</v>
      </c>
      <c r="M316" s="9">
        <v>45161.399305555555</v>
      </c>
      <c r="N316" s="9">
        <v>45163.399305555555</v>
      </c>
    </row>
    <row r="317" spans="1:14" ht="12.75" x14ac:dyDescent="0.2">
      <c r="A317" s="5" t="s">
        <v>359</v>
      </c>
      <c r="B317" s="4" t="s">
        <v>22</v>
      </c>
      <c r="C317" s="4" t="s">
        <v>354</v>
      </c>
      <c r="D317" s="5">
        <v>15.01</v>
      </c>
      <c r="E317" s="4">
        <v>23.54</v>
      </c>
      <c r="F317" s="4">
        <f t="shared" si="45"/>
        <v>8.5299999999999994</v>
      </c>
      <c r="G317" s="6">
        <v>45127</v>
      </c>
      <c r="J317">
        <f t="shared" si="56"/>
        <v>0</v>
      </c>
      <c r="K317" s="7">
        <f t="shared" si="46"/>
        <v>8.5299999999999994</v>
      </c>
      <c r="L317" s="9">
        <v>45143.833333333336</v>
      </c>
      <c r="M317" s="9">
        <v>45143.833333333336</v>
      </c>
      <c r="N317" s="9">
        <v>45149.416666666664</v>
      </c>
    </row>
    <row r="318" spans="1:14" ht="12.75" x14ac:dyDescent="0.2">
      <c r="A318" s="5" t="s">
        <v>360</v>
      </c>
      <c r="B318" s="4" t="s">
        <v>16</v>
      </c>
      <c r="C318" s="4" t="s">
        <v>361</v>
      </c>
      <c r="D318" s="5">
        <v>13.37</v>
      </c>
      <c r="E318" s="4">
        <v>113.39</v>
      </c>
      <c r="F318" s="4">
        <f t="shared" si="45"/>
        <v>100.02</v>
      </c>
      <c r="G318" s="6">
        <v>45128</v>
      </c>
      <c r="J318">
        <f>SUM(J319:J323)</f>
        <v>3.0099999999999794E-2</v>
      </c>
      <c r="K318" s="7">
        <f t="shared" si="46"/>
        <v>99.989899999999992</v>
      </c>
    </row>
    <row r="319" spans="1:14" ht="12.75" x14ac:dyDescent="0.2">
      <c r="A319" s="5" t="s">
        <v>362</v>
      </c>
      <c r="B319" s="4" t="s">
        <v>71</v>
      </c>
      <c r="C319" s="4" t="s">
        <v>361</v>
      </c>
      <c r="D319" s="5">
        <v>12.11</v>
      </c>
      <c r="E319" s="4">
        <v>12.85</v>
      </c>
      <c r="F319" s="4">
        <f t="shared" si="45"/>
        <v>0.74000000000000021</v>
      </c>
      <c r="G319" s="6">
        <v>45128</v>
      </c>
      <c r="J319">
        <f>I319-H319</f>
        <v>0</v>
      </c>
      <c r="K319" s="7">
        <f t="shared" si="46"/>
        <v>0.74000000000000021</v>
      </c>
      <c r="L319" s="9">
        <v>45151.569444444445</v>
      </c>
      <c r="M319" s="9">
        <v>45151.569444444445</v>
      </c>
      <c r="N319" s="9">
        <v>45153.548611111109</v>
      </c>
    </row>
    <row r="320" spans="1:14" ht="12.75" x14ac:dyDescent="0.2">
      <c r="A320" s="5" t="s">
        <v>363</v>
      </c>
      <c r="B320" s="4" t="s">
        <v>19</v>
      </c>
      <c r="C320" s="4" t="s">
        <v>361</v>
      </c>
      <c r="D320" s="5">
        <v>16.18</v>
      </c>
      <c r="E320" s="4">
        <v>21.04</v>
      </c>
      <c r="F320" s="4">
        <f t="shared" si="45"/>
        <v>4.8599999999999994</v>
      </c>
      <c r="G320" s="6">
        <v>45128</v>
      </c>
      <c r="H320" s="4">
        <v>1.1488</v>
      </c>
      <c r="I320" s="4">
        <v>1.1496999999999999</v>
      </c>
      <c r="J320">
        <f t="shared" ref="J320:J323" si="57">I320-H320</f>
        <v>8.9999999999990088E-4</v>
      </c>
      <c r="K320" s="7">
        <f t="shared" si="46"/>
        <v>4.8590999999999998</v>
      </c>
      <c r="L320" s="9">
        <v>45143.833333333336</v>
      </c>
      <c r="M320" s="9">
        <v>45143.833333333336</v>
      </c>
      <c r="N320" s="9">
        <v>45149.416666666664</v>
      </c>
    </row>
    <row r="321" spans="1:14" ht="12.75" x14ac:dyDescent="0.2">
      <c r="A321" s="5" t="s">
        <v>364</v>
      </c>
      <c r="B321" s="4" t="s">
        <v>20</v>
      </c>
      <c r="C321" s="4" t="s">
        <v>361</v>
      </c>
      <c r="D321" s="5">
        <v>12.06</v>
      </c>
      <c r="E321" s="4">
        <v>47.06</v>
      </c>
      <c r="F321" s="4">
        <f t="shared" si="45"/>
        <v>35</v>
      </c>
      <c r="G321" s="6">
        <v>45128</v>
      </c>
      <c r="H321" s="4">
        <v>1.1488</v>
      </c>
      <c r="I321" s="4">
        <v>1.1687000000000001</v>
      </c>
      <c r="J321">
        <f t="shared" si="57"/>
        <v>1.9900000000000029E-2</v>
      </c>
      <c r="K321" s="7">
        <f t="shared" si="46"/>
        <v>34.9801</v>
      </c>
      <c r="L321" s="9">
        <v>45151.569444444445</v>
      </c>
      <c r="M321" s="9">
        <v>45151.569444444445</v>
      </c>
      <c r="N321" s="9">
        <v>45153.548611111109</v>
      </c>
    </row>
    <row r="322" spans="1:14" ht="12.75" x14ac:dyDescent="0.2">
      <c r="A322" s="5" t="s">
        <v>365</v>
      </c>
      <c r="B322" s="4" t="s">
        <v>21</v>
      </c>
      <c r="C322" s="4" t="s">
        <v>361</v>
      </c>
      <c r="D322" s="5">
        <v>13.26</v>
      </c>
      <c r="E322" s="4">
        <v>60.02</v>
      </c>
      <c r="F322" s="4">
        <f t="shared" ref="F322:F385" si="58">E322-D322</f>
        <v>46.760000000000005</v>
      </c>
      <c r="G322" s="6">
        <v>45128</v>
      </c>
      <c r="H322" s="4">
        <v>1.1488</v>
      </c>
      <c r="I322" s="4">
        <v>1.1580999999999999</v>
      </c>
      <c r="J322">
        <f t="shared" si="57"/>
        <v>9.2999999999998639E-3</v>
      </c>
      <c r="K322" s="7">
        <f t="shared" si="46"/>
        <v>46.750700000000002</v>
      </c>
      <c r="L322" s="9">
        <v>45143.833333333336</v>
      </c>
      <c r="M322" s="9">
        <v>45143.833333333336</v>
      </c>
      <c r="N322" s="9">
        <v>45149.416666666664</v>
      </c>
    </row>
    <row r="323" spans="1:14" ht="12.75" x14ac:dyDescent="0.2">
      <c r="A323" s="5" t="s">
        <v>366</v>
      </c>
      <c r="B323" s="4" t="s">
        <v>22</v>
      </c>
      <c r="C323" s="4" t="s">
        <v>361</v>
      </c>
      <c r="D323" s="5">
        <v>13.22</v>
      </c>
      <c r="E323" s="4">
        <v>18.260000000000002</v>
      </c>
      <c r="F323" s="4">
        <f t="shared" si="58"/>
        <v>5.0400000000000009</v>
      </c>
      <c r="G323" s="6">
        <v>45128</v>
      </c>
      <c r="J323">
        <f t="shared" si="57"/>
        <v>0</v>
      </c>
      <c r="K323" s="7">
        <f t="shared" ref="K323:K386" si="59">F323-J323</f>
        <v>5.0400000000000009</v>
      </c>
      <c r="L323" s="9">
        <v>45151.569444444445</v>
      </c>
      <c r="M323" s="9">
        <v>45151.569444444445</v>
      </c>
      <c r="N323" s="9">
        <v>45153.548611111109</v>
      </c>
    </row>
    <row r="324" spans="1:14" ht="12.75" x14ac:dyDescent="0.2">
      <c r="A324" s="5" t="s">
        <v>367</v>
      </c>
      <c r="B324" s="4" t="s">
        <v>16</v>
      </c>
      <c r="C324" s="4" t="s">
        <v>368</v>
      </c>
      <c r="D324" s="5">
        <v>13.55</v>
      </c>
      <c r="E324" s="4">
        <v>113.61</v>
      </c>
      <c r="F324" s="4">
        <f t="shared" si="58"/>
        <v>100.06</v>
      </c>
      <c r="G324" s="6">
        <v>45128</v>
      </c>
      <c r="J324">
        <f>SUM(J325:J329)</f>
        <v>2.4399999999999755E-2</v>
      </c>
      <c r="K324" s="7">
        <f t="shared" si="59"/>
        <v>100.0356</v>
      </c>
    </row>
    <row r="325" spans="1:14" ht="12.75" x14ac:dyDescent="0.2">
      <c r="A325" s="5" t="s">
        <v>369</v>
      </c>
      <c r="B325" s="4" t="s">
        <v>71</v>
      </c>
      <c r="C325" s="4" t="s">
        <v>368</v>
      </c>
      <c r="D325" s="5">
        <v>13.26</v>
      </c>
      <c r="E325" s="4">
        <v>13.51</v>
      </c>
      <c r="F325" s="4">
        <f t="shared" si="58"/>
        <v>0.25</v>
      </c>
      <c r="G325" s="6">
        <v>45128</v>
      </c>
      <c r="J325">
        <f>I325-H325</f>
        <v>0</v>
      </c>
      <c r="K325" s="7">
        <f t="shared" si="59"/>
        <v>0.25</v>
      </c>
      <c r="L325" s="9">
        <v>45169.527777777781</v>
      </c>
      <c r="M325" s="9">
        <v>45169.527777777781</v>
      </c>
      <c r="N325" s="9">
        <v>45173.388888888891</v>
      </c>
    </row>
    <row r="326" spans="1:14" ht="12.75" x14ac:dyDescent="0.2">
      <c r="A326" s="5" t="s">
        <v>370</v>
      </c>
      <c r="B326" s="4" t="s">
        <v>19</v>
      </c>
      <c r="C326" s="4" t="s">
        <v>368</v>
      </c>
      <c r="D326" s="5">
        <v>13.34</v>
      </c>
      <c r="E326" s="4">
        <v>17.02</v>
      </c>
      <c r="F326" s="4">
        <f t="shared" si="58"/>
        <v>3.6799999999999997</v>
      </c>
      <c r="G326" s="6">
        <v>45128</v>
      </c>
      <c r="H326" s="4">
        <v>1.1488</v>
      </c>
      <c r="I326" s="4">
        <v>1.1638999999999999</v>
      </c>
      <c r="J326">
        <f t="shared" ref="J326:J329" si="60">I326-H326</f>
        <v>1.5099999999999891E-2</v>
      </c>
      <c r="K326" s="7">
        <f t="shared" si="59"/>
        <v>3.6648999999999998</v>
      </c>
      <c r="L326" s="9">
        <v>45159.375</v>
      </c>
      <c r="M326" s="9">
        <v>45159.375</v>
      </c>
      <c r="N326" s="9">
        <v>45161.381944444445</v>
      </c>
    </row>
    <row r="327" spans="1:14" ht="12.75" x14ac:dyDescent="0.2">
      <c r="A327" s="5" t="s">
        <v>371</v>
      </c>
      <c r="B327" s="4" t="s">
        <v>20</v>
      </c>
      <c r="C327" s="4" t="s">
        <v>368</v>
      </c>
      <c r="D327" s="5">
        <v>14.97</v>
      </c>
      <c r="E327" s="4">
        <v>33.24</v>
      </c>
      <c r="F327" s="4">
        <f t="shared" si="58"/>
        <v>18.270000000000003</v>
      </c>
      <c r="G327" s="6">
        <v>45128</v>
      </c>
      <c r="H327" s="4">
        <v>1.1488</v>
      </c>
      <c r="I327" s="4">
        <v>1.1527000000000001</v>
      </c>
      <c r="J327">
        <f t="shared" si="60"/>
        <v>3.9000000000000146E-3</v>
      </c>
      <c r="K327" s="7">
        <f t="shared" si="59"/>
        <v>18.266100000000002</v>
      </c>
      <c r="L327" s="9">
        <v>45167.506944444445</v>
      </c>
      <c r="M327" s="9">
        <v>45167.506944444445</v>
      </c>
      <c r="N327" s="9">
        <v>45169.513888888891</v>
      </c>
    </row>
    <row r="328" spans="1:14" ht="12.75" x14ac:dyDescent="0.2">
      <c r="A328" s="5" t="s">
        <v>372</v>
      </c>
      <c r="B328" s="4" t="s">
        <v>21</v>
      </c>
      <c r="C328" s="4" t="s">
        <v>368</v>
      </c>
      <c r="D328" s="5">
        <v>13.16</v>
      </c>
      <c r="E328" s="4">
        <v>73</v>
      </c>
      <c r="F328" s="4">
        <f t="shared" si="58"/>
        <v>59.84</v>
      </c>
      <c r="G328" s="6">
        <v>45128</v>
      </c>
      <c r="H328" s="4">
        <v>1.1488</v>
      </c>
      <c r="I328" s="4">
        <v>1.1541999999999999</v>
      </c>
      <c r="J328">
        <f t="shared" si="60"/>
        <v>5.3999999999998494E-3</v>
      </c>
      <c r="K328" s="7">
        <f t="shared" si="59"/>
        <v>59.834600000000002</v>
      </c>
      <c r="L328" s="9">
        <v>45161.399305555555</v>
      </c>
      <c r="M328" s="9">
        <v>45161.399305555555</v>
      </c>
      <c r="N328" s="9">
        <v>45163.399305555555</v>
      </c>
    </row>
    <row r="329" spans="1:14" ht="12.75" x14ac:dyDescent="0.2">
      <c r="A329" s="5" t="s">
        <v>373</v>
      </c>
      <c r="B329" s="4" t="s">
        <v>22</v>
      </c>
      <c r="C329" s="4" t="s">
        <v>368</v>
      </c>
      <c r="D329" s="5">
        <v>12.03</v>
      </c>
      <c r="E329" s="4">
        <v>22.12</v>
      </c>
      <c r="F329" s="4">
        <f t="shared" si="58"/>
        <v>10.090000000000002</v>
      </c>
      <c r="G329" s="6">
        <v>45128</v>
      </c>
      <c r="J329">
        <f t="shared" si="60"/>
        <v>0</v>
      </c>
      <c r="K329" s="7">
        <f t="shared" si="59"/>
        <v>10.090000000000002</v>
      </c>
      <c r="L329" s="9">
        <v>45159.375</v>
      </c>
      <c r="M329" s="9">
        <v>45159.375</v>
      </c>
      <c r="N329" s="9">
        <v>45161.381944444445</v>
      </c>
    </row>
    <row r="330" spans="1:14" ht="12.75" x14ac:dyDescent="0.2">
      <c r="A330" s="5" t="s">
        <v>374</v>
      </c>
      <c r="B330" s="4" t="s">
        <v>16</v>
      </c>
      <c r="C330" s="4" t="s">
        <v>375</v>
      </c>
      <c r="D330" s="5">
        <v>13.49</v>
      </c>
      <c r="E330" s="4">
        <v>113.52</v>
      </c>
      <c r="F330" s="4">
        <f t="shared" si="58"/>
        <v>100.03</v>
      </c>
      <c r="G330" s="6">
        <v>45128</v>
      </c>
      <c r="J330">
        <f>SUM(J331:J335)</f>
        <v>8.899999999999908E-3</v>
      </c>
      <c r="K330" s="7">
        <f t="shared" si="59"/>
        <v>100.0211</v>
      </c>
    </row>
    <row r="331" spans="1:14" ht="12.75" x14ac:dyDescent="0.2">
      <c r="A331" s="5" t="s">
        <v>376</v>
      </c>
      <c r="B331" s="4" t="s">
        <v>71</v>
      </c>
      <c r="C331" s="4" t="s">
        <v>375</v>
      </c>
      <c r="D331" s="5">
        <v>14.97</v>
      </c>
      <c r="E331" s="4">
        <v>15.06</v>
      </c>
      <c r="F331" s="4">
        <f t="shared" si="58"/>
        <v>8.9999999999999858E-2</v>
      </c>
      <c r="G331" s="6">
        <v>45128</v>
      </c>
      <c r="J331">
        <f>I331-H331</f>
        <v>0</v>
      </c>
      <c r="K331" s="7">
        <f t="shared" si="59"/>
        <v>8.9999999999999858E-2</v>
      </c>
      <c r="L331" s="9">
        <v>45149.4375</v>
      </c>
      <c r="M331" s="9">
        <v>45149.4375</v>
      </c>
      <c r="N331" s="9">
        <v>45151.541666666664</v>
      </c>
    </row>
    <row r="332" spans="1:14" ht="12.75" x14ac:dyDescent="0.2">
      <c r="A332" s="5" t="s">
        <v>377</v>
      </c>
      <c r="B332" s="4" t="s">
        <v>19</v>
      </c>
      <c r="C332" s="4" t="s">
        <v>375</v>
      </c>
      <c r="D332" s="5">
        <v>13.52</v>
      </c>
      <c r="E332" s="4">
        <v>23.53</v>
      </c>
      <c r="F332" s="4">
        <f t="shared" si="58"/>
        <v>10.010000000000002</v>
      </c>
      <c r="G332" s="6">
        <v>45128</v>
      </c>
      <c r="H332" s="4">
        <v>1.149</v>
      </c>
      <c r="I332" s="4">
        <v>1.1559999999999999</v>
      </c>
      <c r="J332">
        <f t="shared" ref="J332:J335" si="61">I332-H332</f>
        <v>6.9999999999998952E-3</v>
      </c>
      <c r="K332" s="7">
        <f t="shared" si="59"/>
        <v>10.003000000000002</v>
      </c>
      <c r="L332" s="9">
        <v>45149.4375</v>
      </c>
      <c r="M332" s="9">
        <v>45149.4375</v>
      </c>
      <c r="N332" s="9">
        <v>45151.541666666664</v>
      </c>
    </row>
    <row r="333" spans="1:14" ht="12.75" x14ac:dyDescent="0.2">
      <c r="A333" s="5" t="s">
        <v>378</v>
      </c>
      <c r="B333" s="4" t="s">
        <v>20</v>
      </c>
      <c r="C333" s="4" t="s">
        <v>375</v>
      </c>
      <c r="D333" s="5">
        <v>13.2</v>
      </c>
      <c r="E333" s="4">
        <v>44.11</v>
      </c>
      <c r="F333" s="4">
        <f t="shared" si="58"/>
        <v>30.91</v>
      </c>
      <c r="G333" s="6">
        <v>45128</v>
      </c>
      <c r="H333" s="4">
        <v>1.149</v>
      </c>
      <c r="I333" s="4">
        <v>1.1504000000000001</v>
      </c>
      <c r="J333">
        <f t="shared" si="61"/>
        <v>1.4000000000000679E-3</v>
      </c>
      <c r="K333" s="7">
        <f t="shared" si="59"/>
        <v>30.9086</v>
      </c>
      <c r="L333" s="9">
        <v>45149.4375</v>
      </c>
      <c r="M333" s="9">
        <v>45149.4375</v>
      </c>
      <c r="N333" s="9">
        <v>45151.541666666664</v>
      </c>
    </row>
    <row r="334" spans="1:14" ht="12.75" x14ac:dyDescent="0.2">
      <c r="A334" s="5" t="s">
        <v>379</v>
      </c>
      <c r="B334" s="4" t="s">
        <v>21</v>
      </c>
      <c r="C334" s="4" t="s">
        <v>375</v>
      </c>
      <c r="D334" s="5">
        <v>13.68</v>
      </c>
      <c r="E334" s="4">
        <v>56.07</v>
      </c>
      <c r="F334" s="4">
        <f t="shared" si="58"/>
        <v>42.39</v>
      </c>
      <c r="G334" s="6">
        <v>45128</v>
      </c>
      <c r="H334" s="4">
        <v>1.1487000000000001</v>
      </c>
      <c r="I334" s="4">
        <v>1.1492</v>
      </c>
      <c r="J334">
        <f t="shared" si="61"/>
        <v>4.9999999999994493E-4</v>
      </c>
      <c r="K334" s="7">
        <f t="shared" si="59"/>
        <v>42.389499999999998</v>
      </c>
      <c r="L334" s="9">
        <v>45149.4375</v>
      </c>
      <c r="M334" s="9">
        <v>45149.4375</v>
      </c>
      <c r="N334" s="9">
        <v>45151.541666666664</v>
      </c>
    </row>
    <row r="335" spans="1:14" ht="12.75" x14ac:dyDescent="0.2">
      <c r="A335" s="5" t="s">
        <v>380</v>
      </c>
      <c r="B335" s="4" t="s">
        <v>22</v>
      </c>
      <c r="C335" s="4" t="s">
        <v>375</v>
      </c>
      <c r="D335" s="5">
        <v>13.16</v>
      </c>
      <c r="E335" s="4">
        <v>21.4</v>
      </c>
      <c r="F335" s="4">
        <f t="shared" si="58"/>
        <v>8.2399999999999984</v>
      </c>
      <c r="G335" s="6">
        <v>45128</v>
      </c>
      <c r="J335">
        <f t="shared" si="61"/>
        <v>0</v>
      </c>
      <c r="K335" s="7">
        <f t="shared" si="59"/>
        <v>8.2399999999999984</v>
      </c>
      <c r="L335" s="9">
        <v>45149.4375</v>
      </c>
      <c r="M335" s="9">
        <v>45149.4375</v>
      </c>
      <c r="N335" s="9">
        <v>45151.541666666664</v>
      </c>
    </row>
    <row r="336" spans="1:14" ht="12.75" x14ac:dyDescent="0.2">
      <c r="A336" s="5" t="s">
        <v>381</v>
      </c>
      <c r="B336" s="4" t="s">
        <v>16</v>
      </c>
      <c r="C336" s="4" t="s">
        <v>382</v>
      </c>
      <c r="D336" s="5">
        <v>13.4</v>
      </c>
      <c r="E336" s="4">
        <v>113.43</v>
      </c>
      <c r="F336" s="4">
        <f t="shared" si="58"/>
        <v>100.03</v>
      </c>
      <c r="G336" s="6">
        <v>45128</v>
      </c>
      <c r="J336">
        <f>SUM(J337:J341)</f>
        <v>6.999999999999984E-2</v>
      </c>
      <c r="K336" s="7">
        <f t="shared" si="59"/>
        <v>99.960000000000008</v>
      </c>
    </row>
    <row r="337" spans="1:14" ht="12.75" x14ac:dyDescent="0.2">
      <c r="A337" s="5" t="s">
        <v>383</v>
      </c>
      <c r="B337" s="4" t="s">
        <v>71</v>
      </c>
      <c r="C337" s="4" t="s">
        <v>382</v>
      </c>
      <c r="D337" s="5">
        <v>13.28</v>
      </c>
      <c r="E337" s="4">
        <v>13.43</v>
      </c>
      <c r="F337" s="4">
        <f t="shared" si="58"/>
        <v>0.15000000000000036</v>
      </c>
      <c r="G337" s="6">
        <v>45128</v>
      </c>
      <c r="J337">
        <f>I337-H337</f>
        <v>0</v>
      </c>
      <c r="K337" s="7">
        <f t="shared" si="59"/>
        <v>0.15000000000000036</v>
      </c>
      <c r="L337" s="9">
        <v>45151.569444444445</v>
      </c>
      <c r="M337" s="9">
        <v>45151.569444444445</v>
      </c>
      <c r="N337" s="9">
        <v>45153.548611111109</v>
      </c>
    </row>
    <row r="338" spans="1:14" ht="12.75" x14ac:dyDescent="0.2">
      <c r="A338" s="5" t="s">
        <v>384</v>
      </c>
      <c r="B338" s="4" t="s">
        <v>19</v>
      </c>
      <c r="C338" s="4" t="s">
        <v>382</v>
      </c>
      <c r="D338" s="5">
        <v>13.27</v>
      </c>
      <c r="E338" s="4">
        <v>27.6</v>
      </c>
      <c r="F338" s="4">
        <f t="shared" si="58"/>
        <v>14.330000000000002</v>
      </c>
      <c r="G338" s="6">
        <v>45128</v>
      </c>
      <c r="H338" s="4">
        <v>1.1487000000000001</v>
      </c>
      <c r="I338" s="4">
        <v>1.1577999999999999</v>
      </c>
      <c r="J338">
        <f t="shared" ref="J338:J341" si="62">I338-H338</f>
        <v>9.099999999999886E-3</v>
      </c>
      <c r="K338" s="7">
        <f t="shared" si="59"/>
        <v>14.320900000000002</v>
      </c>
      <c r="L338" s="9">
        <v>45151.569444444445</v>
      </c>
      <c r="M338" s="9">
        <v>45151.569444444445</v>
      </c>
      <c r="N338" s="9">
        <v>45153.548611111109</v>
      </c>
    </row>
    <row r="339" spans="1:14" ht="12.75" x14ac:dyDescent="0.2">
      <c r="A339" s="5" t="s">
        <v>385</v>
      </c>
      <c r="B339" s="4" t="s">
        <v>20</v>
      </c>
      <c r="C339" s="4" t="s">
        <v>382</v>
      </c>
      <c r="D339" s="5">
        <v>13.26</v>
      </c>
      <c r="E339" s="4">
        <v>42.68</v>
      </c>
      <c r="F339" s="4">
        <f t="shared" si="58"/>
        <v>29.42</v>
      </c>
      <c r="G339" s="6">
        <v>45128</v>
      </c>
      <c r="H339" s="4">
        <v>1.1487000000000001</v>
      </c>
      <c r="I339" s="4">
        <v>1.2067000000000001</v>
      </c>
      <c r="J339">
        <f t="shared" si="62"/>
        <v>5.8000000000000052E-2</v>
      </c>
      <c r="K339" s="7">
        <f t="shared" si="59"/>
        <v>29.362000000000002</v>
      </c>
      <c r="L339" s="9">
        <v>45151.569444444445</v>
      </c>
      <c r="M339" s="9">
        <v>45151.569444444445</v>
      </c>
      <c r="N339" s="9">
        <v>45153.548611111109</v>
      </c>
    </row>
    <row r="340" spans="1:14" ht="12.75" x14ac:dyDescent="0.2">
      <c r="A340" s="5" t="s">
        <v>386</v>
      </c>
      <c r="B340" s="4" t="s">
        <v>21</v>
      </c>
      <c r="C340" s="4" t="s">
        <v>382</v>
      </c>
      <c r="D340" s="5">
        <v>13.34</v>
      </c>
      <c r="E340" s="4">
        <v>59.05</v>
      </c>
      <c r="F340" s="4">
        <f t="shared" si="58"/>
        <v>45.709999999999994</v>
      </c>
      <c r="G340" s="6">
        <v>45128</v>
      </c>
      <c r="H340" s="4">
        <v>1.1487000000000001</v>
      </c>
      <c r="I340" s="4">
        <v>1.1516</v>
      </c>
      <c r="J340">
        <f t="shared" si="62"/>
        <v>2.8999999999999027E-3</v>
      </c>
      <c r="K340" s="7">
        <f t="shared" si="59"/>
        <v>45.707099999999997</v>
      </c>
      <c r="L340" s="9">
        <v>45151.569444444445</v>
      </c>
      <c r="M340" s="9">
        <v>45151.569444444445</v>
      </c>
      <c r="N340" s="9">
        <v>45153.548611111109</v>
      </c>
    </row>
    <row r="341" spans="1:14" ht="12.75" x14ac:dyDescent="0.2">
      <c r="A341" s="5" t="s">
        <v>387</v>
      </c>
      <c r="B341" s="4" t="s">
        <v>22</v>
      </c>
      <c r="C341" s="4" t="s">
        <v>382</v>
      </c>
      <c r="D341" s="5">
        <v>13.33</v>
      </c>
      <c r="E341" s="4">
        <v>17.97</v>
      </c>
      <c r="F341" s="4">
        <f t="shared" si="58"/>
        <v>4.6399999999999988</v>
      </c>
      <c r="G341" s="6">
        <v>45128</v>
      </c>
      <c r="J341">
        <f t="shared" si="62"/>
        <v>0</v>
      </c>
      <c r="K341" s="7">
        <f t="shared" si="59"/>
        <v>4.6399999999999988</v>
      </c>
      <c r="L341" s="9">
        <v>45151.569444444445</v>
      </c>
      <c r="M341" s="9">
        <v>45151.569444444445</v>
      </c>
      <c r="N341" s="9">
        <v>45153.548611111109</v>
      </c>
    </row>
    <row r="342" spans="1:14" ht="12.75" x14ac:dyDescent="0.2">
      <c r="A342" s="5" t="s">
        <v>388</v>
      </c>
      <c r="B342" s="4" t="s">
        <v>16</v>
      </c>
      <c r="C342" s="4" t="s">
        <v>389</v>
      </c>
      <c r="D342" s="5">
        <v>13.37</v>
      </c>
      <c r="E342" s="4">
        <v>113.61</v>
      </c>
      <c r="F342" s="4">
        <f t="shared" si="58"/>
        <v>100.24</v>
      </c>
      <c r="G342" s="6">
        <v>45128</v>
      </c>
      <c r="J342">
        <f>SUM(J343:J347)</f>
        <v>3.8499999999999979E-2</v>
      </c>
      <c r="K342" s="7">
        <f t="shared" si="59"/>
        <v>100.2015</v>
      </c>
    </row>
    <row r="343" spans="1:14" ht="12.75" x14ac:dyDescent="0.2">
      <c r="A343" s="5" t="s">
        <v>390</v>
      </c>
      <c r="B343" s="4" t="s">
        <v>71</v>
      </c>
      <c r="C343" s="4" t="s">
        <v>389</v>
      </c>
      <c r="D343" s="5">
        <v>13.17</v>
      </c>
      <c r="E343" s="4">
        <v>13.3</v>
      </c>
      <c r="F343" s="4">
        <f t="shared" si="58"/>
        <v>0.13000000000000078</v>
      </c>
      <c r="G343" s="6">
        <v>45128</v>
      </c>
      <c r="J343">
        <f>I343-H343</f>
        <v>0</v>
      </c>
      <c r="K343" s="7">
        <f t="shared" si="59"/>
        <v>0.13000000000000078</v>
      </c>
      <c r="L343" s="9">
        <v>45151.569444444445</v>
      </c>
      <c r="M343" s="9">
        <v>45151.569444444445</v>
      </c>
      <c r="N343" s="9">
        <v>45153.548611111109</v>
      </c>
    </row>
    <row r="344" spans="1:14" ht="12.75" x14ac:dyDescent="0.2">
      <c r="A344" s="5" t="s">
        <v>391</v>
      </c>
      <c r="B344" s="4" t="s">
        <v>19</v>
      </c>
      <c r="C344" s="4" t="s">
        <v>389</v>
      </c>
      <c r="D344" s="5">
        <v>16.25</v>
      </c>
      <c r="E344" s="4">
        <v>21.29</v>
      </c>
      <c r="F344" s="4">
        <f t="shared" si="58"/>
        <v>5.0399999999999991</v>
      </c>
      <c r="G344" s="6">
        <v>45128</v>
      </c>
      <c r="H344" s="4">
        <v>1.1491</v>
      </c>
      <c r="I344" s="4">
        <v>1.1657999999999999</v>
      </c>
      <c r="J344">
        <f t="shared" ref="J344:J347" si="63">I344-H344</f>
        <v>1.6699999999999937E-2</v>
      </c>
      <c r="K344" s="7">
        <f t="shared" si="59"/>
        <v>5.023299999999999</v>
      </c>
      <c r="L344" s="9">
        <v>45151.569444444445</v>
      </c>
      <c r="M344" s="9">
        <v>45151.569444444445</v>
      </c>
      <c r="N344" s="9">
        <v>45153.548611111109</v>
      </c>
    </row>
    <row r="345" spans="1:14" ht="12.75" x14ac:dyDescent="0.2">
      <c r="A345" s="5" t="s">
        <v>392</v>
      </c>
      <c r="B345" s="4" t="s">
        <v>20</v>
      </c>
      <c r="C345" s="4" t="s">
        <v>389</v>
      </c>
      <c r="D345" s="5">
        <v>16.13</v>
      </c>
      <c r="E345" s="4">
        <v>36.76</v>
      </c>
      <c r="F345" s="4">
        <f t="shared" si="58"/>
        <v>20.63</v>
      </c>
      <c r="G345" s="6">
        <v>45128</v>
      </c>
      <c r="H345" s="4">
        <v>1.1491</v>
      </c>
      <c r="I345" s="4">
        <v>1.157</v>
      </c>
      <c r="J345">
        <f t="shared" si="63"/>
        <v>7.9000000000000181E-3</v>
      </c>
      <c r="K345" s="7">
        <f t="shared" si="59"/>
        <v>20.6221</v>
      </c>
      <c r="L345" s="9">
        <v>45151.569444444445</v>
      </c>
      <c r="M345" s="9">
        <v>45151.569444444445</v>
      </c>
      <c r="N345" s="9">
        <v>45153.548611111109</v>
      </c>
    </row>
    <row r="346" spans="1:14" ht="12.75" x14ac:dyDescent="0.2">
      <c r="A346" s="5" t="s">
        <v>393</v>
      </c>
      <c r="B346" s="4" t="s">
        <v>21</v>
      </c>
      <c r="C346" s="4" t="s">
        <v>389</v>
      </c>
      <c r="D346" s="5">
        <v>13.4</v>
      </c>
      <c r="E346" s="4">
        <v>71.61</v>
      </c>
      <c r="F346" s="4">
        <f t="shared" si="58"/>
        <v>58.21</v>
      </c>
      <c r="G346" s="6">
        <v>45128</v>
      </c>
      <c r="H346" s="4">
        <v>1.1491</v>
      </c>
      <c r="I346" s="4">
        <v>1.163</v>
      </c>
      <c r="J346">
        <f t="shared" si="63"/>
        <v>1.3900000000000023E-2</v>
      </c>
      <c r="K346" s="7">
        <f t="shared" si="59"/>
        <v>58.196100000000001</v>
      </c>
      <c r="L346" s="9">
        <v>45151.569444444445</v>
      </c>
      <c r="M346" s="9">
        <v>45151.569444444445</v>
      </c>
      <c r="N346" s="9">
        <v>45153.548611111109</v>
      </c>
    </row>
    <row r="347" spans="1:14" ht="12.75" x14ac:dyDescent="0.2">
      <c r="A347" s="5" t="s">
        <v>394</v>
      </c>
      <c r="B347" s="4" t="s">
        <v>22</v>
      </c>
      <c r="C347" s="4" t="s">
        <v>389</v>
      </c>
      <c r="D347" s="5">
        <v>16.37</v>
      </c>
      <c r="E347" s="4">
        <v>24.98</v>
      </c>
      <c r="F347" s="4">
        <f t="shared" si="58"/>
        <v>8.61</v>
      </c>
      <c r="G347" s="6">
        <v>45128</v>
      </c>
      <c r="J347">
        <f t="shared" si="63"/>
        <v>0</v>
      </c>
      <c r="K347" s="7">
        <f t="shared" si="59"/>
        <v>8.61</v>
      </c>
      <c r="L347" s="9">
        <v>45151.569444444445</v>
      </c>
      <c r="M347" s="9">
        <v>45151.569444444445</v>
      </c>
      <c r="N347" s="9">
        <v>45153.548611111109</v>
      </c>
    </row>
    <row r="348" spans="1:14" ht="12.75" x14ac:dyDescent="0.2">
      <c r="A348" s="5" t="s">
        <v>395</v>
      </c>
      <c r="B348" s="4" t="s">
        <v>16</v>
      </c>
      <c r="C348" s="4" t="s">
        <v>396</v>
      </c>
      <c r="D348" s="5">
        <v>15.95</v>
      </c>
      <c r="E348" s="4">
        <v>115.97</v>
      </c>
      <c r="F348" s="4">
        <f t="shared" si="58"/>
        <v>100.02</v>
      </c>
      <c r="G348" s="6">
        <v>45128</v>
      </c>
      <c r="J348">
        <f>SUM(J349:J353)</f>
        <v>0.19300000000000006</v>
      </c>
      <c r="K348" s="7">
        <f t="shared" si="59"/>
        <v>99.826999999999998</v>
      </c>
    </row>
    <row r="349" spans="1:14" ht="12.75" x14ac:dyDescent="0.2">
      <c r="A349" s="5" t="s">
        <v>397</v>
      </c>
      <c r="B349" s="4" t="s">
        <v>71</v>
      </c>
      <c r="C349" s="4" t="s">
        <v>396</v>
      </c>
      <c r="D349" s="5">
        <v>13.53</v>
      </c>
      <c r="E349" s="4">
        <v>13.99</v>
      </c>
      <c r="F349" s="4">
        <f t="shared" si="58"/>
        <v>0.46000000000000085</v>
      </c>
      <c r="G349" s="6">
        <v>45128</v>
      </c>
      <c r="J349">
        <f>I349-H349</f>
        <v>0</v>
      </c>
      <c r="K349" s="7">
        <f t="shared" si="59"/>
        <v>0.46000000000000085</v>
      </c>
      <c r="L349" s="9">
        <v>45161.399305555555</v>
      </c>
      <c r="M349" s="9">
        <v>45161.399305555555</v>
      </c>
      <c r="N349" s="9">
        <v>45163.399305555555</v>
      </c>
    </row>
    <row r="350" spans="1:14" ht="12.75" x14ac:dyDescent="0.2">
      <c r="A350" s="5" t="s">
        <v>398</v>
      </c>
      <c r="B350" s="4" t="s">
        <v>19</v>
      </c>
      <c r="C350" s="4" t="s">
        <v>396</v>
      </c>
      <c r="D350" s="5">
        <v>13.37</v>
      </c>
      <c r="E350" s="4">
        <v>20.11</v>
      </c>
      <c r="F350" s="4">
        <f t="shared" si="58"/>
        <v>6.74</v>
      </c>
      <c r="G350" s="6">
        <v>45128</v>
      </c>
      <c r="H350" s="4">
        <v>1.1489</v>
      </c>
      <c r="I350" s="4">
        <v>1.1645000000000001</v>
      </c>
      <c r="J350">
        <f t="shared" ref="J350:J353" si="64">I350-H350</f>
        <v>1.5600000000000058E-2</v>
      </c>
      <c r="K350" s="7">
        <f t="shared" si="59"/>
        <v>6.7244000000000002</v>
      </c>
      <c r="L350" s="9">
        <v>45151.569444444445</v>
      </c>
      <c r="M350" s="9">
        <v>45151.569444444445</v>
      </c>
      <c r="N350" s="9">
        <v>45153.548611111109</v>
      </c>
    </row>
    <row r="351" spans="1:14" ht="12.75" x14ac:dyDescent="0.2">
      <c r="A351" s="5" t="s">
        <v>399</v>
      </c>
      <c r="B351" s="4" t="s">
        <v>20</v>
      </c>
      <c r="C351" s="4" t="s">
        <v>396</v>
      </c>
      <c r="D351" s="5">
        <v>13.46</v>
      </c>
      <c r="E351" s="4">
        <v>41.79</v>
      </c>
      <c r="F351" s="4">
        <f t="shared" si="58"/>
        <v>28.33</v>
      </c>
      <c r="G351" s="6">
        <v>45128</v>
      </c>
      <c r="H351" s="4">
        <v>1.1489</v>
      </c>
      <c r="I351" s="4">
        <v>1.2410000000000001</v>
      </c>
      <c r="J351">
        <f t="shared" si="64"/>
        <v>9.2100000000000071E-2</v>
      </c>
      <c r="K351" s="7">
        <f t="shared" si="59"/>
        <v>28.2379</v>
      </c>
      <c r="L351" s="9">
        <v>45151.569444444445</v>
      </c>
      <c r="M351" s="9">
        <v>45151.569444444445</v>
      </c>
      <c r="N351" s="9">
        <v>45153.548611111109</v>
      </c>
    </row>
    <row r="352" spans="1:14" ht="12.75" x14ac:dyDescent="0.2">
      <c r="A352" s="5" t="s">
        <v>400</v>
      </c>
      <c r="B352" s="4" t="s">
        <v>21</v>
      </c>
      <c r="C352" s="4" t="s">
        <v>396</v>
      </c>
      <c r="D352" s="5">
        <v>13.4</v>
      </c>
      <c r="E352" s="4">
        <v>62.54</v>
      </c>
      <c r="F352" s="4">
        <f t="shared" si="58"/>
        <v>49.14</v>
      </c>
      <c r="G352" s="6">
        <v>45128</v>
      </c>
      <c r="H352" s="4">
        <v>1.1489</v>
      </c>
      <c r="I352" s="4">
        <v>1.224</v>
      </c>
      <c r="J352">
        <f t="shared" si="64"/>
        <v>7.5099999999999945E-2</v>
      </c>
      <c r="K352" s="7">
        <f t="shared" si="59"/>
        <v>49.064900000000002</v>
      </c>
      <c r="L352" s="9">
        <v>45151.569444444445</v>
      </c>
      <c r="M352" s="9">
        <v>45151.569444444445</v>
      </c>
      <c r="N352" s="9">
        <v>45153.548611111109</v>
      </c>
    </row>
    <row r="353" spans="1:14" ht="12.75" x14ac:dyDescent="0.2">
      <c r="A353" s="5" t="s">
        <v>401</v>
      </c>
      <c r="B353" s="4" t="s">
        <v>22</v>
      </c>
      <c r="C353" s="4" t="s">
        <v>396</v>
      </c>
      <c r="D353" s="5">
        <v>13.42</v>
      </c>
      <c r="E353" s="4">
        <v>20.99</v>
      </c>
      <c r="F353" s="4">
        <f t="shared" si="58"/>
        <v>7.5699999999999985</v>
      </c>
      <c r="G353" s="6">
        <v>45128</v>
      </c>
      <c r="H353" s="4">
        <v>1.1489</v>
      </c>
      <c r="I353" s="4">
        <v>1.1591</v>
      </c>
      <c r="J353">
        <f t="shared" si="64"/>
        <v>1.0199999999999987E-2</v>
      </c>
      <c r="K353" s="7">
        <f t="shared" si="59"/>
        <v>7.5597999999999983</v>
      </c>
      <c r="L353" s="9">
        <v>45151.569444444445</v>
      </c>
      <c r="M353" s="9">
        <v>45151.569444444445</v>
      </c>
      <c r="N353" s="9">
        <v>45153.548611111109</v>
      </c>
    </row>
    <row r="354" spans="1:14" ht="12.75" x14ac:dyDescent="0.2">
      <c r="A354" s="5" t="s">
        <v>402</v>
      </c>
      <c r="B354" s="4" t="s">
        <v>16</v>
      </c>
      <c r="C354" s="4" t="s">
        <v>403</v>
      </c>
      <c r="D354" s="5">
        <v>13.43</v>
      </c>
      <c r="E354" s="4">
        <v>113.76</v>
      </c>
      <c r="F354" s="4">
        <f t="shared" si="58"/>
        <v>100.33000000000001</v>
      </c>
      <c r="G354" s="6">
        <v>45131</v>
      </c>
      <c r="J354">
        <f>SUM(J355:J359)</f>
        <v>2.5000000000001688E-3</v>
      </c>
      <c r="K354" s="7">
        <f t="shared" si="59"/>
        <v>100.32750000000001</v>
      </c>
    </row>
    <row r="355" spans="1:14" ht="12.75" x14ac:dyDescent="0.2">
      <c r="A355" s="5" t="s">
        <v>404</v>
      </c>
      <c r="B355" s="4" t="s">
        <v>71</v>
      </c>
      <c r="C355" s="4" t="s">
        <v>403</v>
      </c>
      <c r="D355" s="5">
        <v>13.47</v>
      </c>
      <c r="E355" s="4">
        <v>13.63</v>
      </c>
      <c r="F355" s="4">
        <f t="shared" si="58"/>
        <v>0.16000000000000014</v>
      </c>
      <c r="G355" s="6">
        <v>45131</v>
      </c>
      <c r="J355">
        <f>I355-H355</f>
        <v>0</v>
      </c>
      <c r="K355" s="7">
        <f t="shared" si="59"/>
        <v>0.16000000000000014</v>
      </c>
      <c r="L355" s="9">
        <v>45153.565972222219</v>
      </c>
      <c r="M355" s="9">
        <v>45153.565972222219</v>
      </c>
      <c r="N355" s="9">
        <v>45159.347222222219</v>
      </c>
    </row>
    <row r="356" spans="1:14" ht="12.75" x14ac:dyDescent="0.2">
      <c r="A356" s="5" t="s">
        <v>405</v>
      </c>
      <c r="B356" s="4" t="s">
        <v>19</v>
      </c>
      <c r="C356" s="4" t="s">
        <v>403</v>
      </c>
      <c r="D356" s="5">
        <v>15.87</v>
      </c>
      <c r="E356" s="4">
        <v>28.31</v>
      </c>
      <c r="F356" s="4">
        <f t="shared" si="58"/>
        <v>12.44</v>
      </c>
      <c r="G356" s="6">
        <v>45131</v>
      </c>
      <c r="H356" s="4">
        <v>1.1492</v>
      </c>
      <c r="I356" s="4">
        <v>1.1506000000000001</v>
      </c>
      <c r="J356">
        <f t="shared" ref="J356:J359" si="65">I356-H356</f>
        <v>1.4000000000000679E-3</v>
      </c>
      <c r="K356" s="7">
        <f t="shared" si="59"/>
        <v>12.438599999999999</v>
      </c>
      <c r="L356" s="9">
        <v>45141.520833333336</v>
      </c>
      <c r="M356" s="9">
        <v>45141.520833333336</v>
      </c>
      <c r="N356" s="9">
        <v>45143.729166666664</v>
      </c>
    </row>
    <row r="357" spans="1:14" ht="12.75" x14ac:dyDescent="0.2">
      <c r="A357" s="5" t="s">
        <v>406</v>
      </c>
      <c r="B357" s="4" t="s">
        <v>20</v>
      </c>
      <c r="C357" s="4" t="s">
        <v>403</v>
      </c>
      <c r="D357" s="5">
        <v>16.13</v>
      </c>
      <c r="E357" s="4">
        <v>44.95</v>
      </c>
      <c r="F357" s="4">
        <f t="shared" si="58"/>
        <v>28.820000000000004</v>
      </c>
      <c r="G357" s="6">
        <v>45131</v>
      </c>
      <c r="J357">
        <f t="shared" si="65"/>
        <v>0</v>
      </c>
      <c r="K357" s="7">
        <f t="shared" si="59"/>
        <v>28.820000000000004</v>
      </c>
      <c r="L357" s="9">
        <v>45159.375</v>
      </c>
      <c r="M357" s="9">
        <v>45159.375</v>
      </c>
      <c r="N357" s="9">
        <v>45161.381944444445</v>
      </c>
    </row>
    <row r="358" spans="1:14" ht="12.75" x14ac:dyDescent="0.2">
      <c r="A358" s="5" t="s">
        <v>407</v>
      </c>
      <c r="B358" s="4" t="s">
        <v>21</v>
      </c>
      <c r="C358" s="4" t="s">
        <v>403</v>
      </c>
      <c r="D358" s="5">
        <v>16.14</v>
      </c>
      <c r="E358" s="4">
        <v>63.29</v>
      </c>
      <c r="F358" s="4">
        <f t="shared" si="58"/>
        <v>47.15</v>
      </c>
      <c r="G358" s="6">
        <v>45131</v>
      </c>
      <c r="H358" s="4">
        <v>1.1492</v>
      </c>
      <c r="I358" s="4">
        <v>1.1503000000000001</v>
      </c>
      <c r="J358">
        <f t="shared" si="65"/>
        <v>1.1000000000001009E-3</v>
      </c>
      <c r="K358" s="7">
        <f t="shared" si="59"/>
        <v>47.148899999999998</v>
      </c>
      <c r="L358" s="9">
        <v>45143.833333333336</v>
      </c>
      <c r="M358" s="9">
        <v>45143.833333333336</v>
      </c>
      <c r="N358" s="9">
        <v>45149.416666666664</v>
      </c>
    </row>
    <row r="359" spans="1:14" ht="12.75" x14ac:dyDescent="0.2">
      <c r="A359" s="5" t="s">
        <v>408</v>
      </c>
      <c r="B359" s="4" t="s">
        <v>22</v>
      </c>
      <c r="C359" s="4" t="s">
        <v>403</v>
      </c>
      <c r="D359" s="5">
        <v>13.46</v>
      </c>
      <c r="E359" s="4">
        <v>18.93</v>
      </c>
      <c r="F359" s="4">
        <f t="shared" si="58"/>
        <v>5.4699999999999989</v>
      </c>
      <c r="G359" s="6">
        <v>45131</v>
      </c>
      <c r="J359">
        <f t="shared" si="65"/>
        <v>0</v>
      </c>
      <c r="K359" s="7">
        <f t="shared" si="59"/>
        <v>5.4699999999999989</v>
      </c>
      <c r="L359" s="9">
        <v>45153.565972222219</v>
      </c>
      <c r="M359" s="9">
        <v>45153.565972222219</v>
      </c>
      <c r="N359" s="9">
        <v>45159.347222222219</v>
      </c>
    </row>
    <row r="360" spans="1:14" ht="12.75" x14ac:dyDescent="0.2">
      <c r="A360" s="5" t="s">
        <v>409</v>
      </c>
      <c r="B360" s="4" t="s">
        <v>16</v>
      </c>
      <c r="C360" s="4" t="s">
        <v>410</v>
      </c>
      <c r="D360" s="5">
        <v>16.170000000000002</v>
      </c>
      <c r="E360" s="4">
        <v>116.25</v>
      </c>
      <c r="F360" s="4">
        <f t="shared" si="58"/>
        <v>100.08</v>
      </c>
      <c r="G360" s="6">
        <v>45132</v>
      </c>
      <c r="J360">
        <f>SUM(J361:J365)</f>
        <v>1.7200000000000104E-2</v>
      </c>
      <c r="K360" s="7">
        <f t="shared" si="59"/>
        <v>100.0628</v>
      </c>
    </row>
    <row r="361" spans="1:14" ht="12.75" x14ac:dyDescent="0.2">
      <c r="A361" s="5" t="s">
        <v>411</v>
      </c>
      <c r="B361" s="4" t="s">
        <v>71</v>
      </c>
      <c r="C361" s="4" t="s">
        <v>410</v>
      </c>
      <c r="D361" s="5">
        <v>13.48</v>
      </c>
      <c r="E361" s="4">
        <v>14.11</v>
      </c>
      <c r="F361" s="4">
        <f t="shared" si="58"/>
        <v>0.62999999999999901</v>
      </c>
      <c r="G361" s="6">
        <v>45132</v>
      </c>
      <c r="J361">
        <f>I361-H361</f>
        <v>0</v>
      </c>
      <c r="K361" s="7">
        <f t="shared" si="59"/>
        <v>0.62999999999999901</v>
      </c>
      <c r="L361" s="9">
        <v>45159.375</v>
      </c>
      <c r="M361" s="9">
        <v>45159.375</v>
      </c>
      <c r="N361" s="9">
        <v>45161.381944444445</v>
      </c>
    </row>
    <row r="362" spans="1:14" ht="12.75" x14ac:dyDescent="0.2">
      <c r="A362" s="5" t="s">
        <v>412</v>
      </c>
      <c r="B362" s="4" t="s">
        <v>19</v>
      </c>
      <c r="C362" s="4" t="s">
        <v>410</v>
      </c>
      <c r="D362" s="5">
        <v>13.42</v>
      </c>
      <c r="E362" s="4">
        <v>23.7</v>
      </c>
      <c r="F362" s="4">
        <f t="shared" si="58"/>
        <v>10.28</v>
      </c>
      <c r="G362" s="6">
        <v>45132</v>
      </c>
      <c r="H362" s="4">
        <v>1.1491</v>
      </c>
      <c r="I362" s="4">
        <v>1.1524000000000001</v>
      </c>
      <c r="J362">
        <f t="shared" ref="J362:J365" si="66">I362-H362</f>
        <v>3.3000000000000806E-3</v>
      </c>
      <c r="K362" s="7">
        <f t="shared" si="59"/>
        <v>10.2767</v>
      </c>
      <c r="L362" s="9">
        <v>45143.833333333336</v>
      </c>
      <c r="M362" s="9">
        <v>45143.833333333336</v>
      </c>
      <c r="N362" s="9">
        <v>45149.416666666664</v>
      </c>
    </row>
    <row r="363" spans="1:14" ht="12.75" x14ac:dyDescent="0.2">
      <c r="A363" s="5" t="s">
        <v>413</v>
      </c>
      <c r="B363" s="4" t="s">
        <v>20</v>
      </c>
      <c r="C363" s="4" t="s">
        <v>410</v>
      </c>
      <c r="D363" s="5">
        <v>13.45</v>
      </c>
      <c r="E363" s="4">
        <v>45.53</v>
      </c>
      <c r="F363" s="4">
        <f t="shared" si="58"/>
        <v>32.08</v>
      </c>
      <c r="G363" s="6">
        <v>45132</v>
      </c>
      <c r="H363" s="4">
        <v>1.1491</v>
      </c>
      <c r="I363" s="4">
        <v>1.1553</v>
      </c>
      <c r="J363">
        <f t="shared" si="66"/>
        <v>6.1999999999999833E-3</v>
      </c>
      <c r="K363" s="7">
        <f t="shared" si="59"/>
        <v>32.073799999999999</v>
      </c>
      <c r="L363" s="9">
        <v>45159.375</v>
      </c>
      <c r="M363" s="9">
        <v>45159.375</v>
      </c>
      <c r="N363" s="9">
        <v>45161.381944444445</v>
      </c>
    </row>
    <row r="364" spans="1:14" ht="12.75" x14ac:dyDescent="0.2">
      <c r="A364" s="5" t="s">
        <v>414</v>
      </c>
      <c r="B364" s="4" t="s">
        <v>21</v>
      </c>
      <c r="C364" s="4" t="s">
        <v>410</v>
      </c>
      <c r="D364" s="5">
        <v>13.5</v>
      </c>
      <c r="E364" s="4">
        <v>58.42</v>
      </c>
      <c r="F364" s="4">
        <f t="shared" si="58"/>
        <v>44.92</v>
      </c>
      <c r="G364" s="6">
        <v>45132</v>
      </c>
      <c r="H364" s="4">
        <v>1.1491</v>
      </c>
      <c r="I364" s="4">
        <v>1.1568000000000001</v>
      </c>
      <c r="J364">
        <f t="shared" si="66"/>
        <v>7.7000000000000401E-3</v>
      </c>
      <c r="K364" s="7">
        <f t="shared" si="59"/>
        <v>44.912300000000002</v>
      </c>
      <c r="L364" s="9">
        <v>45153.565972222219</v>
      </c>
      <c r="M364" s="9">
        <v>45153.565972222219</v>
      </c>
      <c r="N364" s="9">
        <v>45159.347222222219</v>
      </c>
    </row>
    <row r="365" spans="1:14" ht="12.75" x14ac:dyDescent="0.2">
      <c r="A365" s="5" t="s">
        <v>415</v>
      </c>
      <c r="B365" s="4" t="s">
        <v>22</v>
      </c>
      <c r="C365" s="4" t="s">
        <v>410</v>
      </c>
      <c r="D365" s="5">
        <v>13.49</v>
      </c>
      <c r="E365" s="4">
        <v>19.260000000000002</v>
      </c>
      <c r="F365" s="4">
        <f t="shared" si="58"/>
        <v>5.7700000000000014</v>
      </c>
      <c r="G365" s="6">
        <v>45132</v>
      </c>
      <c r="J365">
        <f t="shared" si="66"/>
        <v>0</v>
      </c>
      <c r="K365" s="7">
        <f t="shared" si="59"/>
        <v>5.7700000000000014</v>
      </c>
      <c r="L365" s="9">
        <v>45153.565972222219</v>
      </c>
      <c r="M365" s="9">
        <v>45153.565972222219</v>
      </c>
      <c r="N365" s="9">
        <v>45159.347222222219</v>
      </c>
    </row>
    <row r="366" spans="1:14" ht="12.75" x14ac:dyDescent="0.2">
      <c r="A366" s="5" t="s">
        <v>416</v>
      </c>
      <c r="B366" s="4" t="s">
        <v>16</v>
      </c>
      <c r="C366" s="4" t="s">
        <v>417</v>
      </c>
      <c r="D366" s="5">
        <v>13.36</v>
      </c>
      <c r="E366" s="4">
        <v>113.39</v>
      </c>
      <c r="F366" s="4">
        <f t="shared" si="58"/>
        <v>100.03</v>
      </c>
      <c r="G366" s="6">
        <v>45133</v>
      </c>
      <c r="J366">
        <f>SUM(J367:J371)</f>
        <v>2.5200000000000111E-2</v>
      </c>
      <c r="K366" s="7">
        <f t="shared" si="59"/>
        <v>100.0048</v>
      </c>
    </row>
    <row r="367" spans="1:14" ht="12.75" x14ac:dyDescent="0.2">
      <c r="A367" s="5" t="s">
        <v>418</v>
      </c>
      <c r="B367" s="4" t="s">
        <v>71</v>
      </c>
      <c r="C367" s="4" t="s">
        <v>417</v>
      </c>
      <c r="D367" s="5">
        <v>15.9</v>
      </c>
      <c r="E367" s="4">
        <v>16.059999999999999</v>
      </c>
      <c r="F367" s="4">
        <f t="shared" si="58"/>
        <v>0.15999999999999837</v>
      </c>
      <c r="G367" s="6">
        <v>45133</v>
      </c>
      <c r="J367">
        <f>I367-H367</f>
        <v>0</v>
      </c>
      <c r="K367" s="7">
        <f t="shared" si="59"/>
        <v>0.15999999999999837</v>
      </c>
      <c r="L367" s="9">
        <v>45153.565972222219</v>
      </c>
      <c r="M367" s="9">
        <v>45153.565972222219</v>
      </c>
      <c r="N367" s="9">
        <v>45159.347222222219</v>
      </c>
    </row>
    <row r="368" spans="1:14" ht="12.75" x14ac:dyDescent="0.2">
      <c r="A368" s="5" t="s">
        <v>419</v>
      </c>
      <c r="B368" s="4" t="s">
        <v>19</v>
      </c>
      <c r="C368" s="4" t="s">
        <v>417</v>
      </c>
      <c r="D368" s="5">
        <v>13.33</v>
      </c>
      <c r="E368" s="4">
        <v>20.71</v>
      </c>
      <c r="F368" s="4">
        <f t="shared" si="58"/>
        <v>7.3800000000000008</v>
      </c>
      <c r="G368" s="6">
        <v>45133</v>
      </c>
      <c r="H368" s="4">
        <v>1.1489</v>
      </c>
      <c r="I368" s="4">
        <v>1.1564000000000001</v>
      </c>
      <c r="J368">
        <f t="shared" ref="J368:J371" si="67">I368-H368</f>
        <v>7.5000000000000622E-3</v>
      </c>
      <c r="K368" s="7">
        <f t="shared" si="59"/>
        <v>7.3725000000000005</v>
      </c>
      <c r="L368" s="9">
        <v>45151.569444444445</v>
      </c>
      <c r="M368" s="9">
        <v>45151.569444444445</v>
      </c>
      <c r="N368" s="9">
        <v>45153.548611111109</v>
      </c>
    </row>
    <row r="369" spans="1:14" ht="12.75" x14ac:dyDescent="0.2">
      <c r="A369" s="5" t="s">
        <v>420</v>
      </c>
      <c r="B369" s="4" t="s">
        <v>20</v>
      </c>
      <c r="C369" s="4" t="s">
        <v>417</v>
      </c>
      <c r="D369" s="5">
        <v>16.190000000000001</v>
      </c>
      <c r="E369" s="4">
        <v>40.729999999999997</v>
      </c>
      <c r="F369" s="4">
        <f t="shared" si="58"/>
        <v>24.539999999999996</v>
      </c>
      <c r="G369" s="6">
        <v>45133</v>
      </c>
      <c r="H369" s="4">
        <v>1.1489</v>
      </c>
      <c r="I369" s="4">
        <v>1.1503000000000001</v>
      </c>
      <c r="J369">
        <f t="shared" si="67"/>
        <v>1.4000000000000679E-3</v>
      </c>
      <c r="K369" s="7">
        <f t="shared" si="59"/>
        <v>24.538599999999995</v>
      </c>
      <c r="L369" s="9">
        <v>45163.416666666664</v>
      </c>
      <c r="M369" s="9">
        <v>45163.416666666664</v>
      </c>
      <c r="N369" s="9">
        <v>45165.479166666664</v>
      </c>
    </row>
    <row r="370" spans="1:14" ht="12.75" x14ac:dyDescent="0.2">
      <c r="A370" s="5" t="s">
        <v>421</v>
      </c>
      <c r="B370" s="4" t="s">
        <v>21</v>
      </c>
      <c r="C370" s="4" t="s">
        <v>417</v>
      </c>
      <c r="D370" s="5">
        <v>13.3</v>
      </c>
      <c r="E370" s="4">
        <v>65.45</v>
      </c>
      <c r="F370" s="4">
        <f t="shared" si="58"/>
        <v>52.150000000000006</v>
      </c>
      <c r="G370" s="6">
        <v>45133</v>
      </c>
      <c r="H370" s="4">
        <v>1.1489</v>
      </c>
      <c r="I370" s="4">
        <v>1.1652</v>
      </c>
      <c r="J370">
        <f t="shared" si="67"/>
        <v>1.6299999999999981E-2</v>
      </c>
      <c r="K370" s="7">
        <f t="shared" si="59"/>
        <v>52.133700000000005</v>
      </c>
      <c r="L370" s="9">
        <v>45151.569444444445</v>
      </c>
      <c r="M370" s="9">
        <v>45151.569444444445</v>
      </c>
      <c r="N370" s="9">
        <v>45153.548611111109</v>
      </c>
    </row>
    <row r="371" spans="1:14" ht="12.75" x14ac:dyDescent="0.2">
      <c r="A371" s="5" t="s">
        <v>422</v>
      </c>
      <c r="B371" s="4" t="s">
        <v>22</v>
      </c>
      <c r="C371" s="4" t="s">
        <v>417</v>
      </c>
      <c r="D371" s="5">
        <v>16.13</v>
      </c>
      <c r="E371" s="4">
        <v>24.44</v>
      </c>
      <c r="F371" s="4">
        <f t="shared" si="58"/>
        <v>8.3100000000000023</v>
      </c>
      <c r="G371" s="6">
        <v>45133</v>
      </c>
      <c r="J371">
        <f t="shared" si="67"/>
        <v>0</v>
      </c>
      <c r="K371" s="7">
        <f t="shared" si="59"/>
        <v>8.3100000000000023</v>
      </c>
      <c r="L371" s="9">
        <v>45151.569444444445</v>
      </c>
      <c r="M371" s="9">
        <v>45151.569444444445</v>
      </c>
      <c r="N371" s="9">
        <v>45153.548611111109</v>
      </c>
    </row>
    <row r="372" spans="1:14" ht="12.75" x14ac:dyDescent="0.2">
      <c r="A372" s="5" t="s">
        <v>423</v>
      </c>
      <c r="B372" s="4" t="s">
        <v>16</v>
      </c>
      <c r="C372" s="4" t="s">
        <v>424</v>
      </c>
      <c r="D372" s="5">
        <v>13.33</v>
      </c>
      <c r="E372" s="4">
        <v>113.71</v>
      </c>
      <c r="F372" s="4">
        <f t="shared" si="58"/>
        <v>100.38</v>
      </c>
      <c r="G372" s="6">
        <v>45134</v>
      </c>
      <c r="J372">
        <f>SUM(J373:J377)</f>
        <v>2.1600000000000064E-2</v>
      </c>
      <c r="K372" s="7">
        <f t="shared" si="59"/>
        <v>100.35839999999999</v>
      </c>
    </row>
    <row r="373" spans="1:14" ht="12.75" x14ac:dyDescent="0.2">
      <c r="A373" s="5" t="s">
        <v>425</v>
      </c>
      <c r="B373" s="4" t="s">
        <v>71</v>
      </c>
      <c r="C373" s="4" t="s">
        <v>424</v>
      </c>
      <c r="D373" s="5">
        <v>13.48</v>
      </c>
      <c r="E373" s="4">
        <v>13.61</v>
      </c>
      <c r="F373" s="4">
        <f t="shared" si="58"/>
        <v>0.12999999999999901</v>
      </c>
      <c r="G373" s="6">
        <v>45134</v>
      </c>
      <c r="J373">
        <f>I373-H373</f>
        <v>0</v>
      </c>
      <c r="K373" s="7">
        <f t="shared" si="59"/>
        <v>0.12999999999999901</v>
      </c>
      <c r="L373" s="9">
        <v>45173.399305555555</v>
      </c>
      <c r="M373" s="9">
        <v>45173.399305555555</v>
      </c>
      <c r="N373" s="9">
        <v>45175.430555555555</v>
      </c>
    </row>
    <row r="374" spans="1:14" ht="12.75" x14ac:dyDescent="0.2">
      <c r="A374" s="5" t="s">
        <v>426</v>
      </c>
      <c r="B374" s="4" t="s">
        <v>19</v>
      </c>
      <c r="C374" s="4" t="s">
        <v>424</v>
      </c>
      <c r="D374" s="5">
        <v>13.49</v>
      </c>
      <c r="E374" s="4">
        <v>17.739999999999998</v>
      </c>
      <c r="F374" s="4">
        <f t="shared" si="58"/>
        <v>4.2499999999999982</v>
      </c>
      <c r="G374" s="6">
        <v>45134</v>
      </c>
      <c r="H374" s="4">
        <v>1.1489</v>
      </c>
      <c r="I374" s="4">
        <v>1.1563000000000001</v>
      </c>
      <c r="J374">
        <f t="shared" ref="J374:J377" si="68">I374-H374</f>
        <v>7.4000000000000732E-3</v>
      </c>
      <c r="K374" s="7">
        <f t="shared" si="59"/>
        <v>4.2425999999999977</v>
      </c>
      <c r="L374" s="9">
        <v>45161.399305555555</v>
      </c>
      <c r="M374" s="9">
        <v>45161.399305555555</v>
      </c>
      <c r="N374" s="9">
        <v>45163.399305555555</v>
      </c>
    </row>
    <row r="375" spans="1:14" ht="12.75" x14ac:dyDescent="0.2">
      <c r="A375" s="5" t="s">
        <v>427</v>
      </c>
      <c r="B375" s="4" t="s">
        <v>20</v>
      </c>
      <c r="C375" s="4" t="s">
        <v>424</v>
      </c>
      <c r="D375" s="5">
        <v>13.22</v>
      </c>
      <c r="E375" s="4">
        <v>35.89</v>
      </c>
      <c r="F375" s="4">
        <f t="shared" si="58"/>
        <v>22.67</v>
      </c>
      <c r="G375" s="6">
        <v>45134</v>
      </c>
      <c r="H375" s="4">
        <v>1.1489</v>
      </c>
      <c r="I375" s="4">
        <v>1.1576</v>
      </c>
      <c r="J375">
        <f t="shared" si="68"/>
        <v>8.69999999999993E-3</v>
      </c>
      <c r="K375" s="7">
        <f t="shared" si="59"/>
        <v>22.661300000000001</v>
      </c>
      <c r="L375" s="9">
        <v>45169.527777777781</v>
      </c>
      <c r="M375" s="9">
        <v>45169.527777777781</v>
      </c>
      <c r="N375" s="9">
        <v>45173.388888888891</v>
      </c>
    </row>
    <row r="376" spans="1:14" ht="12.75" x14ac:dyDescent="0.2">
      <c r="A376" s="5" t="s">
        <v>428</v>
      </c>
      <c r="B376" s="4" t="s">
        <v>21</v>
      </c>
      <c r="C376" s="4" t="s">
        <v>424</v>
      </c>
      <c r="D376" s="5">
        <v>13.38</v>
      </c>
      <c r="E376" s="4">
        <v>66.83</v>
      </c>
      <c r="F376" s="4">
        <f t="shared" si="58"/>
        <v>53.449999999999996</v>
      </c>
      <c r="G376" s="6">
        <v>45134</v>
      </c>
      <c r="H376" s="4">
        <v>1.1489</v>
      </c>
      <c r="I376" s="4">
        <v>1.1544000000000001</v>
      </c>
      <c r="J376">
        <f t="shared" si="68"/>
        <v>5.5000000000000604E-3</v>
      </c>
      <c r="K376" s="7">
        <f t="shared" si="59"/>
        <v>53.444499999999998</v>
      </c>
      <c r="L376" s="9">
        <v>45161.399305555555</v>
      </c>
      <c r="M376" s="9">
        <v>45161.399305555555</v>
      </c>
      <c r="N376" s="9">
        <v>45163.399305555555</v>
      </c>
    </row>
    <row r="377" spans="1:14" ht="12.75" x14ac:dyDescent="0.2">
      <c r="A377" s="5" t="s">
        <v>429</v>
      </c>
      <c r="B377" s="4" t="s">
        <v>22</v>
      </c>
      <c r="C377" s="4" t="s">
        <v>424</v>
      </c>
      <c r="D377" s="5">
        <v>13.23</v>
      </c>
      <c r="E377" s="4">
        <v>22.93</v>
      </c>
      <c r="F377" s="4">
        <f t="shared" si="58"/>
        <v>9.6999999999999993</v>
      </c>
      <c r="G377" s="6">
        <v>45134</v>
      </c>
      <c r="J377">
        <f t="shared" si="68"/>
        <v>0</v>
      </c>
      <c r="K377" s="7">
        <f t="shared" si="59"/>
        <v>9.6999999999999993</v>
      </c>
      <c r="L377" s="9">
        <v>45161.399305555555</v>
      </c>
      <c r="M377" s="9">
        <v>45161.399305555555</v>
      </c>
      <c r="N377" s="9">
        <v>45163.399305555555</v>
      </c>
    </row>
    <row r="378" spans="1:14" ht="12.75" x14ac:dyDescent="0.2">
      <c r="A378" s="5" t="s">
        <v>430</v>
      </c>
      <c r="B378" s="4" t="s">
        <v>16</v>
      </c>
      <c r="C378" s="4" t="s">
        <v>431</v>
      </c>
      <c r="D378" s="5">
        <v>13.37</v>
      </c>
      <c r="E378" s="4">
        <v>113.56</v>
      </c>
      <c r="F378" s="4">
        <f t="shared" si="58"/>
        <v>100.19</v>
      </c>
      <c r="G378" s="6">
        <v>45134</v>
      </c>
      <c r="J378">
        <f>SUM(J379:J383)</f>
        <v>4.5599999999999863E-2</v>
      </c>
      <c r="K378" s="7">
        <f t="shared" si="59"/>
        <v>100.1444</v>
      </c>
    </row>
    <row r="379" spans="1:14" ht="12.75" x14ac:dyDescent="0.2">
      <c r="A379" s="5" t="s">
        <v>241</v>
      </c>
      <c r="B379" s="4" t="s">
        <v>71</v>
      </c>
      <c r="C379" s="4" t="s">
        <v>431</v>
      </c>
      <c r="D379" s="5">
        <v>13.3</v>
      </c>
      <c r="E379" s="4">
        <v>13.55</v>
      </c>
      <c r="F379" s="4">
        <f t="shared" si="58"/>
        <v>0.25</v>
      </c>
      <c r="G379" s="6">
        <v>45134</v>
      </c>
      <c r="J379">
        <f>I379-H379</f>
        <v>0</v>
      </c>
      <c r="K379" s="7">
        <f t="shared" si="59"/>
        <v>0.25</v>
      </c>
      <c r="L379" s="9">
        <v>45173.399305555555</v>
      </c>
      <c r="M379" s="9">
        <v>45173.399305555555</v>
      </c>
      <c r="N379" s="9">
        <v>45175.430555555555</v>
      </c>
    </row>
    <row r="380" spans="1:14" ht="12.75" x14ac:dyDescent="0.2">
      <c r="A380" s="5" t="s">
        <v>432</v>
      </c>
      <c r="B380" s="4" t="s">
        <v>19</v>
      </c>
      <c r="C380" s="4" t="s">
        <v>431</v>
      </c>
      <c r="D380" s="5">
        <v>13.38</v>
      </c>
      <c r="E380" s="4">
        <v>20.14</v>
      </c>
      <c r="F380" s="4">
        <f t="shared" si="58"/>
        <v>6.76</v>
      </c>
      <c r="G380" s="6">
        <v>45134</v>
      </c>
      <c r="H380" s="4">
        <v>1.1489</v>
      </c>
      <c r="I380" s="4">
        <v>1.1534</v>
      </c>
      <c r="J380">
        <f t="shared" ref="J380:J383" si="69">I380-H380</f>
        <v>4.4999999999999485E-3</v>
      </c>
      <c r="K380" s="7">
        <f t="shared" si="59"/>
        <v>6.7554999999999996</v>
      </c>
      <c r="L380" s="9">
        <v>45161.399305555555</v>
      </c>
      <c r="M380" s="9">
        <v>45161.399305555555</v>
      </c>
      <c r="N380" s="9">
        <v>45163.399305555555</v>
      </c>
    </row>
    <row r="381" spans="1:14" ht="12.75" x14ac:dyDescent="0.2">
      <c r="A381" s="5" t="s">
        <v>433</v>
      </c>
      <c r="B381" s="4" t="s">
        <v>20</v>
      </c>
      <c r="C381" s="4" t="s">
        <v>431</v>
      </c>
      <c r="D381" s="5">
        <v>13.15</v>
      </c>
      <c r="E381" s="4">
        <v>41.22</v>
      </c>
      <c r="F381" s="4">
        <f t="shared" si="58"/>
        <v>28.07</v>
      </c>
      <c r="G381" s="6">
        <v>45134</v>
      </c>
      <c r="H381" s="4">
        <v>1.1489</v>
      </c>
      <c r="I381" s="4">
        <v>1.1673</v>
      </c>
      <c r="J381">
        <f t="shared" si="69"/>
        <v>1.8399999999999972E-2</v>
      </c>
      <c r="K381" s="7">
        <f t="shared" si="59"/>
        <v>28.051600000000001</v>
      </c>
      <c r="L381" s="9">
        <v>45173.399305555555</v>
      </c>
      <c r="M381" s="9">
        <v>45173.399305555555</v>
      </c>
      <c r="N381" s="9">
        <v>45175.430555555555</v>
      </c>
    </row>
    <row r="382" spans="1:14" ht="12.75" x14ac:dyDescent="0.2">
      <c r="A382" s="5" t="s">
        <v>434</v>
      </c>
      <c r="B382" s="4" t="s">
        <v>21</v>
      </c>
      <c r="C382" s="4" t="s">
        <v>431</v>
      </c>
      <c r="D382" s="5">
        <v>13.23</v>
      </c>
      <c r="E382" s="4">
        <v>63.78</v>
      </c>
      <c r="F382" s="4">
        <f t="shared" si="58"/>
        <v>50.55</v>
      </c>
      <c r="G382" s="6">
        <v>45134</v>
      </c>
      <c r="H382" s="4">
        <v>1.1489</v>
      </c>
      <c r="I382" s="4">
        <v>1.1716</v>
      </c>
      <c r="J382">
        <f t="shared" si="69"/>
        <v>2.2699999999999942E-2</v>
      </c>
      <c r="K382" s="7">
        <f t="shared" si="59"/>
        <v>50.527299999999997</v>
      </c>
      <c r="L382" s="9">
        <v>45161.399305555555</v>
      </c>
      <c r="M382" s="9">
        <v>45161.399305555555</v>
      </c>
      <c r="N382" s="9">
        <v>45163.399305555555</v>
      </c>
    </row>
    <row r="383" spans="1:14" ht="12.75" x14ac:dyDescent="0.2">
      <c r="A383" s="5" t="s">
        <v>435</v>
      </c>
      <c r="B383" s="4" t="s">
        <v>22</v>
      </c>
      <c r="C383" s="4" t="s">
        <v>431</v>
      </c>
      <c r="D383" s="5">
        <v>13.23</v>
      </c>
      <c r="E383" s="4">
        <v>19.29</v>
      </c>
      <c r="F383" s="4">
        <f t="shared" si="58"/>
        <v>6.0599999999999987</v>
      </c>
      <c r="G383" s="6">
        <v>45134</v>
      </c>
      <c r="J383">
        <f t="shared" si="69"/>
        <v>0</v>
      </c>
      <c r="K383" s="7">
        <f t="shared" si="59"/>
        <v>6.0599999999999987</v>
      </c>
      <c r="L383" s="9">
        <v>45161.399305555555</v>
      </c>
      <c r="M383" s="9">
        <v>45161.399305555555</v>
      </c>
      <c r="N383" s="9">
        <v>45163.399305555555</v>
      </c>
    </row>
    <row r="384" spans="1:14" ht="12.75" x14ac:dyDescent="0.2">
      <c r="A384" s="5" t="s">
        <v>436</v>
      </c>
      <c r="B384" s="4" t="s">
        <v>16</v>
      </c>
      <c r="C384" s="4" t="s">
        <v>437</v>
      </c>
      <c r="D384" s="5">
        <v>13.42</v>
      </c>
      <c r="E384" s="4">
        <v>113.52</v>
      </c>
      <c r="F384" s="4">
        <f t="shared" si="58"/>
        <v>100.1</v>
      </c>
      <c r="G384" s="6">
        <v>45134</v>
      </c>
      <c r="J384">
        <f>SUM(J385:J389)</f>
        <v>1.1199999999999877E-2</v>
      </c>
      <c r="K384" s="7">
        <f t="shared" si="59"/>
        <v>100.08879999999999</v>
      </c>
    </row>
    <row r="385" spans="1:15" ht="12.75" x14ac:dyDescent="0.2">
      <c r="A385" s="5" t="s">
        <v>438</v>
      </c>
      <c r="B385" s="4" t="s">
        <v>71</v>
      </c>
      <c r="C385" s="4" t="s">
        <v>437</v>
      </c>
      <c r="D385" s="5">
        <v>13.34</v>
      </c>
      <c r="E385" s="4">
        <v>13.4</v>
      </c>
      <c r="F385" s="4">
        <f t="shared" si="58"/>
        <v>6.0000000000000497E-2</v>
      </c>
      <c r="G385" s="6">
        <v>45134</v>
      </c>
      <c r="J385">
        <f>I385-H385</f>
        <v>0</v>
      </c>
      <c r="K385" s="7">
        <f t="shared" si="59"/>
        <v>6.0000000000000497E-2</v>
      </c>
      <c r="L385" s="9">
        <v>45165.489583333336</v>
      </c>
      <c r="M385" s="9">
        <v>45165.489583333336</v>
      </c>
      <c r="N385" s="9">
        <v>45167.489583333336</v>
      </c>
    </row>
    <row r="386" spans="1:15" ht="12.75" x14ac:dyDescent="0.2">
      <c r="A386" s="5" t="s">
        <v>439</v>
      </c>
      <c r="B386" s="4" t="s">
        <v>19</v>
      </c>
      <c r="C386" s="4" t="s">
        <v>437</v>
      </c>
      <c r="D386" s="5">
        <v>13.34</v>
      </c>
      <c r="E386" s="4">
        <v>21.37</v>
      </c>
      <c r="F386" s="4">
        <f t="shared" ref="F386:F449" si="70">E386-D386</f>
        <v>8.0300000000000011</v>
      </c>
      <c r="G386" s="6">
        <v>45134</v>
      </c>
      <c r="H386" s="4">
        <v>1.1488</v>
      </c>
      <c r="I386" s="4">
        <v>1.1497999999999999</v>
      </c>
      <c r="J386">
        <f t="shared" ref="J386:J389" si="71">I386-H386</f>
        <v>9.9999999999988987E-4</v>
      </c>
      <c r="K386" s="7">
        <f t="shared" si="59"/>
        <v>8.0290000000000017</v>
      </c>
      <c r="L386" s="9">
        <v>45161.399305555555</v>
      </c>
      <c r="M386" s="9">
        <v>45161.399305555555</v>
      </c>
      <c r="N386" s="9">
        <v>45163.399305555555</v>
      </c>
    </row>
    <row r="387" spans="1:15" ht="12.75" x14ac:dyDescent="0.2">
      <c r="A387" s="5" t="s">
        <v>440</v>
      </c>
      <c r="B387" s="4" t="s">
        <v>20</v>
      </c>
      <c r="C387" s="4" t="s">
        <v>437</v>
      </c>
      <c r="D387" s="5">
        <v>13.37</v>
      </c>
      <c r="E387" s="4">
        <v>43.03</v>
      </c>
      <c r="F387" s="4">
        <f t="shared" si="70"/>
        <v>29.660000000000004</v>
      </c>
      <c r="G387" s="6">
        <v>45134</v>
      </c>
      <c r="H387" s="4">
        <v>1.1488</v>
      </c>
      <c r="I387" s="4">
        <v>1.1587000000000001</v>
      </c>
      <c r="J387">
        <f t="shared" si="71"/>
        <v>9.9000000000000199E-3</v>
      </c>
      <c r="K387" s="7">
        <f t="shared" ref="K387:K450" si="72">F387-J387</f>
        <v>29.650100000000002</v>
      </c>
      <c r="L387" s="9">
        <v>45165.489583333336</v>
      </c>
      <c r="M387" s="9">
        <v>45165.489583333336</v>
      </c>
      <c r="N387" s="9">
        <v>45167.489583333336</v>
      </c>
    </row>
    <row r="388" spans="1:15" ht="12.75" x14ac:dyDescent="0.2">
      <c r="A388" s="5" t="s">
        <v>441</v>
      </c>
      <c r="B388" s="4" t="s">
        <v>21</v>
      </c>
      <c r="C388" s="4" t="s">
        <v>437</v>
      </c>
      <c r="D388" s="5">
        <v>13.38</v>
      </c>
      <c r="E388" s="4">
        <v>60.12</v>
      </c>
      <c r="F388" s="4">
        <f t="shared" si="70"/>
        <v>46.739999999999995</v>
      </c>
      <c r="G388" s="6">
        <v>45134</v>
      </c>
      <c r="H388" s="4">
        <v>1.1488</v>
      </c>
      <c r="I388" s="4">
        <v>1.1491</v>
      </c>
      <c r="J388">
        <f t="shared" si="71"/>
        <v>2.9999999999996696E-4</v>
      </c>
      <c r="K388" s="7">
        <f t="shared" si="72"/>
        <v>46.739699999999992</v>
      </c>
      <c r="L388" s="9">
        <v>45163.416666666664</v>
      </c>
      <c r="M388" s="9">
        <v>45163.416666666664</v>
      </c>
      <c r="N388" s="9">
        <v>45165.479166666664</v>
      </c>
      <c r="O388" s="4" t="s">
        <v>442</v>
      </c>
    </row>
    <row r="389" spans="1:15" ht="12.75" x14ac:dyDescent="0.2">
      <c r="A389" s="5" t="s">
        <v>443</v>
      </c>
      <c r="B389" s="4" t="s">
        <v>22</v>
      </c>
      <c r="C389" s="4" t="s">
        <v>437</v>
      </c>
      <c r="D389" s="5">
        <v>13.33</v>
      </c>
      <c r="E389" s="4">
        <v>19.809999999999999</v>
      </c>
      <c r="F389" s="4">
        <f t="shared" si="70"/>
        <v>6.4799999999999986</v>
      </c>
      <c r="G389" s="6">
        <v>45134</v>
      </c>
      <c r="J389">
        <f t="shared" si="71"/>
        <v>0</v>
      </c>
      <c r="K389" s="7">
        <f t="shared" si="72"/>
        <v>6.4799999999999986</v>
      </c>
      <c r="L389" s="9">
        <v>45159.375</v>
      </c>
      <c r="M389" s="9">
        <v>45159.375</v>
      </c>
      <c r="N389" s="9">
        <v>45161.381944444445</v>
      </c>
    </row>
    <row r="390" spans="1:15" ht="12.75" x14ac:dyDescent="0.2">
      <c r="A390" s="5" t="s">
        <v>444</v>
      </c>
      <c r="B390" s="4" t="s">
        <v>16</v>
      </c>
      <c r="C390" s="4" t="s">
        <v>445</v>
      </c>
      <c r="D390" s="5">
        <v>13.35</v>
      </c>
      <c r="E390" s="4">
        <v>113.42</v>
      </c>
      <c r="F390" s="4">
        <f t="shared" si="70"/>
        <v>100.07000000000001</v>
      </c>
      <c r="G390" s="6">
        <v>45134</v>
      </c>
      <c r="J390">
        <f>SUM(J391:J395)</f>
        <v>4.9700000000000077E-2</v>
      </c>
      <c r="K390" s="7">
        <f t="shared" si="72"/>
        <v>100.02030000000001</v>
      </c>
    </row>
    <row r="391" spans="1:15" ht="12.75" x14ac:dyDescent="0.2">
      <c r="A391" s="5" t="s">
        <v>446</v>
      </c>
      <c r="B391" s="4" t="s">
        <v>71</v>
      </c>
      <c r="C391" s="4" t="s">
        <v>445</v>
      </c>
      <c r="D391" s="5">
        <v>13.45</v>
      </c>
      <c r="E391" s="4">
        <v>13.99</v>
      </c>
      <c r="F391" s="4">
        <f t="shared" si="70"/>
        <v>0.54000000000000092</v>
      </c>
      <c r="G391" s="6">
        <v>45134</v>
      </c>
      <c r="J391">
        <f>I391-H391</f>
        <v>0</v>
      </c>
      <c r="K391" s="7">
        <f t="shared" si="72"/>
        <v>0.54000000000000092</v>
      </c>
      <c r="L391" s="9">
        <v>45163.416666666664</v>
      </c>
      <c r="M391" s="9">
        <v>45163.416666666664</v>
      </c>
      <c r="N391" s="9">
        <v>45165.479166666664</v>
      </c>
    </row>
    <row r="392" spans="1:15" ht="12.75" x14ac:dyDescent="0.2">
      <c r="A392" s="5" t="s">
        <v>447</v>
      </c>
      <c r="B392" s="4" t="s">
        <v>19</v>
      </c>
      <c r="C392" s="4" t="s">
        <v>445</v>
      </c>
      <c r="D392" s="5">
        <v>13.37</v>
      </c>
      <c r="E392" s="4">
        <v>24.74</v>
      </c>
      <c r="F392" s="4">
        <f t="shared" si="70"/>
        <v>11.37</v>
      </c>
      <c r="G392" s="6">
        <v>45134</v>
      </c>
      <c r="H392" s="4">
        <v>1.1488</v>
      </c>
      <c r="I392" s="4">
        <v>1.1687000000000001</v>
      </c>
      <c r="J392">
        <f t="shared" ref="J392:J395" si="73">I392-H392</f>
        <v>1.9900000000000029E-2</v>
      </c>
      <c r="K392" s="7">
        <f t="shared" si="72"/>
        <v>11.350099999999999</v>
      </c>
      <c r="L392" s="9">
        <v>45161.399305555555</v>
      </c>
      <c r="M392" s="9">
        <v>45161.399305555555</v>
      </c>
      <c r="N392" s="9">
        <v>45163.399305555555</v>
      </c>
    </row>
    <row r="393" spans="1:15" ht="12.75" x14ac:dyDescent="0.2">
      <c r="A393" s="5" t="s">
        <v>448</v>
      </c>
      <c r="B393" s="4" t="s">
        <v>20</v>
      </c>
      <c r="C393" s="4" t="s">
        <v>445</v>
      </c>
      <c r="D393" s="5">
        <v>13.29</v>
      </c>
      <c r="E393" s="4">
        <v>52.63</v>
      </c>
      <c r="F393" s="4">
        <f t="shared" si="70"/>
        <v>39.340000000000003</v>
      </c>
      <c r="G393" s="6">
        <v>45134</v>
      </c>
      <c r="H393" s="4">
        <v>1.1488</v>
      </c>
      <c r="I393" s="4">
        <v>1.1769000000000001</v>
      </c>
      <c r="J393">
        <f t="shared" si="73"/>
        <v>2.8100000000000014E-2</v>
      </c>
      <c r="K393" s="7">
        <f t="shared" si="72"/>
        <v>39.311900000000001</v>
      </c>
      <c r="L393" s="9">
        <v>45169.527777777781</v>
      </c>
      <c r="M393" s="9">
        <v>45169.527777777781</v>
      </c>
      <c r="N393" s="9">
        <v>45173.388888888891</v>
      </c>
    </row>
    <row r="394" spans="1:15" ht="12.75" x14ac:dyDescent="0.2">
      <c r="A394" s="5" t="s">
        <v>449</v>
      </c>
      <c r="B394" s="4" t="s">
        <v>21</v>
      </c>
      <c r="C394" s="4" t="s">
        <v>445</v>
      </c>
      <c r="D394" s="5">
        <v>13.32</v>
      </c>
      <c r="E394" s="4">
        <v>50.4</v>
      </c>
      <c r="F394" s="4">
        <f t="shared" si="70"/>
        <v>37.08</v>
      </c>
      <c r="G394" s="6">
        <v>45134</v>
      </c>
      <c r="H394" s="4">
        <v>1.1488</v>
      </c>
      <c r="I394" s="4">
        <v>1.1505000000000001</v>
      </c>
      <c r="J394">
        <f t="shared" si="73"/>
        <v>1.7000000000000348E-3</v>
      </c>
      <c r="K394" s="7">
        <f t="shared" si="72"/>
        <v>37.078299999999999</v>
      </c>
      <c r="L394" s="9">
        <v>45149.4375</v>
      </c>
      <c r="M394" s="9">
        <v>45149.4375</v>
      </c>
      <c r="N394" s="9">
        <v>45151.541666666664</v>
      </c>
    </row>
    <row r="395" spans="1:15" ht="12.75" x14ac:dyDescent="0.2">
      <c r="A395" s="5" t="s">
        <v>450</v>
      </c>
      <c r="B395" s="4" t="s">
        <v>22</v>
      </c>
      <c r="C395" s="4" t="s">
        <v>445</v>
      </c>
      <c r="D395" s="5">
        <v>13.36</v>
      </c>
      <c r="E395" s="4">
        <v>17.78</v>
      </c>
      <c r="F395" s="4">
        <f t="shared" si="70"/>
        <v>4.4200000000000017</v>
      </c>
      <c r="G395" s="6">
        <v>45134</v>
      </c>
      <c r="J395">
        <f t="shared" si="73"/>
        <v>0</v>
      </c>
      <c r="K395" s="7">
        <f t="shared" si="72"/>
        <v>4.4200000000000017</v>
      </c>
      <c r="L395" s="9">
        <v>45153.565972222219</v>
      </c>
      <c r="M395" s="9">
        <v>45153.565972222219</v>
      </c>
      <c r="N395" s="9">
        <v>45159.347222222219</v>
      </c>
    </row>
    <row r="396" spans="1:15" ht="12.75" x14ac:dyDescent="0.2">
      <c r="A396" s="4" t="s">
        <v>451</v>
      </c>
      <c r="B396" s="4" t="s">
        <v>16</v>
      </c>
      <c r="C396" s="4" t="s">
        <v>452</v>
      </c>
      <c r="D396" s="5">
        <v>13.41</v>
      </c>
      <c r="E396" s="4">
        <v>113.74</v>
      </c>
      <c r="F396" s="4">
        <f t="shared" si="70"/>
        <v>100.33</v>
      </c>
      <c r="G396" s="6">
        <v>45135</v>
      </c>
      <c r="J396">
        <f>SUM(J397:J401)</f>
        <v>2.3999999999999799E-2</v>
      </c>
      <c r="K396" s="7">
        <f t="shared" si="72"/>
        <v>100.306</v>
      </c>
    </row>
    <row r="397" spans="1:15" ht="12.75" x14ac:dyDescent="0.2">
      <c r="A397" s="4" t="s">
        <v>453</v>
      </c>
      <c r="B397" s="4" t="s">
        <v>71</v>
      </c>
      <c r="C397" s="4" t="s">
        <v>452</v>
      </c>
      <c r="D397" s="5">
        <v>13.36</v>
      </c>
      <c r="E397" s="4">
        <v>13.64</v>
      </c>
      <c r="F397" s="4">
        <f t="shared" si="70"/>
        <v>0.28000000000000114</v>
      </c>
      <c r="G397" s="6">
        <v>45135</v>
      </c>
      <c r="J397">
        <f>I397-H397</f>
        <v>0</v>
      </c>
      <c r="K397" s="7">
        <f t="shared" si="72"/>
        <v>0.28000000000000114</v>
      </c>
      <c r="L397" s="9">
        <v>45143.833333333336</v>
      </c>
      <c r="M397" s="9">
        <v>45143.833333333336</v>
      </c>
      <c r="N397" s="9">
        <v>45149.416666666664</v>
      </c>
    </row>
    <row r="398" spans="1:15" ht="12.75" x14ac:dyDescent="0.2">
      <c r="A398" s="4" t="s">
        <v>454</v>
      </c>
      <c r="B398" s="4" t="s">
        <v>19</v>
      </c>
      <c r="C398" s="4" t="s">
        <v>452</v>
      </c>
      <c r="D398" s="5">
        <v>13.38</v>
      </c>
      <c r="E398" s="4">
        <v>20.39</v>
      </c>
      <c r="F398" s="4">
        <f t="shared" si="70"/>
        <v>7.01</v>
      </c>
      <c r="G398" s="6">
        <v>45135</v>
      </c>
      <c r="H398" s="4">
        <v>1.1484000000000001</v>
      </c>
      <c r="I398" s="4">
        <v>1.1511</v>
      </c>
      <c r="J398">
        <f t="shared" ref="J398:J401" si="74">I398-H398</f>
        <v>2.6999999999999247E-3</v>
      </c>
      <c r="K398" s="7">
        <f t="shared" si="72"/>
        <v>7.0072999999999999</v>
      </c>
      <c r="L398" s="9">
        <v>45143.833333333336</v>
      </c>
      <c r="M398" s="9">
        <v>45143.833333333336</v>
      </c>
      <c r="N398" s="9">
        <v>45149.416666666664</v>
      </c>
    </row>
    <row r="399" spans="1:15" ht="12.75" x14ac:dyDescent="0.2">
      <c r="A399" s="4" t="s">
        <v>455</v>
      </c>
      <c r="B399" s="4" t="s">
        <v>20</v>
      </c>
      <c r="C399" s="4" t="s">
        <v>452</v>
      </c>
      <c r="D399" s="5">
        <v>13.07</v>
      </c>
      <c r="E399" s="4">
        <v>41.74</v>
      </c>
      <c r="F399" s="4">
        <f t="shared" si="70"/>
        <v>28.67</v>
      </c>
      <c r="G399" s="6">
        <v>45135</v>
      </c>
      <c r="H399" s="4">
        <v>1.1484000000000001</v>
      </c>
      <c r="I399" s="4">
        <v>1.1697</v>
      </c>
      <c r="J399">
        <f t="shared" si="74"/>
        <v>2.1299999999999875E-2</v>
      </c>
      <c r="K399" s="7">
        <f t="shared" si="72"/>
        <v>28.648700000000002</v>
      </c>
      <c r="L399" s="9">
        <v>45149.4375</v>
      </c>
      <c r="M399" s="9">
        <v>45149.4375</v>
      </c>
      <c r="N399" s="9">
        <v>45151.541666666664</v>
      </c>
    </row>
    <row r="400" spans="1:15" ht="12.75" x14ac:dyDescent="0.2">
      <c r="A400" s="4" t="s">
        <v>456</v>
      </c>
      <c r="B400" s="4" t="s">
        <v>21</v>
      </c>
      <c r="C400" s="4" t="s">
        <v>452</v>
      </c>
      <c r="D400" s="5">
        <v>13.34</v>
      </c>
      <c r="E400" s="4">
        <v>59.53</v>
      </c>
      <c r="F400" s="4">
        <f t="shared" si="70"/>
        <v>46.19</v>
      </c>
      <c r="G400" s="6">
        <v>45135</v>
      </c>
      <c r="J400">
        <f t="shared" si="74"/>
        <v>0</v>
      </c>
      <c r="K400" s="7">
        <f t="shared" si="72"/>
        <v>46.19</v>
      </c>
      <c r="L400" s="9">
        <v>45141.520833333336</v>
      </c>
      <c r="M400" s="9">
        <v>45141.520833333336</v>
      </c>
      <c r="N400" s="9">
        <v>45143.729166666664</v>
      </c>
    </row>
    <row r="401" spans="1:14" ht="12.75" x14ac:dyDescent="0.2">
      <c r="A401" s="4" t="s">
        <v>457</v>
      </c>
      <c r="B401" s="4" t="s">
        <v>22</v>
      </c>
      <c r="C401" s="4" t="s">
        <v>452</v>
      </c>
      <c r="D401" s="5">
        <v>13.36</v>
      </c>
      <c r="E401" s="4">
        <v>23.29</v>
      </c>
      <c r="F401" s="4">
        <f t="shared" si="70"/>
        <v>9.93</v>
      </c>
      <c r="G401" s="6">
        <v>45135</v>
      </c>
      <c r="J401">
        <f t="shared" si="74"/>
        <v>0</v>
      </c>
      <c r="K401" s="7">
        <f t="shared" si="72"/>
        <v>9.93</v>
      </c>
      <c r="L401" s="9">
        <v>45141.520833333336</v>
      </c>
      <c r="M401" s="9">
        <v>45141.520833333336</v>
      </c>
      <c r="N401" s="9">
        <v>45143.729166666664</v>
      </c>
    </row>
    <row r="402" spans="1:14" ht="12.75" x14ac:dyDescent="0.2">
      <c r="A402" s="4" t="s">
        <v>458</v>
      </c>
      <c r="B402" s="4" t="s">
        <v>16</v>
      </c>
      <c r="C402" s="4" t="s">
        <v>459</v>
      </c>
      <c r="D402" s="5">
        <v>12.01</v>
      </c>
      <c r="E402" s="4">
        <v>112.21</v>
      </c>
      <c r="F402" s="4">
        <f t="shared" si="70"/>
        <v>100.19999999999999</v>
      </c>
      <c r="G402" s="6">
        <v>45135</v>
      </c>
      <c r="J402">
        <f>SUM(J403:J407)</f>
        <v>1.9799999999999818E-2</v>
      </c>
      <c r="K402" s="7">
        <f t="shared" si="72"/>
        <v>100.18019999999999</v>
      </c>
    </row>
    <row r="403" spans="1:14" ht="12.75" x14ac:dyDescent="0.2">
      <c r="A403" s="4" t="s">
        <v>460</v>
      </c>
      <c r="B403" s="4" t="s">
        <v>71</v>
      </c>
      <c r="C403" s="4" t="s">
        <v>459</v>
      </c>
      <c r="D403" s="5">
        <v>13.06</v>
      </c>
      <c r="E403" s="4">
        <v>13.65</v>
      </c>
      <c r="F403" s="4">
        <f t="shared" si="70"/>
        <v>0.58999999999999986</v>
      </c>
      <c r="G403" s="6">
        <v>45135</v>
      </c>
      <c r="J403">
        <f>I403-H403</f>
        <v>0</v>
      </c>
      <c r="K403" s="7">
        <f t="shared" si="72"/>
        <v>0.58999999999999986</v>
      </c>
      <c r="L403" s="9">
        <v>45149.4375</v>
      </c>
      <c r="M403" s="9">
        <v>45149.4375</v>
      </c>
      <c r="N403" s="9">
        <v>45151.541666666664</v>
      </c>
    </row>
    <row r="404" spans="1:14" ht="12.75" x14ac:dyDescent="0.2">
      <c r="A404" s="4" t="s">
        <v>461</v>
      </c>
      <c r="B404" s="4" t="s">
        <v>19</v>
      </c>
      <c r="C404" s="4" t="s">
        <v>459</v>
      </c>
      <c r="D404" s="5">
        <v>14.91</v>
      </c>
      <c r="E404" s="4">
        <v>20.149999999999999</v>
      </c>
      <c r="F404" s="4">
        <f t="shared" si="70"/>
        <v>5.2399999999999984</v>
      </c>
      <c r="G404" s="6">
        <v>45135</v>
      </c>
      <c r="H404" s="4">
        <v>1.1486000000000001</v>
      </c>
      <c r="I404" s="4">
        <v>1.1547000000000001</v>
      </c>
      <c r="J404">
        <f t="shared" ref="J404:J407" si="75">I404-H404</f>
        <v>6.0999999999999943E-3</v>
      </c>
      <c r="K404" s="7">
        <f t="shared" si="72"/>
        <v>5.2338999999999984</v>
      </c>
      <c r="L404" s="9">
        <v>45143.833333333336</v>
      </c>
      <c r="M404" s="9">
        <v>45143.833333333336</v>
      </c>
      <c r="N404" s="9">
        <v>45149.416666666664</v>
      </c>
    </row>
    <row r="405" spans="1:14" ht="12.75" x14ac:dyDescent="0.2">
      <c r="A405" s="4" t="s">
        <v>462</v>
      </c>
      <c r="B405" s="4" t="s">
        <v>20</v>
      </c>
      <c r="C405" s="4" t="s">
        <v>459</v>
      </c>
      <c r="D405" s="5">
        <v>12.17</v>
      </c>
      <c r="E405" s="4">
        <v>34.21</v>
      </c>
      <c r="F405" s="4">
        <f t="shared" si="70"/>
        <v>22.04</v>
      </c>
      <c r="G405" s="6">
        <v>45135</v>
      </c>
      <c r="H405" s="4">
        <v>1.1486000000000001</v>
      </c>
      <c r="I405" s="4">
        <v>1.1518999999999999</v>
      </c>
      <c r="J405">
        <f t="shared" si="75"/>
        <v>3.2999999999998586E-3</v>
      </c>
      <c r="K405" s="7">
        <f t="shared" si="72"/>
        <v>22.0367</v>
      </c>
      <c r="L405" s="9">
        <v>45149.4375</v>
      </c>
      <c r="M405" s="9">
        <v>45149.4375</v>
      </c>
      <c r="N405" s="9">
        <v>45151.541666666664</v>
      </c>
    </row>
    <row r="406" spans="1:14" ht="12.75" x14ac:dyDescent="0.2">
      <c r="A406" s="4" t="s">
        <v>463</v>
      </c>
      <c r="B406" s="4" t="s">
        <v>21</v>
      </c>
      <c r="C406" s="4" t="s">
        <v>459</v>
      </c>
      <c r="D406" s="5">
        <v>11.98</v>
      </c>
      <c r="E406" s="4">
        <v>64.64</v>
      </c>
      <c r="F406" s="4">
        <f t="shared" si="70"/>
        <v>52.66</v>
      </c>
      <c r="G406" s="6">
        <v>45135</v>
      </c>
      <c r="H406" s="4">
        <v>1.1486000000000001</v>
      </c>
      <c r="I406" s="4">
        <v>1.159</v>
      </c>
      <c r="J406">
        <f t="shared" si="75"/>
        <v>1.0399999999999965E-2</v>
      </c>
      <c r="K406" s="7">
        <f t="shared" si="72"/>
        <v>52.6496</v>
      </c>
      <c r="L406" s="9">
        <v>45143.833333333336</v>
      </c>
      <c r="M406" s="9">
        <v>45143.833333333336</v>
      </c>
      <c r="N406" s="9">
        <v>45149.416666666664</v>
      </c>
    </row>
    <row r="407" spans="1:14" ht="12.75" x14ac:dyDescent="0.2">
      <c r="A407" s="4" t="s">
        <v>464</v>
      </c>
      <c r="B407" s="4" t="s">
        <v>22</v>
      </c>
      <c r="C407" s="4" t="s">
        <v>459</v>
      </c>
      <c r="D407" s="5">
        <v>13.3</v>
      </c>
      <c r="E407" s="4">
        <v>22.93</v>
      </c>
      <c r="F407" s="4">
        <f t="shared" si="70"/>
        <v>9.629999999999999</v>
      </c>
      <c r="G407" s="6">
        <v>45135</v>
      </c>
      <c r="J407">
        <f t="shared" si="75"/>
        <v>0</v>
      </c>
      <c r="K407" s="7">
        <f t="shared" si="72"/>
        <v>9.629999999999999</v>
      </c>
      <c r="L407" s="9">
        <v>45143.833333333336</v>
      </c>
      <c r="M407" s="9">
        <v>45143.833333333336</v>
      </c>
      <c r="N407" s="9">
        <v>45149.416666666664</v>
      </c>
    </row>
    <row r="408" spans="1:14" ht="12.75" x14ac:dyDescent="0.2">
      <c r="A408" s="4" t="s">
        <v>465</v>
      </c>
      <c r="B408" s="4" t="s">
        <v>16</v>
      </c>
      <c r="C408" s="4" t="s">
        <v>466</v>
      </c>
      <c r="D408" s="5">
        <v>13.05</v>
      </c>
      <c r="E408" s="4">
        <v>113.41</v>
      </c>
      <c r="F408" s="4">
        <f t="shared" si="70"/>
        <v>100.36</v>
      </c>
      <c r="G408" s="6">
        <v>45136</v>
      </c>
      <c r="J408" s="4">
        <f>SUM(J409:J413)</f>
        <v>2.4699999999999722E-2</v>
      </c>
      <c r="K408" s="7">
        <f t="shared" si="72"/>
        <v>100.3353</v>
      </c>
    </row>
    <row r="409" spans="1:14" ht="12.75" x14ac:dyDescent="0.2">
      <c r="A409" s="4" t="s">
        <v>467</v>
      </c>
      <c r="B409" s="4" t="s">
        <v>71</v>
      </c>
      <c r="C409" s="4" t="s">
        <v>466</v>
      </c>
      <c r="D409" s="5">
        <v>11.95</v>
      </c>
      <c r="E409" s="4">
        <v>12.28</v>
      </c>
      <c r="F409" s="4">
        <f t="shared" si="70"/>
        <v>0.33000000000000007</v>
      </c>
      <c r="G409" s="6">
        <v>45136</v>
      </c>
      <c r="J409" s="4">
        <f>I409-H409</f>
        <v>0</v>
      </c>
      <c r="K409" s="7">
        <f t="shared" si="72"/>
        <v>0.33000000000000007</v>
      </c>
      <c r="L409" s="9">
        <v>45163.416666666664</v>
      </c>
      <c r="M409" s="9">
        <v>45163.416666666664</v>
      </c>
      <c r="N409" s="9">
        <v>45165.479166666664</v>
      </c>
    </row>
    <row r="410" spans="1:14" ht="12.75" x14ac:dyDescent="0.2">
      <c r="A410" s="4" t="s">
        <v>468</v>
      </c>
      <c r="B410" s="4" t="s">
        <v>19</v>
      </c>
      <c r="C410" s="4" t="s">
        <v>466</v>
      </c>
      <c r="D410" s="5">
        <v>13.26</v>
      </c>
      <c r="E410" s="4">
        <v>19.16</v>
      </c>
      <c r="F410" s="4">
        <f t="shared" si="70"/>
        <v>5.9</v>
      </c>
      <c r="G410" s="6">
        <v>45136</v>
      </c>
      <c r="H410" s="4">
        <v>1.1486000000000001</v>
      </c>
      <c r="I410" s="4">
        <v>1.155</v>
      </c>
      <c r="J410" s="4">
        <f t="shared" ref="J410:J413" si="76">I410-H410</f>
        <v>6.3999999999999613E-3</v>
      </c>
      <c r="K410" s="7">
        <f t="shared" si="72"/>
        <v>5.8936000000000002</v>
      </c>
      <c r="L410" s="9">
        <v>45161.399305555555</v>
      </c>
      <c r="M410" s="9">
        <v>45161.399305555555</v>
      </c>
      <c r="N410" s="9">
        <v>45163.399305555555</v>
      </c>
    </row>
    <row r="411" spans="1:14" ht="12.75" x14ac:dyDescent="0.2">
      <c r="A411" s="4" t="s">
        <v>469</v>
      </c>
      <c r="B411" s="4" t="s">
        <v>20</v>
      </c>
      <c r="C411" s="4" t="s">
        <v>466</v>
      </c>
      <c r="D411" s="5">
        <v>13.11</v>
      </c>
      <c r="E411" s="4">
        <v>41.19</v>
      </c>
      <c r="F411" s="4">
        <f t="shared" si="70"/>
        <v>28.08</v>
      </c>
      <c r="G411" s="6">
        <v>45136</v>
      </c>
      <c r="H411" s="4">
        <v>1.1486000000000001</v>
      </c>
      <c r="I411" s="4">
        <v>1.1636</v>
      </c>
      <c r="J411" s="4">
        <f t="shared" si="76"/>
        <v>1.4999999999999902E-2</v>
      </c>
      <c r="K411" s="7">
        <f t="shared" si="72"/>
        <v>28.064999999999998</v>
      </c>
      <c r="L411" s="9">
        <v>45165.489583333336</v>
      </c>
      <c r="M411" s="9">
        <v>45165.489583333336</v>
      </c>
      <c r="N411" s="9">
        <v>45167.489583333336</v>
      </c>
    </row>
    <row r="412" spans="1:14" ht="12.75" x14ac:dyDescent="0.2">
      <c r="A412" s="4" t="s">
        <v>470</v>
      </c>
      <c r="B412" s="4" t="s">
        <v>21</v>
      </c>
      <c r="C412" s="4" t="s">
        <v>466</v>
      </c>
      <c r="D412" s="5">
        <v>13.29</v>
      </c>
      <c r="E412" s="4">
        <v>64.12</v>
      </c>
      <c r="F412" s="4">
        <f t="shared" si="70"/>
        <v>50.830000000000005</v>
      </c>
      <c r="G412" s="6">
        <v>45136</v>
      </c>
      <c r="H412" s="4">
        <v>1.1486000000000001</v>
      </c>
      <c r="I412" s="4">
        <v>1.1518999999999999</v>
      </c>
      <c r="J412" s="4">
        <f t="shared" si="76"/>
        <v>3.2999999999998586E-3</v>
      </c>
      <c r="K412" s="7">
        <f t="shared" si="72"/>
        <v>50.826700000000002</v>
      </c>
      <c r="L412" s="9">
        <v>45161.399305555555</v>
      </c>
      <c r="M412" s="9">
        <v>45161.399305555555</v>
      </c>
      <c r="N412" s="9">
        <v>45163.399305555555</v>
      </c>
    </row>
    <row r="413" spans="1:14" ht="12.75" x14ac:dyDescent="0.2">
      <c r="A413" s="4" t="s">
        <v>471</v>
      </c>
      <c r="B413" s="4" t="s">
        <v>22</v>
      </c>
      <c r="C413" s="4" t="s">
        <v>466</v>
      </c>
      <c r="D413" s="5">
        <v>13.17</v>
      </c>
      <c r="E413" s="4">
        <v>20.010000000000002</v>
      </c>
      <c r="F413" s="4">
        <f t="shared" si="70"/>
        <v>6.8400000000000016</v>
      </c>
      <c r="G413" s="6">
        <v>45136</v>
      </c>
      <c r="J413" s="4">
        <f t="shared" si="76"/>
        <v>0</v>
      </c>
      <c r="K413" s="7">
        <f t="shared" si="72"/>
        <v>6.8400000000000016</v>
      </c>
      <c r="L413" s="9">
        <v>45143.833333333336</v>
      </c>
      <c r="M413" s="9">
        <v>45143.833333333336</v>
      </c>
      <c r="N413" s="9">
        <v>45149.416666666664</v>
      </c>
    </row>
    <row r="414" spans="1:14" ht="12.75" x14ac:dyDescent="0.2">
      <c r="A414" s="4" t="s">
        <v>472</v>
      </c>
      <c r="B414" s="4" t="s">
        <v>16</v>
      </c>
      <c r="C414" s="4" t="s">
        <v>473</v>
      </c>
      <c r="D414" s="5">
        <v>13.15</v>
      </c>
      <c r="E414" s="4">
        <v>113.44</v>
      </c>
      <c r="F414" s="4">
        <f t="shared" si="70"/>
        <v>100.28999999999999</v>
      </c>
      <c r="G414" s="6">
        <v>45136</v>
      </c>
      <c r="J414" s="4">
        <f>SUM(J415:J419)</f>
        <v>4.2799999999999727E-2</v>
      </c>
      <c r="K414" s="7">
        <f t="shared" si="72"/>
        <v>100.24719999999999</v>
      </c>
    </row>
    <row r="415" spans="1:14" ht="12.75" x14ac:dyDescent="0.2">
      <c r="A415" s="4" t="s">
        <v>474</v>
      </c>
      <c r="B415" s="4" t="s">
        <v>71</v>
      </c>
      <c r="C415" s="4" t="s">
        <v>473</v>
      </c>
      <c r="D415" s="5">
        <v>13.22</v>
      </c>
      <c r="E415" s="4">
        <v>13.47</v>
      </c>
      <c r="F415" s="4">
        <f t="shared" si="70"/>
        <v>0.25</v>
      </c>
      <c r="G415" s="6">
        <v>45136</v>
      </c>
      <c r="J415" s="4">
        <f t="shared" ref="J415:J419" si="77">I415-H415</f>
        <v>0</v>
      </c>
      <c r="K415" s="7">
        <f t="shared" si="72"/>
        <v>0.25</v>
      </c>
      <c r="L415" s="9">
        <v>45163.416666666664</v>
      </c>
      <c r="M415" s="9">
        <v>45163.416666666664</v>
      </c>
      <c r="N415" s="9">
        <v>45165.479166666664</v>
      </c>
    </row>
    <row r="416" spans="1:14" ht="12.75" x14ac:dyDescent="0.2">
      <c r="A416" s="4" t="s">
        <v>475</v>
      </c>
      <c r="B416" s="4" t="s">
        <v>19</v>
      </c>
      <c r="C416" s="4" t="s">
        <v>473</v>
      </c>
      <c r="D416" s="5">
        <v>13.14</v>
      </c>
      <c r="E416" s="4">
        <v>21.88</v>
      </c>
      <c r="F416" s="4">
        <f t="shared" si="70"/>
        <v>8.7399999999999984</v>
      </c>
      <c r="G416" s="6">
        <v>45136</v>
      </c>
      <c r="H416" s="4">
        <v>1.1486000000000001</v>
      </c>
      <c r="I416" s="4">
        <v>1.1504000000000001</v>
      </c>
      <c r="J416" s="4">
        <f t="shared" si="77"/>
        <v>1.8000000000000238E-3</v>
      </c>
      <c r="K416" s="7">
        <f t="shared" si="72"/>
        <v>8.7381999999999991</v>
      </c>
      <c r="L416" s="9">
        <v>45153.565972222219</v>
      </c>
      <c r="M416" s="9">
        <v>45153.565972222219</v>
      </c>
      <c r="N416" s="9">
        <v>45159.347222222219</v>
      </c>
    </row>
    <row r="417" spans="1:14" ht="12.75" x14ac:dyDescent="0.2">
      <c r="A417" s="4" t="s">
        <v>476</v>
      </c>
      <c r="B417" s="4" t="s">
        <v>20</v>
      </c>
      <c r="C417" s="4" t="s">
        <v>473</v>
      </c>
      <c r="D417" s="5">
        <v>11.96</v>
      </c>
      <c r="E417" s="4">
        <v>39.44</v>
      </c>
      <c r="F417" s="4">
        <f t="shared" si="70"/>
        <v>27.479999999999997</v>
      </c>
      <c r="G417" s="6">
        <v>45136</v>
      </c>
      <c r="H417" s="4">
        <v>1.1486000000000001</v>
      </c>
      <c r="I417" s="4">
        <v>1.1780999999999999</v>
      </c>
      <c r="J417" s="4">
        <f t="shared" si="77"/>
        <v>2.949999999999986E-2</v>
      </c>
      <c r="K417" s="7">
        <f t="shared" si="72"/>
        <v>27.450499999999998</v>
      </c>
      <c r="L417" s="9">
        <v>45161.399305555555</v>
      </c>
      <c r="M417" s="9">
        <v>45161.399305555555</v>
      </c>
      <c r="N417" s="9">
        <v>45163.399305555555</v>
      </c>
    </row>
    <row r="418" spans="1:14" ht="12.75" x14ac:dyDescent="0.2">
      <c r="A418" s="4" t="s">
        <v>477</v>
      </c>
      <c r="B418" s="4" t="s">
        <v>21</v>
      </c>
      <c r="C418" s="4" t="s">
        <v>473</v>
      </c>
      <c r="D418" s="5">
        <v>13.31</v>
      </c>
      <c r="E418" s="4">
        <v>62.94</v>
      </c>
      <c r="F418" s="4">
        <f t="shared" si="70"/>
        <v>49.629999999999995</v>
      </c>
      <c r="G418" s="6">
        <v>45136</v>
      </c>
      <c r="H418" s="4">
        <v>1.1486000000000001</v>
      </c>
      <c r="I418" s="4">
        <v>1.1600999999999999</v>
      </c>
      <c r="J418" s="4">
        <f t="shared" si="77"/>
        <v>1.1499999999999844E-2</v>
      </c>
      <c r="K418" s="7">
        <f t="shared" si="72"/>
        <v>49.618499999999997</v>
      </c>
      <c r="L418" s="9">
        <v>45143.833333333336</v>
      </c>
      <c r="M418" s="9">
        <v>45143.833333333336</v>
      </c>
      <c r="N418" s="9">
        <v>45149.416666666664</v>
      </c>
    </row>
    <row r="419" spans="1:14" ht="12.75" x14ac:dyDescent="0.2">
      <c r="A419" s="4" t="s">
        <v>478</v>
      </c>
      <c r="B419" s="4" t="s">
        <v>22</v>
      </c>
      <c r="C419" s="4" t="s">
        <v>473</v>
      </c>
      <c r="D419" s="5">
        <v>12.04</v>
      </c>
      <c r="E419" s="4">
        <v>18.75</v>
      </c>
      <c r="F419" s="4">
        <f t="shared" si="70"/>
        <v>6.7100000000000009</v>
      </c>
      <c r="G419" s="6">
        <v>45136</v>
      </c>
      <c r="J419" s="4">
        <f t="shared" si="77"/>
        <v>0</v>
      </c>
      <c r="K419" s="7">
        <f t="shared" si="72"/>
        <v>6.7100000000000009</v>
      </c>
      <c r="L419" s="9">
        <v>45153.565972222219</v>
      </c>
      <c r="M419" s="9">
        <v>45153.565972222219</v>
      </c>
      <c r="N419" s="9">
        <v>45159.347222222219</v>
      </c>
    </row>
    <row r="420" spans="1:14" ht="12.75" x14ac:dyDescent="0.2">
      <c r="A420" s="4" t="s">
        <v>479</v>
      </c>
      <c r="B420" s="4" t="s">
        <v>16</v>
      </c>
      <c r="C420" s="4" t="s">
        <v>480</v>
      </c>
      <c r="D420" s="5">
        <v>13.22</v>
      </c>
      <c r="E420" s="4">
        <v>112.11</v>
      </c>
      <c r="F420" s="4">
        <f t="shared" si="70"/>
        <v>98.89</v>
      </c>
      <c r="G420" s="6">
        <v>45141</v>
      </c>
      <c r="J420" s="4">
        <f>SUM(J421:J425)</f>
        <v>6.6199999999999815E-2</v>
      </c>
      <c r="K420" s="7">
        <f t="shared" si="72"/>
        <v>98.823800000000006</v>
      </c>
    </row>
    <row r="421" spans="1:14" ht="12.75" x14ac:dyDescent="0.2">
      <c r="A421" s="4" t="s">
        <v>481</v>
      </c>
      <c r="B421" s="4" t="s">
        <v>71</v>
      </c>
      <c r="C421" s="4" t="s">
        <v>480</v>
      </c>
      <c r="D421" s="5">
        <v>13.21</v>
      </c>
      <c r="E421" s="4">
        <v>13.32</v>
      </c>
      <c r="F421" s="4">
        <f t="shared" si="70"/>
        <v>0.10999999999999943</v>
      </c>
      <c r="G421" s="6">
        <v>45141</v>
      </c>
      <c r="J421" s="4">
        <f t="shared" ref="J421:J425" si="78">I421-H421</f>
        <v>0</v>
      </c>
      <c r="K421" s="7">
        <f t="shared" si="72"/>
        <v>0.10999999999999943</v>
      </c>
      <c r="L421" s="9">
        <v>45167.506944444445</v>
      </c>
      <c r="M421" s="9">
        <v>45167.506944444445</v>
      </c>
      <c r="N421" s="9">
        <v>45169.513888888891</v>
      </c>
    </row>
    <row r="422" spans="1:14" ht="12.75" x14ac:dyDescent="0.2">
      <c r="A422" s="4" t="s">
        <v>482</v>
      </c>
      <c r="B422" s="4" t="s">
        <v>19</v>
      </c>
      <c r="C422" s="4" t="s">
        <v>480</v>
      </c>
      <c r="D422" s="5">
        <v>13.13</v>
      </c>
      <c r="E422" s="4">
        <v>28.26</v>
      </c>
      <c r="F422" s="4">
        <f t="shared" si="70"/>
        <v>15.13</v>
      </c>
      <c r="G422" s="6">
        <v>45141</v>
      </c>
      <c r="H422" s="4">
        <v>1.1486000000000001</v>
      </c>
      <c r="I422" s="4">
        <v>1.1512</v>
      </c>
      <c r="J422" s="4">
        <f t="shared" si="78"/>
        <v>2.5999999999999357E-3</v>
      </c>
      <c r="K422" s="7">
        <f t="shared" si="72"/>
        <v>15.127400000000002</v>
      </c>
      <c r="L422" s="9">
        <v>45153.565972222219</v>
      </c>
      <c r="M422" s="9">
        <v>45153.565972222219</v>
      </c>
      <c r="N422" s="9">
        <v>45159.347222222219</v>
      </c>
    </row>
    <row r="423" spans="1:14" ht="12.75" x14ac:dyDescent="0.2">
      <c r="A423" s="4" t="s">
        <v>483</v>
      </c>
      <c r="B423" s="4" t="s">
        <v>20</v>
      </c>
      <c r="C423" s="4" t="s">
        <v>480</v>
      </c>
      <c r="D423" s="5">
        <v>11.99</v>
      </c>
      <c r="E423" s="4">
        <v>41.34</v>
      </c>
      <c r="F423" s="4">
        <f t="shared" si="70"/>
        <v>29.35</v>
      </c>
      <c r="G423" s="6">
        <v>45141</v>
      </c>
      <c r="H423" s="4">
        <v>1.1486000000000001</v>
      </c>
      <c r="I423" s="4">
        <v>1.2094</v>
      </c>
      <c r="J423" s="4">
        <f t="shared" si="78"/>
        <v>6.0799999999999965E-2</v>
      </c>
      <c r="K423" s="7">
        <f t="shared" si="72"/>
        <v>29.289200000000001</v>
      </c>
      <c r="L423" s="9">
        <v>45165.489583333336</v>
      </c>
      <c r="M423" s="9">
        <v>45165.489583333336</v>
      </c>
      <c r="N423" s="9">
        <v>45167.489583333336</v>
      </c>
    </row>
    <row r="424" spans="1:14" ht="12.75" x14ac:dyDescent="0.2">
      <c r="A424" s="4" t="s">
        <v>484</v>
      </c>
      <c r="B424" s="4" t="s">
        <v>21</v>
      </c>
      <c r="C424" s="4" t="s">
        <v>480</v>
      </c>
      <c r="D424" s="5">
        <v>12.08</v>
      </c>
      <c r="E424" s="4">
        <v>58.04</v>
      </c>
      <c r="F424" s="4">
        <f t="shared" si="70"/>
        <v>45.96</v>
      </c>
      <c r="G424" s="6">
        <v>45141</v>
      </c>
      <c r="H424" s="4">
        <v>1.1486000000000001</v>
      </c>
      <c r="I424" s="4">
        <v>1.1514</v>
      </c>
      <c r="J424" s="4">
        <f t="shared" si="78"/>
        <v>2.7999999999999137E-3</v>
      </c>
      <c r="K424" s="7">
        <f t="shared" si="72"/>
        <v>45.9572</v>
      </c>
      <c r="L424" s="9">
        <v>45153.565972222219</v>
      </c>
      <c r="M424" s="9">
        <v>45153.565972222219</v>
      </c>
      <c r="N424" s="9">
        <v>45159.347222222219</v>
      </c>
    </row>
    <row r="425" spans="1:14" ht="12.75" x14ac:dyDescent="0.2">
      <c r="A425" s="4" t="s">
        <v>485</v>
      </c>
      <c r="B425" s="4" t="s">
        <v>22</v>
      </c>
      <c r="C425" s="4" t="s">
        <v>480</v>
      </c>
      <c r="D425" s="5">
        <v>13.16</v>
      </c>
      <c r="E425" s="4">
        <v>17.36</v>
      </c>
      <c r="F425" s="4">
        <f t="shared" si="70"/>
        <v>4.1999999999999993</v>
      </c>
      <c r="G425" s="6">
        <v>45141</v>
      </c>
      <c r="J425" s="4">
        <f t="shared" si="78"/>
        <v>0</v>
      </c>
      <c r="K425" s="7">
        <f t="shared" si="72"/>
        <v>4.1999999999999993</v>
      </c>
      <c r="L425" s="9">
        <v>45159.375</v>
      </c>
      <c r="M425" s="9">
        <v>45159.375</v>
      </c>
      <c r="N425" s="9">
        <v>45161.381944444445</v>
      </c>
    </row>
    <row r="426" spans="1:14" ht="12.75" x14ac:dyDescent="0.2">
      <c r="A426" s="4" t="s">
        <v>486</v>
      </c>
      <c r="B426" s="4" t="s">
        <v>16</v>
      </c>
      <c r="C426" s="4" t="s">
        <v>487</v>
      </c>
      <c r="D426" s="5">
        <v>13.32</v>
      </c>
      <c r="E426" s="4">
        <v>113.57</v>
      </c>
      <c r="F426" s="4">
        <f t="shared" si="70"/>
        <v>100.25</v>
      </c>
      <c r="G426" s="6">
        <v>45141</v>
      </c>
      <c r="J426" s="4">
        <f>SUM(J427:J431)</f>
        <v>1.8099999999999783E-2</v>
      </c>
      <c r="K426" s="7">
        <f t="shared" si="72"/>
        <v>100.2319</v>
      </c>
    </row>
    <row r="427" spans="1:14" ht="12.75" x14ac:dyDescent="0.2">
      <c r="A427" s="4" t="s">
        <v>488</v>
      </c>
      <c r="B427" s="4" t="s">
        <v>71</v>
      </c>
      <c r="C427" s="4" t="s">
        <v>487</v>
      </c>
      <c r="D427" s="5">
        <v>11.97</v>
      </c>
      <c r="E427" s="4">
        <v>12.12</v>
      </c>
      <c r="F427" s="4">
        <f t="shared" si="70"/>
        <v>0.14999999999999858</v>
      </c>
      <c r="G427" s="6">
        <v>45141</v>
      </c>
      <c r="J427" s="4">
        <f t="shared" ref="J427:J431" si="79">I427-H427</f>
        <v>0</v>
      </c>
      <c r="K427" s="7">
        <f t="shared" si="72"/>
        <v>0.14999999999999858</v>
      </c>
      <c r="L427" s="9">
        <v>45173.399305555555</v>
      </c>
      <c r="M427" s="9">
        <v>45173.399305555555</v>
      </c>
      <c r="N427" s="9">
        <v>45175.430555555555</v>
      </c>
    </row>
    <row r="428" spans="1:14" ht="12.75" x14ac:dyDescent="0.2">
      <c r="A428" s="4" t="s">
        <v>489</v>
      </c>
      <c r="B428" s="4" t="s">
        <v>19</v>
      </c>
      <c r="C428" s="4" t="s">
        <v>487</v>
      </c>
      <c r="D428" s="5">
        <v>13.43</v>
      </c>
      <c r="E428" s="4">
        <v>23.9</v>
      </c>
      <c r="F428" s="4">
        <f t="shared" si="70"/>
        <v>10.469999999999999</v>
      </c>
      <c r="G428" s="6">
        <v>45141</v>
      </c>
      <c r="H428" s="4">
        <v>1.1487000000000001</v>
      </c>
      <c r="I428" s="4">
        <v>1.1585000000000001</v>
      </c>
      <c r="J428" s="4">
        <f t="shared" si="79"/>
        <v>9.8000000000000309E-3</v>
      </c>
      <c r="K428" s="7">
        <f t="shared" si="72"/>
        <v>10.460199999999999</v>
      </c>
      <c r="L428" s="9">
        <v>45153.565972222219</v>
      </c>
      <c r="M428" s="9">
        <v>45153.565972222219</v>
      </c>
      <c r="N428" s="9">
        <v>45159.347222222219</v>
      </c>
    </row>
    <row r="429" spans="1:14" ht="12.75" x14ac:dyDescent="0.2">
      <c r="A429" s="4" t="s">
        <v>490</v>
      </c>
      <c r="B429" s="4" t="s">
        <v>20</v>
      </c>
      <c r="C429" s="4" t="s">
        <v>487</v>
      </c>
      <c r="D429" s="5">
        <v>14.9</v>
      </c>
      <c r="E429" s="4">
        <v>36.83</v>
      </c>
      <c r="F429" s="4">
        <f t="shared" si="70"/>
        <v>21.93</v>
      </c>
      <c r="G429" s="6">
        <v>45141</v>
      </c>
      <c r="H429" s="4">
        <v>1.1487000000000001</v>
      </c>
      <c r="I429" s="4">
        <v>1.1559999999999999</v>
      </c>
      <c r="J429" s="4">
        <f t="shared" si="79"/>
        <v>7.2999999999998622E-3</v>
      </c>
      <c r="K429" s="7">
        <f t="shared" si="72"/>
        <v>21.922699999999999</v>
      </c>
      <c r="L429" s="9">
        <v>45165.489583333336</v>
      </c>
      <c r="M429" s="9">
        <v>45165.489583333336</v>
      </c>
      <c r="N429" s="9">
        <v>45167.489583333336</v>
      </c>
    </row>
    <row r="430" spans="1:14" ht="12.75" x14ac:dyDescent="0.2">
      <c r="A430" s="4" t="s">
        <v>491</v>
      </c>
      <c r="B430" s="4" t="s">
        <v>21</v>
      </c>
      <c r="C430" s="4" t="s">
        <v>487</v>
      </c>
      <c r="D430" s="5">
        <v>12.08</v>
      </c>
      <c r="E430" s="4">
        <v>64.75</v>
      </c>
      <c r="F430" s="4">
        <f t="shared" si="70"/>
        <v>52.67</v>
      </c>
      <c r="G430" s="6">
        <v>45141</v>
      </c>
      <c r="H430" s="4">
        <v>1.1487000000000001</v>
      </c>
      <c r="I430" s="4">
        <v>1.1496999999999999</v>
      </c>
      <c r="J430" s="4">
        <f t="shared" si="79"/>
        <v>9.9999999999988987E-4</v>
      </c>
      <c r="K430" s="7">
        <f t="shared" si="72"/>
        <v>52.669000000000004</v>
      </c>
      <c r="L430" s="9">
        <v>45153.565972222219</v>
      </c>
      <c r="M430" s="9">
        <v>45153.565972222219</v>
      </c>
      <c r="N430" s="9">
        <v>45159.347222222219</v>
      </c>
    </row>
    <row r="431" spans="1:14" ht="12.75" x14ac:dyDescent="0.2">
      <c r="A431" s="4" t="s">
        <v>492</v>
      </c>
      <c r="B431" s="4" t="s">
        <v>22</v>
      </c>
      <c r="C431" s="4" t="s">
        <v>487</v>
      </c>
      <c r="D431" s="5">
        <v>11.98</v>
      </c>
      <c r="E431" s="4">
        <v>20.9</v>
      </c>
      <c r="F431" s="4">
        <f t="shared" si="70"/>
        <v>8.9199999999999982</v>
      </c>
      <c r="G431" s="6">
        <v>45141</v>
      </c>
      <c r="J431" s="4">
        <f t="shared" si="79"/>
        <v>0</v>
      </c>
      <c r="K431" s="7">
        <f t="shared" si="72"/>
        <v>8.9199999999999982</v>
      </c>
      <c r="L431" s="9">
        <v>45163.451388888891</v>
      </c>
      <c r="M431" s="9">
        <v>45163.451388888891</v>
      </c>
      <c r="N431" s="9">
        <v>45165.479166666664</v>
      </c>
    </row>
    <row r="432" spans="1:14" ht="12.75" x14ac:dyDescent="0.2">
      <c r="A432" s="4" t="s">
        <v>493</v>
      </c>
      <c r="B432" s="4" t="s">
        <v>16</v>
      </c>
      <c r="C432" s="4" t="s">
        <v>494</v>
      </c>
      <c r="D432" s="5">
        <v>13.28</v>
      </c>
      <c r="E432" s="4">
        <v>113.31</v>
      </c>
      <c r="F432" s="4">
        <f t="shared" si="70"/>
        <v>100.03</v>
      </c>
      <c r="G432" s="6">
        <v>45141</v>
      </c>
      <c r="J432">
        <f>SUM(J433:J437)</f>
        <v>6.9099999999999939E-2</v>
      </c>
      <c r="K432" s="7">
        <f t="shared" si="72"/>
        <v>99.960899999999995</v>
      </c>
    </row>
    <row r="433" spans="1:14" ht="12.75" x14ac:dyDescent="0.2">
      <c r="A433" s="4" t="s">
        <v>495</v>
      </c>
      <c r="B433" s="4" t="s">
        <v>71</v>
      </c>
      <c r="C433" s="4" t="s">
        <v>494</v>
      </c>
      <c r="D433" s="5">
        <v>14.88</v>
      </c>
      <c r="E433" s="4">
        <v>14.98</v>
      </c>
      <c r="F433" s="4">
        <f t="shared" si="70"/>
        <v>9.9999999999999645E-2</v>
      </c>
      <c r="G433" s="6">
        <v>45141</v>
      </c>
      <c r="J433">
        <f>I433-H433</f>
        <v>0</v>
      </c>
      <c r="K433" s="7">
        <f t="shared" si="72"/>
        <v>9.9999999999999645E-2</v>
      </c>
      <c r="L433" s="9">
        <v>45153.565972222219</v>
      </c>
      <c r="M433" s="9">
        <v>45153.565972222219</v>
      </c>
      <c r="N433" s="9">
        <v>45159.347222222219</v>
      </c>
    </row>
    <row r="434" spans="1:14" ht="12.75" x14ac:dyDescent="0.2">
      <c r="A434" s="4" t="s">
        <v>496</v>
      </c>
      <c r="B434" s="4" t="s">
        <v>19</v>
      </c>
      <c r="C434" s="4" t="s">
        <v>494</v>
      </c>
      <c r="D434" s="5">
        <v>13.53</v>
      </c>
      <c r="E434" s="4">
        <v>23.45</v>
      </c>
      <c r="F434" s="4">
        <f t="shared" si="70"/>
        <v>9.92</v>
      </c>
      <c r="G434" s="6">
        <v>45141</v>
      </c>
      <c r="H434" s="4">
        <v>1.1489</v>
      </c>
      <c r="I434" s="4">
        <v>1.1667000000000001</v>
      </c>
      <c r="J434">
        <f t="shared" ref="J434:J437" si="80">I434-H434</f>
        <v>1.7800000000000038E-2</v>
      </c>
      <c r="K434" s="7">
        <f t="shared" si="72"/>
        <v>9.9022000000000006</v>
      </c>
      <c r="L434" s="9">
        <v>45153.565972222219</v>
      </c>
      <c r="M434" s="9">
        <v>45153.565972222219</v>
      </c>
      <c r="N434" s="9">
        <v>45159.347222222219</v>
      </c>
    </row>
    <row r="435" spans="1:14" ht="12.75" x14ac:dyDescent="0.2">
      <c r="A435" s="4" t="s">
        <v>497</v>
      </c>
      <c r="B435" s="4" t="s">
        <v>20</v>
      </c>
      <c r="C435" s="4" t="s">
        <v>494</v>
      </c>
      <c r="D435" s="5">
        <v>13.06</v>
      </c>
      <c r="E435" s="4">
        <v>36.71</v>
      </c>
      <c r="F435" s="4">
        <f t="shared" si="70"/>
        <v>23.65</v>
      </c>
      <c r="G435" s="6">
        <v>45141</v>
      </c>
      <c r="H435" s="4">
        <v>1.1489</v>
      </c>
      <c r="I435" s="4">
        <v>1.1919</v>
      </c>
      <c r="J435">
        <f t="shared" si="80"/>
        <v>4.2999999999999927E-2</v>
      </c>
      <c r="K435" s="7">
        <f t="shared" si="72"/>
        <v>23.606999999999999</v>
      </c>
      <c r="L435" s="9">
        <v>45159.375</v>
      </c>
      <c r="M435" s="9">
        <v>45159.375</v>
      </c>
      <c r="N435" s="9">
        <v>45161.381944444445</v>
      </c>
    </row>
    <row r="436" spans="1:14" ht="12.75" x14ac:dyDescent="0.2">
      <c r="A436" s="4" t="s">
        <v>498</v>
      </c>
      <c r="B436" s="4" t="s">
        <v>21</v>
      </c>
      <c r="C436" s="4" t="s">
        <v>494</v>
      </c>
      <c r="D436" s="5">
        <v>13.17</v>
      </c>
      <c r="E436" s="4">
        <v>65.89</v>
      </c>
      <c r="F436" s="4">
        <f t="shared" si="70"/>
        <v>52.72</v>
      </c>
      <c r="G436" s="6">
        <v>45141</v>
      </c>
      <c r="H436" s="4">
        <v>1.1489</v>
      </c>
      <c r="I436" s="4">
        <v>1.1572</v>
      </c>
      <c r="J436">
        <f t="shared" si="80"/>
        <v>8.2999999999999741E-3</v>
      </c>
      <c r="K436" s="7">
        <f t="shared" si="72"/>
        <v>52.7117</v>
      </c>
      <c r="L436" s="9">
        <v>45153.565972222219</v>
      </c>
      <c r="M436" s="9">
        <v>45153.565972222219</v>
      </c>
      <c r="N436" s="9">
        <v>45159.347222222219</v>
      </c>
    </row>
    <row r="437" spans="1:14" ht="12.75" x14ac:dyDescent="0.2">
      <c r="A437" s="4" t="s">
        <v>499</v>
      </c>
      <c r="B437" s="4" t="s">
        <v>22</v>
      </c>
      <c r="C437" s="4" t="s">
        <v>494</v>
      </c>
      <c r="D437" s="5">
        <v>13.39</v>
      </c>
      <c r="E437" s="4">
        <v>20.239999999999998</v>
      </c>
      <c r="F437" s="4">
        <f t="shared" si="70"/>
        <v>6.8499999999999979</v>
      </c>
      <c r="G437" s="6">
        <v>45141</v>
      </c>
      <c r="J437">
        <f t="shared" si="80"/>
        <v>0</v>
      </c>
      <c r="K437" s="7">
        <f t="shared" si="72"/>
        <v>6.8499999999999979</v>
      </c>
      <c r="L437" s="9">
        <v>45159.375</v>
      </c>
      <c r="M437" s="9">
        <v>45159.375</v>
      </c>
      <c r="N437" s="9">
        <v>45161.381944444445</v>
      </c>
    </row>
    <row r="438" spans="1:14" ht="12.75" x14ac:dyDescent="0.2">
      <c r="A438" s="4" t="s">
        <v>500</v>
      </c>
      <c r="B438" s="4" t="s">
        <v>16</v>
      </c>
      <c r="C438" s="4" t="s">
        <v>501</v>
      </c>
      <c r="D438" s="5">
        <v>13.28</v>
      </c>
      <c r="E438" s="4">
        <v>113.41</v>
      </c>
      <c r="F438" s="4">
        <f t="shared" si="70"/>
        <v>100.13</v>
      </c>
      <c r="G438" s="6">
        <v>45141</v>
      </c>
      <c r="J438" s="4">
        <f>SUM(J439:J443)</f>
        <v>1.2999999999999901E-2</v>
      </c>
      <c r="K438" s="7">
        <f t="shared" si="72"/>
        <v>100.11699999999999</v>
      </c>
    </row>
    <row r="439" spans="1:14" ht="12.75" x14ac:dyDescent="0.2">
      <c r="A439" s="4" t="s">
        <v>502</v>
      </c>
      <c r="B439" s="4" t="s">
        <v>71</v>
      </c>
      <c r="C439" s="4" t="s">
        <v>501</v>
      </c>
      <c r="D439" s="5">
        <v>11.95</v>
      </c>
      <c r="E439" s="4">
        <v>12.06</v>
      </c>
      <c r="F439" s="4">
        <f t="shared" si="70"/>
        <v>0.11000000000000121</v>
      </c>
      <c r="G439" s="6">
        <v>45141</v>
      </c>
      <c r="J439" s="4">
        <f t="shared" ref="J439:J443" si="81">I439-H439</f>
        <v>0</v>
      </c>
      <c r="K439" s="7">
        <f t="shared" si="72"/>
        <v>0.11000000000000121</v>
      </c>
      <c r="L439" s="9">
        <v>45177.447916666664</v>
      </c>
      <c r="M439" s="9">
        <v>45177.447916666664</v>
      </c>
      <c r="N439" s="9">
        <v>45179.493055555555</v>
      </c>
    </row>
    <row r="440" spans="1:14" ht="12.75" x14ac:dyDescent="0.2">
      <c r="A440" s="4" t="s">
        <v>503</v>
      </c>
      <c r="B440" s="4" t="s">
        <v>19</v>
      </c>
      <c r="C440" s="4" t="s">
        <v>501</v>
      </c>
      <c r="D440" s="5">
        <v>13.23</v>
      </c>
      <c r="E440" s="4">
        <v>17.899999999999999</v>
      </c>
      <c r="F440" s="4">
        <f t="shared" si="70"/>
        <v>4.6699999999999982</v>
      </c>
      <c r="G440" s="6">
        <v>45141</v>
      </c>
      <c r="H440" s="4">
        <v>1.1488</v>
      </c>
      <c r="I440" s="4">
        <v>1.1532</v>
      </c>
      <c r="J440" s="4">
        <f t="shared" si="81"/>
        <v>4.3999999999999595E-3</v>
      </c>
      <c r="K440" s="7">
        <f t="shared" si="72"/>
        <v>4.6655999999999977</v>
      </c>
      <c r="L440" s="9">
        <v>45165.489583333336</v>
      </c>
      <c r="M440" s="9">
        <v>45165.489583333336</v>
      </c>
      <c r="N440" s="9">
        <v>45167.489583333336</v>
      </c>
    </row>
    <row r="441" spans="1:14" ht="12.75" x14ac:dyDescent="0.2">
      <c r="A441" s="4" t="s">
        <v>504</v>
      </c>
      <c r="B441" s="4" t="s">
        <v>20</v>
      </c>
      <c r="C441" s="4" t="s">
        <v>501</v>
      </c>
      <c r="D441" s="5">
        <v>14.87</v>
      </c>
      <c r="E441" s="4">
        <v>43.37</v>
      </c>
      <c r="F441" s="4">
        <f t="shared" si="70"/>
        <v>28.5</v>
      </c>
      <c r="G441" s="6">
        <v>45141</v>
      </c>
      <c r="H441" s="4">
        <v>1.1488</v>
      </c>
      <c r="I441" s="4">
        <v>1.1536999999999999</v>
      </c>
      <c r="J441" s="4">
        <f t="shared" si="81"/>
        <v>4.8999999999999044E-3</v>
      </c>
      <c r="K441" s="7">
        <f t="shared" si="72"/>
        <v>28.495100000000001</v>
      </c>
      <c r="L441" s="9">
        <v>45177.447916666664</v>
      </c>
      <c r="M441" s="9">
        <v>45177.447916666664</v>
      </c>
      <c r="N441" s="9">
        <v>45179.493055555555</v>
      </c>
    </row>
    <row r="442" spans="1:14" ht="12.75" x14ac:dyDescent="0.2">
      <c r="A442" s="4" t="s">
        <v>505</v>
      </c>
      <c r="B442" s="4" t="s">
        <v>21</v>
      </c>
      <c r="C442" s="4" t="s">
        <v>501</v>
      </c>
      <c r="D442" s="5">
        <v>11.97</v>
      </c>
      <c r="E442" s="4">
        <v>64.17</v>
      </c>
      <c r="F442" s="4">
        <f t="shared" si="70"/>
        <v>52.2</v>
      </c>
      <c r="G442" s="6">
        <v>45141</v>
      </c>
      <c r="H442" s="4">
        <v>1.1488</v>
      </c>
      <c r="I442" s="4">
        <v>1.1525000000000001</v>
      </c>
      <c r="J442" s="4">
        <f t="shared" si="81"/>
        <v>3.7000000000000366E-3</v>
      </c>
      <c r="K442" s="7">
        <f t="shared" si="72"/>
        <v>52.196300000000001</v>
      </c>
      <c r="L442" s="9">
        <v>45163.479166666664</v>
      </c>
      <c r="M442" s="9">
        <v>45163.479166666664</v>
      </c>
      <c r="N442" s="9">
        <v>45165.479166666664</v>
      </c>
    </row>
    <row r="443" spans="1:14" ht="12.75" x14ac:dyDescent="0.2">
      <c r="A443" s="4" t="s">
        <v>506</v>
      </c>
      <c r="B443" s="4" t="s">
        <v>22</v>
      </c>
      <c r="C443" s="4" t="s">
        <v>501</v>
      </c>
      <c r="D443" s="5">
        <v>13.4</v>
      </c>
      <c r="E443" s="4">
        <v>21.03</v>
      </c>
      <c r="F443" s="4">
        <f t="shared" si="70"/>
        <v>7.6300000000000008</v>
      </c>
      <c r="G443" s="6">
        <v>45141</v>
      </c>
      <c r="J443" s="4">
        <f t="shared" si="81"/>
        <v>0</v>
      </c>
      <c r="K443" s="7">
        <f t="shared" si="72"/>
        <v>7.6300000000000008</v>
      </c>
      <c r="L443" s="9">
        <v>45163.451388888891</v>
      </c>
      <c r="M443" s="9">
        <v>45163.451388888891</v>
      </c>
      <c r="N443" s="9">
        <v>45165.479166666664</v>
      </c>
    </row>
    <row r="444" spans="1:14" ht="12.75" x14ac:dyDescent="0.2">
      <c r="A444" s="4" t="s">
        <v>507</v>
      </c>
      <c r="B444" s="4" t="s">
        <v>16</v>
      </c>
      <c r="C444" s="4" t="s">
        <v>508</v>
      </c>
      <c r="D444" s="5">
        <v>13.32</v>
      </c>
      <c r="E444" s="4">
        <v>113.52</v>
      </c>
      <c r="F444" s="4">
        <f t="shared" si="70"/>
        <v>100.19999999999999</v>
      </c>
      <c r="G444" s="6">
        <v>45142</v>
      </c>
      <c r="J444" s="4">
        <f>SUM(J445:J449)</f>
        <v>6.6999999999997062E-3</v>
      </c>
      <c r="K444" s="7">
        <f t="shared" si="72"/>
        <v>100.19329999999999</v>
      </c>
    </row>
    <row r="445" spans="1:14" ht="12.75" x14ac:dyDescent="0.2">
      <c r="A445" s="4" t="s">
        <v>509</v>
      </c>
      <c r="B445" s="4" t="s">
        <v>71</v>
      </c>
      <c r="C445" s="4" t="s">
        <v>508</v>
      </c>
      <c r="D445" s="5">
        <v>13.35</v>
      </c>
      <c r="E445" s="4">
        <v>13.55</v>
      </c>
      <c r="F445" s="4">
        <f t="shared" si="70"/>
        <v>0.20000000000000107</v>
      </c>
      <c r="G445" s="6">
        <v>45142</v>
      </c>
      <c r="J445" s="4">
        <f>I445-H445</f>
        <v>0</v>
      </c>
      <c r="K445" s="7">
        <f t="shared" si="72"/>
        <v>0.20000000000000107</v>
      </c>
      <c r="L445" s="9">
        <v>45173.399305555555</v>
      </c>
      <c r="M445" s="9">
        <v>45173.399305555555</v>
      </c>
      <c r="N445" s="9">
        <v>45175.430555555555</v>
      </c>
    </row>
    <row r="446" spans="1:14" ht="12.75" x14ac:dyDescent="0.2">
      <c r="A446" s="4" t="s">
        <v>510</v>
      </c>
      <c r="B446" s="4" t="s">
        <v>19</v>
      </c>
      <c r="C446" s="4" t="s">
        <v>508</v>
      </c>
      <c r="D446" s="5">
        <v>13.25</v>
      </c>
      <c r="E446" s="4">
        <v>17.27</v>
      </c>
      <c r="F446" s="4">
        <f t="shared" si="70"/>
        <v>4.0199999999999996</v>
      </c>
      <c r="G446" s="6">
        <v>45142</v>
      </c>
      <c r="H446" s="4">
        <v>1.1486000000000001</v>
      </c>
      <c r="I446" s="4">
        <v>1.1500999999999999</v>
      </c>
      <c r="J446" s="4">
        <f t="shared" ref="J446:J449" si="82">I446-H446</f>
        <v>1.4999999999998348E-3</v>
      </c>
      <c r="K446" s="7">
        <f t="shared" si="72"/>
        <v>4.0184999999999995</v>
      </c>
      <c r="L446" s="9">
        <v>45163.416666666664</v>
      </c>
      <c r="M446" s="9">
        <v>45163.416666666664</v>
      </c>
      <c r="N446" s="9">
        <v>45165.479166666664</v>
      </c>
    </row>
    <row r="447" spans="1:14" ht="12.75" x14ac:dyDescent="0.2">
      <c r="A447" s="4" t="s">
        <v>511</v>
      </c>
      <c r="B447" s="4" t="s">
        <v>20</v>
      </c>
      <c r="C447" s="4" t="s">
        <v>508</v>
      </c>
      <c r="D447" s="5">
        <v>12.07</v>
      </c>
      <c r="E447" s="4">
        <v>40.67</v>
      </c>
      <c r="F447" s="4">
        <f t="shared" si="70"/>
        <v>28.6</v>
      </c>
      <c r="G447" s="6">
        <v>45142</v>
      </c>
      <c r="H447" s="4">
        <v>1.1486000000000001</v>
      </c>
      <c r="I447" s="4">
        <v>1.1519999999999999</v>
      </c>
      <c r="J447" s="4">
        <f t="shared" si="82"/>
        <v>3.3999999999998476E-3</v>
      </c>
      <c r="K447" s="7">
        <f t="shared" si="72"/>
        <v>28.596600000000002</v>
      </c>
      <c r="L447" s="9">
        <v>45169.527777777781</v>
      </c>
      <c r="M447" s="9">
        <v>45169.527777777781</v>
      </c>
      <c r="N447" s="9">
        <v>45173.388888888891</v>
      </c>
    </row>
    <row r="448" spans="1:14" ht="12.75" x14ac:dyDescent="0.2">
      <c r="A448" s="4" t="s">
        <v>512</v>
      </c>
      <c r="B448" s="4" t="s">
        <v>21</v>
      </c>
      <c r="C448" s="4" t="s">
        <v>508</v>
      </c>
      <c r="D448" s="5">
        <v>13.22</v>
      </c>
      <c r="E448" s="4">
        <v>64.010000000000005</v>
      </c>
      <c r="F448" s="4">
        <f t="shared" si="70"/>
        <v>50.790000000000006</v>
      </c>
      <c r="G448" s="6">
        <v>45142</v>
      </c>
      <c r="H448" s="4">
        <v>1.1486000000000001</v>
      </c>
      <c r="I448" s="4">
        <v>1.1504000000000001</v>
      </c>
      <c r="J448" s="4">
        <f t="shared" si="82"/>
        <v>1.8000000000000238E-3</v>
      </c>
      <c r="K448" s="7">
        <f t="shared" si="72"/>
        <v>50.788200000000003</v>
      </c>
      <c r="L448" s="9">
        <v>45165.489583333336</v>
      </c>
      <c r="M448" s="9">
        <v>45165.489583333336</v>
      </c>
      <c r="N448" s="9">
        <v>45167.489583333336</v>
      </c>
    </row>
    <row r="449" spans="1:14" ht="12.75" x14ac:dyDescent="0.2">
      <c r="A449" s="4" t="s">
        <v>513</v>
      </c>
      <c r="B449" s="4" t="s">
        <v>22</v>
      </c>
      <c r="C449" s="4" t="s">
        <v>508</v>
      </c>
      <c r="D449" s="5">
        <v>14.97</v>
      </c>
      <c r="E449" s="4">
        <v>23.14</v>
      </c>
      <c r="F449" s="4">
        <f t="shared" si="70"/>
        <v>8.17</v>
      </c>
      <c r="G449" s="6">
        <v>45142</v>
      </c>
      <c r="J449" s="4">
        <f t="shared" si="82"/>
        <v>0</v>
      </c>
      <c r="K449" s="7">
        <f t="shared" si="72"/>
        <v>8.17</v>
      </c>
      <c r="L449" s="9">
        <v>45165.489583333336</v>
      </c>
      <c r="M449" s="9">
        <v>45165.489583333336</v>
      </c>
      <c r="N449" s="9">
        <v>45167.489583333336</v>
      </c>
    </row>
    <row r="450" spans="1:14" ht="12.75" x14ac:dyDescent="0.2">
      <c r="A450" s="4" t="s">
        <v>514</v>
      </c>
      <c r="B450" s="4" t="s">
        <v>16</v>
      </c>
      <c r="C450" s="4" t="s">
        <v>515</v>
      </c>
      <c r="D450" s="5">
        <v>13.07</v>
      </c>
      <c r="E450" s="4">
        <v>113.29</v>
      </c>
      <c r="F450" s="4">
        <f t="shared" ref="F450:F513" si="83">E450-D450</f>
        <v>100.22</v>
      </c>
      <c r="G450" s="6">
        <v>45142</v>
      </c>
      <c r="J450" s="4">
        <f>SUM(J451:J455)</f>
        <v>2.9799999999999827E-2</v>
      </c>
      <c r="K450" s="7">
        <f t="shared" si="72"/>
        <v>100.1902</v>
      </c>
    </row>
    <row r="451" spans="1:14" ht="12.75" x14ac:dyDescent="0.2">
      <c r="A451" s="4" t="s">
        <v>516</v>
      </c>
      <c r="B451" s="4" t="s">
        <v>71</v>
      </c>
      <c r="C451" s="4" t="s">
        <v>515</v>
      </c>
      <c r="D451" s="5">
        <v>13.35</v>
      </c>
      <c r="E451" s="4">
        <v>13.67</v>
      </c>
      <c r="F451" s="4">
        <f t="shared" si="83"/>
        <v>0.32000000000000028</v>
      </c>
      <c r="G451" s="6">
        <v>45142</v>
      </c>
      <c r="J451" s="4">
        <f>I451-H451</f>
        <v>0</v>
      </c>
      <c r="K451" s="7">
        <f t="shared" ref="K451:K514" si="84">F451-J451</f>
        <v>0.32000000000000028</v>
      </c>
      <c r="L451" s="9">
        <v>45181.5</v>
      </c>
      <c r="M451" s="9">
        <v>45181.5</v>
      </c>
      <c r="N451" s="9">
        <v>45183.520833333336</v>
      </c>
    </row>
    <row r="452" spans="1:14" ht="12.75" x14ac:dyDescent="0.2">
      <c r="A452" s="4" t="s">
        <v>517</v>
      </c>
      <c r="B452" s="4" t="s">
        <v>19</v>
      </c>
      <c r="C452" s="4" t="s">
        <v>515</v>
      </c>
      <c r="D452" s="5">
        <v>13.35</v>
      </c>
      <c r="E452" s="4">
        <v>21.22</v>
      </c>
      <c r="F452" s="4">
        <f t="shared" si="83"/>
        <v>7.8699999999999992</v>
      </c>
      <c r="G452" s="6">
        <v>45142</v>
      </c>
      <c r="H452" s="4">
        <v>1.1488</v>
      </c>
      <c r="I452" s="4">
        <v>1.1720999999999999</v>
      </c>
      <c r="J452" s="4">
        <f t="shared" ref="J452:J455" si="85">I452-H452</f>
        <v>2.3299999999999876E-2</v>
      </c>
      <c r="K452" s="7">
        <f t="shared" si="84"/>
        <v>7.8466999999999993</v>
      </c>
      <c r="L452" s="9">
        <v>45165.489583333336</v>
      </c>
      <c r="M452" s="9">
        <v>45165.489583333336</v>
      </c>
      <c r="N452" s="9">
        <v>45167.489583333336</v>
      </c>
    </row>
    <row r="453" spans="1:14" ht="12.75" x14ac:dyDescent="0.2">
      <c r="A453" s="4" t="s">
        <v>518</v>
      </c>
      <c r="B453" s="4" t="s">
        <v>20</v>
      </c>
      <c r="C453" s="4" t="s">
        <v>515</v>
      </c>
      <c r="D453" s="5">
        <v>13.3</v>
      </c>
      <c r="E453" s="4">
        <v>39.11</v>
      </c>
      <c r="F453" s="4">
        <f t="shared" si="83"/>
        <v>25.81</v>
      </c>
      <c r="G453" s="6">
        <v>45142</v>
      </c>
      <c r="H453" s="4">
        <v>1.1488</v>
      </c>
      <c r="I453" s="4">
        <v>1.1553</v>
      </c>
      <c r="J453" s="4">
        <f t="shared" si="85"/>
        <v>6.4999999999999503E-3</v>
      </c>
      <c r="K453" s="7">
        <f t="shared" si="84"/>
        <v>25.8035</v>
      </c>
      <c r="L453" s="9">
        <v>45175.440972222219</v>
      </c>
      <c r="M453" s="9">
        <v>45175.440972222219</v>
      </c>
      <c r="N453" s="9">
        <v>45177.440972222219</v>
      </c>
    </row>
    <row r="454" spans="1:14" ht="12.75" x14ac:dyDescent="0.2">
      <c r="A454" s="4" t="s">
        <v>519</v>
      </c>
      <c r="B454" s="4" t="s">
        <v>21</v>
      </c>
      <c r="C454" s="4" t="s">
        <v>515</v>
      </c>
      <c r="D454" s="5">
        <v>13.31</v>
      </c>
      <c r="E454" s="4">
        <v>63.34</v>
      </c>
      <c r="F454" s="4">
        <f t="shared" si="83"/>
        <v>50.03</v>
      </c>
      <c r="G454" s="6">
        <v>45142</v>
      </c>
      <c r="J454" s="4">
        <f t="shared" si="85"/>
        <v>0</v>
      </c>
      <c r="K454" s="7">
        <f t="shared" si="84"/>
        <v>50.03</v>
      </c>
      <c r="L454" s="12">
        <v>45166.5</v>
      </c>
      <c r="M454" s="12">
        <v>45166.5</v>
      </c>
      <c r="N454" s="9">
        <v>45169.513888888891</v>
      </c>
    </row>
    <row r="455" spans="1:14" ht="12.75" x14ac:dyDescent="0.2">
      <c r="A455" s="4" t="s">
        <v>520</v>
      </c>
      <c r="B455" s="4" t="s">
        <v>22</v>
      </c>
      <c r="C455" s="4" t="s">
        <v>515</v>
      </c>
      <c r="D455" s="5">
        <v>13.26</v>
      </c>
      <c r="E455" s="4">
        <v>22.38</v>
      </c>
      <c r="F455" s="4">
        <f t="shared" si="83"/>
        <v>9.1199999999999992</v>
      </c>
      <c r="G455" s="6">
        <v>45142</v>
      </c>
      <c r="J455" s="4">
        <f t="shared" si="85"/>
        <v>0</v>
      </c>
      <c r="K455" s="7">
        <f t="shared" si="84"/>
        <v>9.1199999999999992</v>
      </c>
      <c r="L455" s="9">
        <v>45163.416666666664</v>
      </c>
      <c r="M455" s="9">
        <v>45163.416666666664</v>
      </c>
      <c r="N455" s="9">
        <v>45165.479166666664</v>
      </c>
    </row>
    <row r="456" spans="1:14" ht="12.75" x14ac:dyDescent="0.2">
      <c r="A456" s="4" t="s">
        <v>521</v>
      </c>
      <c r="B456" s="4" t="s">
        <v>16</v>
      </c>
      <c r="C456" s="4" t="s">
        <v>522</v>
      </c>
      <c r="D456" s="5">
        <v>14.99</v>
      </c>
      <c r="E456" s="4">
        <v>115.06</v>
      </c>
      <c r="F456" s="4">
        <f t="shared" si="83"/>
        <v>100.07000000000001</v>
      </c>
      <c r="G456" s="6">
        <v>45149</v>
      </c>
      <c r="J456" s="4">
        <f>SUM(J457:J461)</f>
        <v>2.5700000000000056E-2</v>
      </c>
      <c r="K456" s="7">
        <f t="shared" si="84"/>
        <v>100.04430000000001</v>
      </c>
    </row>
    <row r="457" spans="1:14" ht="12.75" x14ac:dyDescent="0.2">
      <c r="A457" s="4" t="s">
        <v>523</v>
      </c>
      <c r="B457" s="4" t="s">
        <v>71</v>
      </c>
      <c r="C457" s="4" t="s">
        <v>522</v>
      </c>
      <c r="D457" s="5">
        <v>13.25</v>
      </c>
      <c r="E457" s="4">
        <v>13.48</v>
      </c>
      <c r="F457" s="4">
        <f t="shared" si="83"/>
        <v>0.23000000000000043</v>
      </c>
      <c r="G457" s="6">
        <v>45149</v>
      </c>
      <c r="J457" s="4">
        <f>I457-H457</f>
        <v>0</v>
      </c>
      <c r="K457" s="7">
        <f t="shared" si="84"/>
        <v>0.23000000000000043</v>
      </c>
      <c r="L457" s="9">
        <v>45173.399305555555</v>
      </c>
      <c r="M457" s="9">
        <v>45173.399305555555</v>
      </c>
      <c r="N457" s="9">
        <v>45175.430555555555</v>
      </c>
    </row>
    <row r="458" spans="1:14" ht="12.75" x14ac:dyDescent="0.2">
      <c r="A458" s="4" t="s">
        <v>524</v>
      </c>
      <c r="B458" s="4" t="s">
        <v>19</v>
      </c>
      <c r="C458" s="4" t="s">
        <v>522</v>
      </c>
      <c r="D458" s="5">
        <v>13.16</v>
      </c>
      <c r="E458" s="4">
        <v>17.84</v>
      </c>
      <c r="F458" s="4">
        <f t="shared" si="83"/>
        <v>4.68</v>
      </c>
      <c r="G458" s="6">
        <v>45149</v>
      </c>
      <c r="H458" s="4">
        <v>1.1489</v>
      </c>
      <c r="I458" s="4">
        <v>1.153</v>
      </c>
      <c r="J458" s="4">
        <f t="shared" ref="J458:J461" si="86">I458-H458</f>
        <v>4.0999999999999925E-3</v>
      </c>
      <c r="K458" s="7">
        <f t="shared" si="84"/>
        <v>4.6758999999999995</v>
      </c>
      <c r="L458" s="9">
        <v>45159.375</v>
      </c>
      <c r="M458" s="9">
        <v>45159.375</v>
      </c>
      <c r="N458" s="9">
        <v>45161.381944444445</v>
      </c>
    </row>
    <row r="459" spans="1:14" ht="12.75" x14ac:dyDescent="0.2">
      <c r="A459" s="4" t="s">
        <v>525</v>
      </c>
      <c r="B459" s="4" t="s">
        <v>20</v>
      </c>
      <c r="C459" s="4" t="s">
        <v>522</v>
      </c>
      <c r="D459" s="5">
        <v>13.43</v>
      </c>
      <c r="E459" s="4">
        <v>34.15</v>
      </c>
      <c r="F459" s="4">
        <f t="shared" si="83"/>
        <v>20.72</v>
      </c>
      <c r="G459" s="6">
        <v>45149</v>
      </c>
      <c r="H459" s="4">
        <v>1.1489</v>
      </c>
      <c r="I459" s="4">
        <v>1.1567000000000001</v>
      </c>
      <c r="J459" s="4">
        <f t="shared" si="86"/>
        <v>7.8000000000000291E-3</v>
      </c>
      <c r="K459" s="7">
        <f t="shared" si="84"/>
        <v>20.712199999999999</v>
      </c>
      <c r="L459" s="9">
        <v>45169.527777777781</v>
      </c>
      <c r="M459" s="9">
        <v>45169.527777777781</v>
      </c>
      <c r="N459" s="9">
        <v>45173.388888888891</v>
      </c>
    </row>
    <row r="460" spans="1:14" ht="12.75" x14ac:dyDescent="0.2">
      <c r="A460" s="4" t="s">
        <v>526</v>
      </c>
      <c r="B460" s="4" t="s">
        <v>21</v>
      </c>
      <c r="C460" s="4" t="s">
        <v>522</v>
      </c>
      <c r="D460" s="5">
        <v>12.06</v>
      </c>
      <c r="E460" s="4">
        <v>67.599999999999994</v>
      </c>
      <c r="F460" s="4">
        <f t="shared" si="83"/>
        <v>55.539999999999992</v>
      </c>
      <c r="G460" s="6">
        <v>45149</v>
      </c>
      <c r="H460" s="4">
        <v>1.1489</v>
      </c>
      <c r="I460" s="4">
        <v>1.1627000000000001</v>
      </c>
      <c r="J460" s="4">
        <f t="shared" si="86"/>
        <v>1.3800000000000034E-2</v>
      </c>
      <c r="K460" s="7">
        <f t="shared" si="84"/>
        <v>55.526199999999989</v>
      </c>
      <c r="L460" s="9">
        <v>45161.399305555555</v>
      </c>
      <c r="M460" s="9">
        <v>45161.399305555555</v>
      </c>
      <c r="N460" s="9">
        <v>45163.399305555555</v>
      </c>
    </row>
    <row r="461" spans="1:14" ht="12.75" x14ac:dyDescent="0.2">
      <c r="A461" s="4" t="s">
        <v>527</v>
      </c>
      <c r="B461" s="4" t="s">
        <v>22</v>
      </c>
      <c r="C461" s="4" t="s">
        <v>522</v>
      </c>
      <c r="D461" s="5">
        <v>13.45</v>
      </c>
      <c r="E461" s="4">
        <v>24.7</v>
      </c>
      <c r="F461" s="4">
        <f t="shared" si="83"/>
        <v>11.25</v>
      </c>
      <c r="G461" s="6">
        <v>45149</v>
      </c>
      <c r="J461" s="4">
        <f t="shared" si="86"/>
        <v>0</v>
      </c>
      <c r="K461" s="7">
        <f t="shared" si="84"/>
        <v>11.25</v>
      </c>
      <c r="L461" s="9">
        <v>45159.375</v>
      </c>
      <c r="M461" s="9">
        <v>45159.375</v>
      </c>
      <c r="N461" s="9">
        <v>45161.381944444445</v>
      </c>
    </row>
    <row r="462" spans="1:14" ht="12.75" x14ac:dyDescent="0.2">
      <c r="A462" s="4" t="s">
        <v>528</v>
      </c>
      <c r="B462" s="4" t="s">
        <v>16</v>
      </c>
      <c r="C462" s="4" t="s">
        <v>529</v>
      </c>
      <c r="D462" s="5">
        <v>11.96</v>
      </c>
      <c r="E462" s="4">
        <v>112.16</v>
      </c>
      <c r="F462" s="4">
        <f t="shared" si="83"/>
        <v>100.19999999999999</v>
      </c>
      <c r="G462" s="6">
        <v>45149</v>
      </c>
      <c r="J462" s="4">
        <f>SUM(J463:J467)</f>
        <v>7.8999999999997961E-3</v>
      </c>
      <c r="K462" s="7">
        <f t="shared" si="84"/>
        <v>100.19209999999998</v>
      </c>
    </row>
    <row r="463" spans="1:14" ht="12.75" x14ac:dyDescent="0.2">
      <c r="A463" s="4" t="s">
        <v>530</v>
      </c>
      <c r="B463" s="4" t="s">
        <v>71</v>
      </c>
      <c r="C463" s="4" t="s">
        <v>529</v>
      </c>
      <c r="D463" s="5">
        <v>11.95</v>
      </c>
      <c r="E463" s="4">
        <v>12.02</v>
      </c>
      <c r="F463" s="4">
        <f t="shared" si="83"/>
        <v>7.0000000000000284E-2</v>
      </c>
      <c r="G463" s="6">
        <v>45149</v>
      </c>
      <c r="J463" s="4">
        <f>I463-H463</f>
        <v>0</v>
      </c>
      <c r="K463" s="7">
        <f t="shared" si="84"/>
        <v>7.0000000000000284E-2</v>
      </c>
      <c r="L463" s="9">
        <v>45179.5</v>
      </c>
      <c r="M463" s="9">
        <v>45179.5</v>
      </c>
      <c r="N463" s="9">
        <v>45181.5</v>
      </c>
    </row>
    <row r="464" spans="1:14" ht="12.75" x14ac:dyDescent="0.2">
      <c r="A464" s="4" t="s">
        <v>531</v>
      </c>
      <c r="B464" s="4" t="s">
        <v>19</v>
      </c>
      <c r="C464" s="4" t="s">
        <v>529</v>
      </c>
      <c r="D464" s="5">
        <v>13.53</v>
      </c>
      <c r="E464" s="4">
        <v>15.66</v>
      </c>
      <c r="F464" s="4">
        <f t="shared" si="83"/>
        <v>2.1300000000000008</v>
      </c>
      <c r="G464" s="6">
        <v>45149</v>
      </c>
      <c r="H464" s="4">
        <v>1.1486000000000001</v>
      </c>
      <c r="I464" s="4">
        <v>1.1493</v>
      </c>
      <c r="J464" s="4">
        <f t="shared" ref="J464:J467" si="87">I464-H464</f>
        <v>6.9999999999992291E-4</v>
      </c>
      <c r="K464" s="7">
        <f t="shared" si="84"/>
        <v>2.1293000000000006</v>
      </c>
      <c r="L464" s="9">
        <v>45165.489583333336</v>
      </c>
      <c r="M464" s="9">
        <v>45165.489583333336</v>
      </c>
      <c r="N464" s="9">
        <v>45167.489583333336</v>
      </c>
    </row>
    <row r="465" spans="1:14" ht="12.75" x14ac:dyDescent="0.2">
      <c r="A465" s="4" t="s">
        <v>532</v>
      </c>
      <c r="B465" s="4" t="s">
        <v>20</v>
      </c>
      <c r="C465" s="4" t="s">
        <v>529</v>
      </c>
      <c r="D465" s="5">
        <v>13.31</v>
      </c>
      <c r="E465" s="4">
        <v>26.62</v>
      </c>
      <c r="F465" s="4">
        <f t="shared" si="83"/>
        <v>13.31</v>
      </c>
      <c r="G465" s="6">
        <v>45149</v>
      </c>
      <c r="H465" s="4">
        <v>1.1489</v>
      </c>
      <c r="I465" s="4">
        <v>1.1560999999999999</v>
      </c>
      <c r="J465" s="4">
        <f t="shared" si="87"/>
        <v>7.1999999999998732E-3</v>
      </c>
      <c r="K465" s="7">
        <f t="shared" si="84"/>
        <v>13.302800000000001</v>
      </c>
      <c r="L465" s="9">
        <v>45175.440972222219</v>
      </c>
      <c r="M465" s="9">
        <v>45175.440972222219</v>
      </c>
      <c r="N465" s="9">
        <v>45177.440972222219</v>
      </c>
    </row>
    <row r="466" spans="1:14" ht="12.75" x14ac:dyDescent="0.2">
      <c r="A466" s="4" t="s">
        <v>533</v>
      </c>
      <c r="B466" s="4" t="s">
        <v>21</v>
      </c>
      <c r="C466" s="4" t="s">
        <v>529</v>
      </c>
      <c r="D466" s="5">
        <v>12.09</v>
      </c>
      <c r="E466" s="4">
        <v>72.540000000000006</v>
      </c>
      <c r="F466" s="4">
        <f t="shared" si="83"/>
        <v>60.45</v>
      </c>
      <c r="G466" s="6">
        <v>45149</v>
      </c>
      <c r="J466" s="4">
        <f t="shared" si="87"/>
        <v>0</v>
      </c>
      <c r="K466" s="7">
        <f t="shared" si="84"/>
        <v>60.45</v>
      </c>
      <c r="L466" s="9">
        <v>45159.375</v>
      </c>
      <c r="M466" s="9">
        <v>45159.375</v>
      </c>
      <c r="N466" s="9">
        <v>45161.381944444445</v>
      </c>
    </row>
    <row r="467" spans="1:14" ht="12.75" x14ac:dyDescent="0.2">
      <c r="A467" s="4" t="s">
        <v>534</v>
      </c>
      <c r="B467" s="4" t="s">
        <v>22</v>
      </c>
      <c r="C467" s="4" t="s">
        <v>529</v>
      </c>
      <c r="D467" s="5">
        <v>13.56</v>
      </c>
      <c r="E467" s="4">
        <v>27.9</v>
      </c>
      <c r="F467" s="4">
        <f t="shared" si="83"/>
        <v>14.339999999999998</v>
      </c>
      <c r="G467" s="6">
        <v>45149</v>
      </c>
      <c r="J467" s="4">
        <f t="shared" si="87"/>
        <v>0</v>
      </c>
      <c r="K467" s="7">
        <f t="shared" si="84"/>
        <v>14.339999999999998</v>
      </c>
      <c r="L467" s="9">
        <v>45165.489583333336</v>
      </c>
      <c r="M467" s="9">
        <v>45165.489583333336</v>
      </c>
      <c r="N467" s="9">
        <v>45167.489583333336</v>
      </c>
    </row>
    <row r="468" spans="1:14" ht="12.75" x14ac:dyDescent="0.2">
      <c r="A468" s="4" t="s">
        <v>535</v>
      </c>
      <c r="B468" s="4" t="s">
        <v>16</v>
      </c>
      <c r="C468" s="4" t="s">
        <v>536</v>
      </c>
      <c r="D468" s="5">
        <v>14.87</v>
      </c>
      <c r="E468" s="4">
        <v>114.9</v>
      </c>
      <c r="F468" s="4">
        <f t="shared" si="83"/>
        <v>100.03</v>
      </c>
      <c r="G468" s="6">
        <v>45149</v>
      </c>
      <c r="J468">
        <f>SUM(J469:J473)</f>
        <v>9.9000000000000199E-3</v>
      </c>
      <c r="K468" s="7">
        <f t="shared" si="84"/>
        <v>100.0201</v>
      </c>
    </row>
    <row r="469" spans="1:14" ht="12.75" x14ac:dyDescent="0.2">
      <c r="A469" s="4" t="s">
        <v>537</v>
      </c>
      <c r="B469" s="4" t="s">
        <v>71</v>
      </c>
      <c r="C469" s="4" t="s">
        <v>536</v>
      </c>
      <c r="D469" s="5">
        <v>13.25</v>
      </c>
      <c r="E469" s="4">
        <v>13.35</v>
      </c>
      <c r="F469" s="4">
        <f t="shared" si="83"/>
        <v>9.9999999999999645E-2</v>
      </c>
      <c r="G469" s="6">
        <v>45149</v>
      </c>
      <c r="J469">
        <f>I469-H469</f>
        <v>0</v>
      </c>
      <c r="K469" s="7">
        <f t="shared" si="84"/>
        <v>9.9999999999999645E-2</v>
      </c>
      <c r="L469" s="9">
        <v>45167.506944444445</v>
      </c>
      <c r="M469" s="9">
        <v>45167.506944444445</v>
      </c>
      <c r="N469" s="9">
        <v>45169.513888888891</v>
      </c>
    </row>
    <row r="470" spans="1:14" ht="12.75" x14ac:dyDescent="0.2">
      <c r="A470" s="4" t="s">
        <v>538</v>
      </c>
      <c r="B470" s="4" t="s">
        <v>19</v>
      </c>
      <c r="C470" s="4" t="s">
        <v>536</v>
      </c>
      <c r="D470" s="5">
        <v>13.46</v>
      </c>
      <c r="E470" s="4">
        <v>23.56</v>
      </c>
      <c r="F470" s="4">
        <f t="shared" si="83"/>
        <v>10.099999999999998</v>
      </c>
      <c r="G470" s="6">
        <v>45149</v>
      </c>
      <c r="H470" s="4">
        <v>1.1489</v>
      </c>
      <c r="I470" s="4">
        <v>1.1554</v>
      </c>
      <c r="J470">
        <f t="shared" ref="J470:J473" si="88">I470-H470</f>
        <v>6.4999999999999503E-3</v>
      </c>
      <c r="K470" s="7">
        <f t="shared" si="84"/>
        <v>10.093499999999999</v>
      </c>
      <c r="L470" s="9">
        <v>45161.399305555555</v>
      </c>
      <c r="M470" s="9">
        <v>45161.399305555555</v>
      </c>
      <c r="N470" s="9">
        <v>45163.399305555555</v>
      </c>
    </row>
    <row r="471" spans="1:14" ht="12.75" x14ac:dyDescent="0.2">
      <c r="A471" s="4" t="s">
        <v>539</v>
      </c>
      <c r="B471" s="4" t="s">
        <v>20</v>
      </c>
      <c r="C471" s="4" t="s">
        <v>536</v>
      </c>
      <c r="D471" s="5">
        <v>13.12</v>
      </c>
      <c r="E471" s="4">
        <v>40.020000000000003</v>
      </c>
      <c r="F471" s="4">
        <f t="shared" si="83"/>
        <v>26.900000000000006</v>
      </c>
      <c r="G471" s="6">
        <v>45149</v>
      </c>
      <c r="H471" s="4">
        <v>1.1489</v>
      </c>
      <c r="I471" s="4">
        <v>1.1504000000000001</v>
      </c>
      <c r="J471">
        <f t="shared" si="88"/>
        <v>1.5000000000000568E-3</v>
      </c>
      <c r="K471" s="7">
        <f t="shared" si="84"/>
        <v>26.898500000000006</v>
      </c>
      <c r="L471" s="9">
        <v>45165.489583333336</v>
      </c>
      <c r="M471" s="9">
        <v>45165.489583333336</v>
      </c>
      <c r="N471" s="9">
        <v>45167.489583333336</v>
      </c>
    </row>
    <row r="472" spans="1:14" ht="12.75" x14ac:dyDescent="0.2">
      <c r="A472" s="4" t="s">
        <v>540</v>
      </c>
      <c r="B472" s="4" t="s">
        <v>21</v>
      </c>
      <c r="C472" s="4" t="s">
        <v>536</v>
      </c>
      <c r="D472" s="5">
        <v>11.98</v>
      </c>
      <c r="E472" s="4">
        <v>58.76</v>
      </c>
      <c r="F472" s="4">
        <f t="shared" si="83"/>
        <v>46.78</v>
      </c>
      <c r="G472" s="6">
        <v>45149</v>
      </c>
      <c r="H472" s="4">
        <v>1.1489</v>
      </c>
      <c r="I472" s="4">
        <v>1.1508</v>
      </c>
      <c r="J472">
        <f t="shared" si="88"/>
        <v>1.9000000000000128E-3</v>
      </c>
      <c r="K472" s="7">
        <f t="shared" si="84"/>
        <v>46.778100000000002</v>
      </c>
      <c r="L472" s="9">
        <v>45159.375</v>
      </c>
      <c r="M472" s="9">
        <v>45159.375</v>
      </c>
      <c r="N472" s="9">
        <v>45161.381944444445</v>
      </c>
    </row>
    <row r="473" spans="1:14" ht="12.75" x14ac:dyDescent="0.2">
      <c r="A473" s="4" t="s">
        <v>541</v>
      </c>
      <c r="B473" s="4" t="s">
        <v>22</v>
      </c>
      <c r="C473" s="4" t="s">
        <v>536</v>
      </c>
      <c r="D473" s="5">
        <v>11.97</v>
      </c>
      <c r="E473" s="4">
        <v>19.77</v>
      </c>
      <c r="F473" s="4">
        <f t="shared" si="83"/>
        <v>7.7999999999999989</v>
      </c>
      <c r="G473" s="6">
        <v>45149</v>
      </c>
      <c r="J473">
        <f t="shared" si="88"/>
        <v>0</v>
      </c>
      <c r="K473" s="7">
        <f t="shared" si="84"/>
        <v>7.7999999999999989</v>
      </c>
      <c r="L473" s="9">
        <v>45159.375</v>
      </c>
      <c r="M473" s="9">
        <v>45159.375</v>
      </c>
      <c r="N473" s="9">
        <v>45161.381944444445</v>
      </c>
    </row>
    <row r="474" spans="1:14" ht="12.75" x14ac:dyDescent="0.2">
      <c r="A474" s="4" t="s">
        <v>542</v>
      </c>
      <c r="B474" s="4" t="s">
        <v>16</v>
      </c>
      <c r="C474" s="4" t="s">
        <v>543</v>
      </c>
      <c r="D474" s="5">
        <v>13.51</v>
      </c>
      <c r="E474" s="4">
        <v>113.83</v>
      </c>
      <c r="F474" s="4">
        <f t="shared" si="83"/>
        <v>100.32</v>
      </c>
      <c r="G474" s="6">
        <v>45149</v>
      </c>
      <c r="J474" s="4">
        <f>SUM(J475:J479)</f>
        <v>5.5600000000000094E-2</v>
      </c>
      <c r="K474" s="7">
        <f t="shared" si="84"/>
        <v>100.26439999999999</v>
      </c>
    </row>
    <row r="475" spans="1:14" ht="12.75" x14ac:dyDescent="0.2">
      <c r="A475" s="4" t="s">
        <v>544</v>
      </c>
      <c r="B475" s="4" t="s">
        <v>71</v>
      </c>
      <c r="C475" s="4" t="s">
        <v>543</v>
      </c>
      <c r="D475" s="5">
        <v>13.24</v>
      </c>
      <c r="E475" s="4">
        <v>13.48</v>
      </c>
      <c r="F475" s="4">
        <f t="shared" si="83"/>
        <v>0.24000000000000021</v>
      </c>
      <c r="G475" s="6">
        <v>45149</v>
      </c>
      <c r="J475" s="4">
        <f>I475-H475</f>
        <v>0</v>
      </c>
      <c r="K475" s="7">
        <f t="shared" si="84"/>
        <v>0.24000000000000021</v>
      </c>
      <c r="L475" s="9">
        <v>45175.440972222219</v>
      </c>
      <c r="M475" s="9">
        <v>45175.440972222219</v>
      </c>
      <c r="N475" s="9">
        <v>45177.440972222219</v>
      </c>
    </row>
    <row r="476" spans="1:14" ht="12.75" x14ac:dyDescent="0.2">
      <c r="A476" s="4" t="s">
        <v>545</v>
      </c>
      <c r="B476" s="4" t="s">
        <v>19</v>
      </c>
      <c r="C476" s="4" t="s">
        <v>543</v>
      </c>
      <c r="D476" s="5">
        <v>13.29</v>
      </c>
      <c r="E476" s="4">
        <v>19.989999999999998</v>
      </c>
      <c r="F476" s="4">
        <f t="shared" si="83"/>
        <v>6.6999999999999993</v>
      </c>
      <c r="G476" s="6">
        <v>45149</v>
      </c>
      <c r="H476" s="4">
        <v>1.1491</v>
      </c>
      <c r="I476" s="4">
        <v>1.157</v>
      </c>
      <c r="J476" s="4">
        <f t="shared" ref="J476:J479" si="89">I476-H476</f>
        <v>7.9000000000000181E-3</v>
      </c>
      <c r="K476" s="7">
        <f t="shared" si="84"/>
        <v>6.692099999999999</v>
      </c>
      <c r="L476" s="9">
        <v>45159.375</v>
      </c>
      <c r="M476" s="9">
        <v>45159.375</v>
      </c>
      <c r="N476" s="9">
        <v>45161.381944444445</v>
      </c>
    </row>
    <row r="477" spans="1:14" ht="12.75" x14ac:dyDescent="0.2">
      <c r="A477" s="4" t="s">
        <v>546</v>
      </c>
      <c r="B477" s="4" t="s">
        <v>20</v>
      </c>
      <c r="C477" s="4" t="s">
        <v>543</v>
      </c>
      <c r="D477" s="5">
        <v>14.91</v>
      </c>
      <c r="E477" s="4">
        <v>39.4</v>
      </c>
      <c r="F477" s="4">
        <f t="shared" si="83"/>
        <v>24.49</v>
      </c>
      <c r="G477" s="6">
        <v>45149</v>
      </c>
      <c r="H477" s="4">
        <v>1.1491</v>
      </c>
      <c r="I477" s="4">
        <v>1.1849000000000001</v>
      </c>
      <c r="J477" s="4">
        <f t="shared" si="89"/>
        <v>3.5800000000000054E-2</v>
      </c>
      <c r="K477" s="7">
        <f t="shared" si="84"/>
        <v>24.4542</v>
      </c>
      <c r="L477" s="9">
        <v>45167.506944444445</v>
      </c>
      <c r="M477" s="9">
        <v>45167.506944444445</v>
      </c>
      <c r="N477" s="9">
        <v>45169.513888888891</v>
      </c>
    </row>
    <row r="478" spans="1:14" ht="12.75" x14ac:dyDescent="0.2">
      <c r="A478" s="4" t="s">
        <v>547</v>
      </c>
      <c r="B478" s="4" t="s">
        <v>21</v>
      </c>
      <c r="C478" s="4" t="s">
        <v>543</v>
      </c>
      <c r="D478" s="5">
        <v>16.28</v>
      </c>
      <c r="E478" s="4">
        <v>68.8</v>
      </c>
      <c r="F478" s="4">
        <f t="shared" si="83"/>
        <v>52.519999999999996</v>
      </c>
      <c r="G478" s="6">
        <v>45149</v>
      </c>
      <c r="H478" s="4">
        <v>1.1491</v>
      </c>
      <c r="I478" s="4">
        <v>1.161</v>
      </c>
      <c r="J478" s="4">
        <f t="shared" si="89"/>
        <v>1.1900000000000022E-2</v>
      </c>
      <c r="K478" s="7">
        <f t="shared" si="84"/>
        <v>52.508099999999999</v>
      </c>
      <c r="L478" s="9">
        <v>45161.399305555555</v>
      </c>
      <c r="M478" s="9">
        <v>45161.399305555555</v>
      </c>
      <c r="N478" s="9">
        <v>45163.399305555555</v>
      </c>
    </row>
    <row r="479" spans="1:14" ht="12.75" x14ac:dyDescent="0.2">
      <c r="A479" s="4" t="s">
        <v>548</v>
      </c>
      <c r="B479" s="4" t="s">
        <v>22</v>
      </c>
      <c r="C479" s="4" t="s">
        <v>543</v>
      </c>
      <c r="D479" s="5">
        <v>13.51</v>
      </c>
      <c r="E479" s="4">
        <v>21.98</v>
      </c>
      <c r="F479" s="4">
        <f t="shared" si="83"/>
        <v>8.4700000000000006</v>
      </c>
      <c r="G479" s="6">
        <v>45149</v>
      </c>
      <c r="J479" s="4">
        <f t="shared" si="89"/>
        <v>0</v>
      </c>
      <c r="K479" s="7">
        <f t="shared" si="84"/>
        <v>8.4700000000000006</v>
      </c>
      <c r="L479" s="9">
        <v>45159.375</v>
      </c>
      <c r="M479" s="9">
        <v>45159.375</v>
      </c>
      <c r="N479" s="9">
        <v>45161.381944444445</v>
      </c>
    </row>
    <row r="480" spans="1:14" ht="12.75" x14ac:dyDescent="0.2">
      <c r="A480" s="4" t="s">
        <v>549</v>
      </c>
      <c r="B480" s="4" t="s">
        <v>16</v>
      </c>
      <c r="C480" s="4" t="s">
        <v>550</v>
      </c>
      <c r="D480" s="5">
        <v>13.4</v>
      </c>
      <c r="E480" s="4">
        <v>113.43</v>
      </c>
      <c r="F480" s="4">
        <f t="shared" si="83"/>
        <v>100.03</v>
      </c>
      <c r="G480" s="6">
        <v>45149</v>
      </c>
      <c r="J480" s="4">
        <f>SUM(J481:J485)</f>
        <v>1.1200000000000099E-2</v>
      </c>
      <c r="K480" s="7">
        <f t="shared" si="84"/>
        <v>100.0188</v>
      </c>
    </row>
    <row r="481" spans="1:14" ht="12.75" x14ac:dyDescent="0.2">
      <c r="A481" s="4" t="s">
        <v>551</v>
      </c>
      <c r="B481" s="4" t="s">
        <v>71</v>
      </c>
      <c r="C481" s="4" t="s">
        <v>550</v>
      </c>
      <c r="D481" s="5">
        <v>13.34</v>
      </c>
      <c r="E481" s="4">
        <v>13.61</v>
      </c>
      <c r="F481" s="4">
        <f t="shared" si="83"/>
        <v>0.26999999999999957</v>
      </c>
      <c r="G481" s="6">
        <v>45149</v>
      </c>
      <c r="J481">
        <f>I481-H481</f>
        <v>0</v>
      </c>
      <c r="K481" s="7">
        <f t="shared" si="84"/>
        <v>0.26999999999999957</v>
      </c>
      <c r="L481" s="9">
        <v>45163.416666666664</v>
      </c>
      <c r="M481" s="9">
        <v>45163.416666666664</v>
      </c>
      <c r="N481" s="9">
        <v>45165.479166666664</v>
      </c>
    </row>
    <row r="482" spans="1:14" ht="12.75" x14ac:dyDescent="0.2">
      <c r="A482" s="4" t="s">
        <v>552</v>
      </c>
      <c r="B482" s="4" t="s">
        <v>19</v>
      </c>
      <c r="C482" s="4" t="s">
        <v>550</v>
      </c>
      <c r="D482" s="5">
        <v>13.31</v>
      </c>
      <c r="E482" s="4">
        <v>16.62</v>
      </c>
      <c r="F482" s="4">
        <f t="shared" si="83"/>
        <v>3.3100000000000005</v>
      </c>
      <c r="G482" s="6">
        <v>45149</v>
      </c>
      <c r="H482" s="4">
        <v>1.1491</v>
      </c>
      <c r="I482" s="4">
        <v>1.1565000000000001</v>
      </c>
      <c r="J482">
        <f t="shared" ref="J482:J485" si="90">I482-H482</f>
        <v>7.4000000000000732E-3</v>
      </c>
      <c r="K482" s="7">
        <f t="shared" si="84"/>
        <v>3.3026000000000004</v>
      </c>
      <c r="L482" s="9">
        <v>45159.375</v>
      </c>
      <c r="M482" s="9">
        <v>45159.375</v>
      </c>
      <c r="N482" s="9">
        <v>45161.381944444445</v>
      </c>
    </row>
    <row r="483" spans="1:14" ht="12.75" x14ac:dyDescent="0.2">
      <c r="A483" s="4" t="s">
        <v>553</v>
      </c>
      <c r="B483" s="4" t="s">
        <v>20</v>
      </c>
      <c r="C483" s="4" t="s">
        <v>550</v>
      </c>
      <c r="D483" s="5">
        <v>13.3</v>
      </c>
      <c r="E483" s="4">
        <v>33.21</v>
      </c>
      <c r="F483" s="4">
        <f t="shared" si="83"/>
        <v>19.91</v>
      </c>
      <c r="G483" s="6">
        <v>45149</v>
      </c>
      <c r="H483" s="4">
        <v>1.1491</v>
      </c>
      <c r="I483" s="4">
        <v>1.1529</v>
      </c>
      <c r="J483">
        <f t="shared" si="90"/>
        <v>3.8000000000000256E-3</v>
      </c>
      <c r="K483" s="7">
        <f t="shared" si="84"/>
        <v>19.906199999999998</v>
      </c>
      <c r="L483" s="9">
        <v>45175.440972222219</v>
      </c>
      <c r="M483" s="9">
        <v>45175.440972222219</v>
      </c>
      <c r="N483" s="9">
        <v>45177.440972222219</v>
      </c>
    </row>
    <row r="484" spans="1:14" ht="12.75" x14ac:dyDescent="0.2">
      <c r="A484" s="4" t="s">
        <v>554</v>
      </c>
      <c r="B484" s="4" t="s">
        <v>21</v>
      </c>
      <c r="C484" s="4" t="s">
        <v>550</v>
      </c>
      <c r="D484" s="5">
        <v>11.98</v>
      </c>
      <c r="E484" s="4">
        <v>69.53</v>
      </c>
      <c r="F484" s="4">
        <f t="shared" si="83"/>
        <v>57.55</v>
      </c>
      <c r="G484" s="6">
        <v>45149</v>
      </c>
      <c r="H484" s="4"/>
      <c r="J484">
        <f t="shared" si="90"/>
        <v>0</v>
      </c>
      <c r="K484" s="7">
        <f t="shared" si="84"/>
        <v>57.55</v>
      </c>
      <c r="L484" s="9">
        <v>45175.440972222219</v>
      </c>
      <c r="M484" s="9">
        <v>45175.440972222219</v>
      </c>
      <c r="N484" s="9">
        <v>45177.440972222219</v>
      </c>
    </row>
    <row r="485" spans="1:14" ht="12.75" x14ac:dyDescent="0.2">
      <c r="A485" s="4" t="s">
        <v>555</v>
      </c>
      <c r="B485" s="4" t="s">
        <v>22</v>
      </c>
      <c r="C485" s="4" t="s">
        <v>550</v>
      </c>
      <c r="D485" s="5">
        <v>15.8</v>
      </c>
      <c r="E485" s="4">
        <v>24.3</v>
      </c>
      <c r="F485" s="4">
        <f t="shared" si="83"/>
        <v>8.5</v>
      </c>
      <c r="G485" s="6">
        <v>45149</v>
      </c>
      <c r="J485">
        <f t="shared" si="90"/>
        <v>0</v>
      </c>
      <c r="K485" s="7">
        <f t="shared" si="84"/>
        <v>8.5</v>
      </c>
      <c r="L485" s="9">
        <v>45167.506944444445</v>
      </c>
      <c r="M485" s="9">
        <v>45167.506944444445</v>
      </c>
      <c r="N485" s="9">
        <v>45169.513888888891</v>
      </c>
    </row>
    <row r="486" spans="1:14" ht="12.75" x14ac:dyDescent="0.2">
      <c r="A486" s="4" t="s">
        <v>556</v>
      </c>
      <c r="B486" s="4" t="s">
        <v>16</v>
      </c>
      <c r="C486" s="4" t="s">
        <v>557</v>
      </c>
      <c r="D486" s="5">
        <v>13.46</v>
      </c>
      <c r="E486" s="4">
        <v>113.69</v>
      </c>
      <c r="F486" s="4">
        <f t="shared" si="83"/>
        <v>100.22999999999999</v>
      </c>
      <c r="G486" s="6">
        <v>45149</v>
      </c>
      <c r="J486" s="4">
        <f>SUM(J487:J491)</f>
        <v>3.4999999999998366E-3</v>
      </c>
      <c r="K486" s="7">
        <f t="shared" si="84"/>
        <v>100.22649999999999</v>
      </c>
    </row>
    <row r="487" spans="1:14" ht="12.75" x14ac:dyDescent="0.2">
      <c r="A487" s="4" t="s">
        <v>558</v>
      </c>
      <c r="B487" s="4" t="s">
        <v>71</v>
      </c>
      <c r="C487" s="4" t="s">
        <v>557</v>
      </c>
      <c r="D487" s="5">
        <v>13.15</v>
      </c>
      <c r="E487" s="4">
        <v>13.4</v>
      </c>
      <c r="F487" s="4">
        <f t="shared" si="83"/>
        <v>0.25</v>
      </c>
      <c r="G487" s="6">
        <v>45149</v>
      </c>
      <c r="J487">
        <f>I487-H487</f>
        <v>0</v>
      </c>
      <c r="K487" s="7">
        <f t="shared" si="84"/>
        <v>0.25</v>
      </c>
      <c r="L487" s="9">
        <v>45179.5</v>
      </c>
      <c r="M487" s="9">
        <v>45179.5</v>
      </c>
      <c r="N487" s="9">
        <v>45181.5</v>
      </c>
    </row>
    <row r="488" spans="1:14" ht="12.75" x14ac:dyDescent="0.2">
      <c r="A488" s="4" t="s">
        <v>559</v>
      </c>
      <c r="B488" s="4" t="s">
        <v>19</v>
      </c>
      <c r="C488" s="4" t="s">
        <v>557</v>
      </c>
      <c r="D488" s="5">
        <v>13.23</v>
      </c>
      <c r="E488" s="4">
        <v>17.79</v>
      </c>
      <c r="F488" s="4">
        <f t="shared" si="83"/>
        <v>4.5599999999999987</v>
      </c>
      <c r="G488" s="6">
        <v>45149</v>
      </c>
      <c r="H488" s="4">
        <v>1.1485000000000001</v>
      </c>
      <c r="I488" s="4">
        <v>1.149</v>
      </c>
      <c r="J488">
        <f t="shared" ref="J488:J491" si="91">I488-H488</f>
        <v>4.9999999999994493E-4</v>
      </c>
      <c r="K488" s="7">
        <f t="shared" si="84"/>
        <v>4.559499999999999</v>
      </c>
      <c r="L488" s="9">
        <v>45167.506944444445</v>
      </c>
      <c r="M488" s="9">
        <v>45167.506944444445</v>
      </c>
      <c r="N488" s="9">
        <v>45169.513888888891</v>
      </c>
    </row>
    <row r="489" spans="1:14" ht="12.75" x14ac:dyDescent="0.2">
      <c r="A489" s="4" t="s">
        <v>560</v>
      </c>
      <c r="B489" s="4" t="s">
        <v>20</v>
      </c>
      <c r="C489" s="4" t="s">
        <v>557</v>
      </c>
      <c r="D489" s="5">
        <v>16.2</v>
      </c>
      <c r="E489" s="4">
        <v>39.479999999999997</v>
      </c>
      <c r="F489" s="4">
        <f t="shared" si="83"/>
        <v>23.279999999999998</v>
      </c>
      <c r="G489" s="6">
        <v>45149</v>
      </c>
      <c r="H489" s="4">
        <v>1.1485000000000001</v>
      </c>
      <c r="I489" s="4">
        <v>1.1515</v>
      </c>
      <c r="J489">
        <f t="shared" si="91"/>
        <v>2.9999999999998916E-3</v>
      </c>
      <c r="K489" s="7">
        <f t="shared" si="84"/>
        <v>23.276999999999997</v>
      </c>
      <c r="L489" s="9">
        <v>45173.399305555555</v>
      </c>
      <c r="M489" s="9">
        <v>45173.399305555555</v>
      </c>
      <c r="N489" s="9">
        <v>45175.430555555555</v>
      </c>
    </row>
    <row r="490" spans="1:14" ht="12.75" x14ac:dyDescent="0.2">
      <c r="A490" s="4" t="s">
        <v>561</v>
      </c>
      <c r="B490" s="4" t="s">
        <v>21</v>
      </c>
      <c r="C490" s="4" t="s">
        <v>557</v>
      </c>
      <c r="D490" s="5">
        <v>12.1</v>
      </c>
      <c r="E490" s="4">
        <v>66.39</v>
      </c>
      <c r="F490" s="4">
        <f t="shared" si="83"/>
        <v>54.29</v>
      </c>
      <c r="G490" s="6">
        <v>45149</v>
      </c>
      <c r="J490">
        <f t="shared" si="91"/>
        <v>0</v>
      </c>
      <c r="K490" s="7">
        <f t="shared" si="84"/>
        <v>54.29</v>
      </c>
      <c r="L490" s="12">
        <v>45166.5</v>
      </c>
      <c r="M490" s="12">
        <v>45166.5</v>
      </c>
      <c r="N490" s="9">
        <v>45169.513888888891</v>
      </c>
    </row>
    <row r="491" spans="1:14" ht="12.75" x14ac:dyDescent="0.2">
      <c r="A491" s="4" t="s">
        <v>562</v>
      </c>
      <c r="B491" s="4" t="s">
        <v>22</v>
      </c>
      <c r="C491" s="4" t="s">
        <v>557</v>
      </c>
      <c r="D491" s="5">
        <v>13.28</v>
      </c>
      <c r="E491" s="4">
        <v>22.06</v>
      </c>
      <c r="F491" s="4">
        <f t="shared" si="83"/>
        <v>8.7799999999999994</v>
      </c>
      <c r="G491" s="6">
        <v>45149</v>
      </c>
      <c r="J491">
        <f t="shared" si="91"/>
        <v>0</v>
      </c>
      <c r="K491" s="7">
        <f t="shared" si="84"/>
        <v>8.7799999999999994</v>
      </c>
      <c r="L491" s="9">
        <v>45159.375</v>
      </c>
      <c r="M491" s="9">
        <v>45159.375</v>
      </c>
      <c r="N491" s="9">
        <v>45161.381944444445</v>
      </c>
    </row>
    <row r="492" spans="1:14" ht="12.75" x14ac:dyDescent="0.2">
      <c r="A492" s="4" t="s">
        <v>563</v>
      </c>
      <c r="B492" s="4" t="s">
        <v>16</v>
      </c>
      <c r="C492" s="4" t="s">
        <v>564</v>
      </c>
      <c r="D492" s="5">
        <v>13.36</v>
      </c>
      <c r="E492" s="4">
        <v>113.51</v>
      </c>
      <c r="F492" s="4">
        <f t="shared" si="83"/>
        <v>100.15</v>
      </c>
      <c r="G492" s="6">
        <v>45152</v>
      </c>
      <c r="J492">
        <f>SUM(J493:J497)</f>
        <v>2.0100000000000007E-2</v>
      </c>
      <c r="K492" s="7">
        <f t="shared" si="84"/>
        <v>100.12990000000001</v>
      </c>
    </row>
    <row r="493" spans="1:14" ht="12.75" x14ac:dyDescent="0.2">
      <c r="A493" s="4" t="s">
        <v>565</v>
      </c>
      <c r="B493" s="4" t="s">
        <v>71</v>
      </c>
      <c r="C493" s="4" t="s">
        <v>564</v>
      </c>
      <c r="D493" s="5">
        <v>12.54</v>
      </c>
      <c r="E493" s="4">
        <v>12.58</v>
      </c>
      <c r="F493" s="4">
        <f t="shared" si="83"/>
        <v>4.0000000000000924E-2</v>
      </c>
      <c r="G493" s="6">
        <v>45152</v>
      </c>
      <c r="J493">
        <f>I493-H493</f>
        <v>0</v>
      </c>
      <c r="K493" s="7">
        <f t="shared" si="84"/>
        <v>4.0000000000000924E-2</v>
      </c>
      <c r="L493" s="9">
        <v>45183.520833333336</v>
      </c>
      <c r="M493" s="9">
        <v>45183.520833333336</v>
      </c>
      <c r="N493" s="9">
        <v>45187.479166666664</v>
      </c>
    </row>
    <row r="494" spans="1:14" ht="12.75" x14ac:dyDescent="0.2">
      <c r="A494" s="4" t="s">
        <v>566</v>
      </c>
      <c r="B494" s="4" t="s">
        <v>19</v>
      </c>
      <c r="C494" s="4" t="s">
        <v>564</v>
      </c>
      <c r="D494" s="5">
        <v>13.21</v>
      </c>
      <c r="E494" s="4">
        <v>15.74</v>
      </c>
      <c r="F494" s="4">
        <f t="shared" si="83"/>
        <v>2.5299999999999994</v>
      </c>
      <c r="G494" s="6">
        <v>45152</v>
      </c>
      <c r="H494" s="4">
        <v>1.1488</v>
      </c>
      <c r="I494" s="4">
        <v>1.1574</v>
      </c>
      <c r="J494">
        <f t="shared" ref="J494:J497" si="92">I494-H494</f>
        <v>8.599999999999941E-3</v>
      </c>
      <c r="K494" s="7">
        <f t="shared" si="84"/>
        <v>2.5213999999999994</v>
      </c>
      <c r="L494" s="9">
        <v>45177.447916666664</v>
      </c>
      <c r="M494" s="9">
        <v>45177.447916666664</v>
      </c>
      <c r="N494" s="9">
        <v>45179.493055555555</v>
      </c>
    </row>
    <row r="495" spans="1:14" ht="12.75" x14ac:dyDescent="0.2">
      <c r="A495" s="4" t="s">
        <v>567</v>
      </c>
      <c r="B495" s="4" t="s">
        <v>20</v>
      </c>
      <c r="C495" s="4" t="s">
        <v>564</v>
      </c>
      <c r="D495" s="5">
        <v>12</v>
      </c>
      <c r="E495" s="4">
        <v>32.49</v>
      </c>
      <c r="F495" s="4">
        <f t="shared" si="83"/>
        <v>20.490000000000002</v>
      </c>
      <c r="G495" s="6">
        <v>45152</v>
      </c>
      <c r="H495" s="4">
        <v>1.1488</v>
      </c>
      <c r="I495" s="4">
        <v>1.1503000000000001</v>
      </c>
      <c r="J495">
        <f t="shared" si="92"/>
        <v>1.5000000000000568E-3</v>
      </c>
      <c r="K495" s="7">
        <f t="shared" si="84"/>
        <v>20.488500000000002</v>
      </c>
      <c r="L495" s="9">
        <v>45175.440972222219</v>
      </c>
      <c r="M495" s="9">
        <v>45175.440972222219</v>
      </c>
      <c r="N495" s="9">
        <v>45177.440972222219</v>
      </c>
    </row>
    <row r="496" spans="1:14" ht="12.75" x14ac:dyDescent="0.2">
      <c r="A496" s="4" t="s">
        <v>568</v>
      </c>
      <c r="B496" s="4" t="s">
        <v>21</v>
      </c>
      <c r="C496" s="4" t="s">
        <v>564</v>
      </c>
      <c r="D496" s="5">
        <v>14.84</v>
      </c>
      <c r="E496" s="4">
        <v>72.7</v>
      </c>
      <c r="F496" s="4">
        <f t="shared" si="83"/>
        <v>57.86</v>
      </c>
      <c r="G496" s="6">
        <v>45152</v>
      </c>
      <c r="H496" s="4">
        <v>1.1488</v>
      </c>
      <c r="I496" s="4">
        <v>1.1588000000000001</v>
      </c>
      <c r="J496">
        <f t="shared" si="92"/>
        <v>1.0000000000000009E-2</v>
      </c>
      <c r="K496" s="7">
        <f t="shared" si="84"/>
        <v>57.85</v>
      </c>
      <c r="L496" s="9">
        <v>45169.527777777781</v>
      </c>
      <c r="M496" s="9">
        <v>45169.527777777781</v>
      </c>
      <c r="N496" s="9">
        <v>45173.388888888891</v>
      </c>
    </row>
    <row r="497" spans="1:14" ht="12.75" x14ac:dyDescent="0.2">
      <c r="A497" s="4" t="s">
        <v>569</v>
      </c>
      <c r="B497" s="4" t="s">
        <v>22</v>
      </c>
      <c r="C497" s="4" t="s">
        <v>564</v>
      </c>
      <c r="D497" s="5">
        <v>13.45</v>
      </c>
      <c r="E497" s="4">
        <v>24.02</v>
      </c>
      <c r="F497" s="4">
        <f t="shared" si="83"/>
        <v>10.57</v>
      </c>
      <c r="G497" s="6">
        <v>45152</v>
      </c>
      <c r="J497">
        <f t="shared" si="92"/>
        <v>0</v>
      </c>
      <c r="K497" s="7">
        <f t="shared" si="84"/>
        <v>10.57</v>
      </c>
      <c r="L497" s="9">
        <v>45173.399305555555</v>
      </c>
      <c r="M497" s="9">
        <v>45173.399305555555</v>
      </c>
      <c r="N497" s="9">
        <v>45175.430555555555</v>
      </c>
    </row>
    <row r="498" spans="1:14" ht="12.75" x14ac:dyDescent="0.2">
      <c r="A498" s="4" t="s">
        <v>570</v>
      </c>
      <c r="B498" s="4" t="s">
        <v>16</v>
      </c>
      <c r="C498" s="4" t="s">
        <v>571</v>
      </c>
      <c r="D498" s="5">
        <v>11.98</v>
      </c>
      <c r="E498" s="4">
        <v>112.07</v>
      </c>
      <c r="F498" s="4">
        <f t="shared" si="83"/>
        <v>100.08999999999999</v>
      </c>
      <c r="G498" s="6">
        <v>45152</v>
      </c>
      <c r="J498" s="4">
        <f>SUM(J499:J503)</f>
        <v>2.2399999999999975E-2</v>
      </c>
      <c r="K498" s="7">
        <f t="shared" si="84"/>
        <v>100.06759999999998</v>
      </c>
    </row>
    <row r="499" spans="1:14" ht="12.75" x14ac:dyDescent="0.2">
      <c r="A499" s="4" t="s">
        <v>572</v>
      </c>
      <c r="B499" s="4" t="s">
        <v>71</v>
      </c>
      <c r="C499" s="4" t="s">
        <v>571</v>
      </c>
      <c r="D499" s="5">
        <v>15.11</v>
      </c>
      <c r="E499" s="4">
        <v>15.4</v>
      </c>
      <c r="F499" s="4">
        <f t="shared" si="83"/>
        <v>0.29000000000000092</v>
      </c>
      <c r="G499" s="6">
        <v>45152</v>
      </c>
      <c r="J499" s="4">
        <f>I499-H499</f>
        <v>0</v>
      </c>
      <c r="K499" s="7">
        <f t="shared" si="84"/>
        <v>0.29000000000000092</v>
      </c>
      <c r="L499" s="9">
        <v>45183.520833333336</v>
      </c>
      <c r="M499" s="9">
        <v>45187.479166666664</v>
      </c>
      <c r="N499" s="9">
        <v>45189.510416666664</v>
      </c>
    </row>
    <row r="500" spans="1:14" ht="12.75" x14ac:dyDescent="0.2">
      <c r="A500" s="4" t="s">
        <v>573</v>
      </c>
      <c r="B500" s="4" t="s">
        <v>19</v>
      </c>
      <c r="C500" s="4" t="s">
        <v>571</v>
      </c>
      <c r="D500" s="5">
        <v>12</v>
      </c>
      <c r="E500" s="4">
        <v>15.01</v>
      </c>
      <c r="F500" s="4">
        <f t="shared" si="83"/>
        <v>3.01</v>
      </c>
      <c r="G500" s="6">
        <v>45152</v>
      </c>
      <c r="H500" s="4">
        <v>1.1485000000000001</v>
      </c>
      <c r="I500" s="4">
        <v>1.1549</v>
      </c>
      <c r="J500" s="4">
        <f t="shared" ref="J500:J503" si="93">I500-H500</f>
        <v>6.3999999999999613E-3</v>
      </c>
      <c r="K500" s="7">
        <f t="shared" si="84"/>
        <v>3.0035999999999996</v>
      </c>
      <c r="L500" s="9">
        <v>45173.399305555555</v>
      </c>
      <c r="M500" s="9">
        <v>45173.399305555555</v>
      </c>
      <c r="N500" s="9">
        <v>45175.430555555555</v>
      </c>
    </row>
    <row r="501" spans="1:14" ht="12.75" x14ac:dyDescent="0.2">
      <c r="A501" s="4" t="s">
        <v>574</v>
      </c>
      <c r="B501" s="4" t="s">
        <v>20</v>
      </c>
      <c r="C501" s="4" t="s">
        <v>571</v>
      </c>
      <c r="D501" s="5">
        <v>13.41</v>
      </c>
      <c r="E501" s="4">
        <v>34.909999999999997</v>
      </c>
      <c r="F501" s="4">
        <f t="shared" si="83"/>
        <v>21.499999999999996</v>
      </c>
      <c r="G501" s="6">
        <v>45152</v>
      </c>
      <c r="H501" s="4">
        <v>1.1485000000000001</v>
      </c>
      <c r="I501" s="4">
        <v>1.1645000000000001</v>
      </c>
      <c r="J501" s="4">
        <f t="shared" si="93"/>
        <v>1.6000000000000014E-2</v>
      </c>
      <c r="K501" s="7">
        <f t="shared" si="84"/>
        <v>21.483999999999995</v>
      </c>
      <c r="L501" s="9">
        <v>45177.447916666664</v>
      </c>
      <c r="M501" s="9">
        <v>45177.447916666664</v>
      </c>
      <c r="N501" s="9">
        <v>45179.493055555555</v>
      </c>
    </row>
    <row r="502" spans="1:14" ht="12.75" x14ac:dyDescent="0.2">
      <c r="A502" s="4" t="s">
        <v>575</v>
      </c>
      <c r="B502" s="4" t="s">
        <v>21</v>
      </c>
      <c r="C502" s="4" t="s">
        <v>571</v>
      </c>
      <c r="D502" s="5">
        <v>13.49</v>
      </c>
      <c r="E502" s="4">
        <v>67.650000000000006</v>
      </c>
      <c r="F502" s="4">
        <f t="shared" si="83"/>
        <v>54.160000000000004</v>
      </c>
      <c r="G502" s="6">
        <v>45152</v>
      </c>
      <c r="J502" s="4">
        <f t="shared" si="93"/>
        <v>0</v>
      </c>
      <c r="K502" s="7">
        <f t="shared" si="84"/>
        <v>54.160000000000004</v>
      </c>
      <c r="L502" s="9">
        <v>45169.527777777781</v>
      </c>
      <c r="M502" s="9">
        <v>45169.527777777781</v>
      </c>
      <c r="N502" s="9">
        <v>45173.388888888891</v>
      </c>
    </row>
    <row r="503" spans="1:14" ht="12.75" x14ac:dyDescent="0.2">
      <c r="A503" s="4" t="s">
        <v>576</v>
      </c>
      <c r="B503" s="4" t="s">
        <v>22</v>
      </c>
      <c r="C503" s="4" t="s">
        <v>571</v>
      </c>
      <c r="D503" s="5">
        <v>13.33</v>
      </c>
      <c r="E503" s="4">
        <v>24.06</v>
      </c>
      <c r="F503" s="4">
        <f t="shared" si="83"/>
        <v>10.729999999999999</v>
      </c>
      <c r="G503" s="6">
        <v>45152</v>
      </c>
      <c r="J503" s="4">
        <f t="shared" si="93"/>
        <v>0</v>
      </c>
      <c r="K503" s="7">
        <f t="shared" si="84"/>
        <v>10.729999999999999</v>
      </c>
      <c r="L503" s="9">
        <v>45165.489583333336</v>
      </c>
      <c r="M503" s="9">
        <v>45165.489583333336</v>
      </c>
      <c r="N503" s="9">
        <v>45169.513888888891</v>
      </c>
    </row>
    <row r="504" spans="1:14" ht="12.75" x14ac:dyDescent="0.2">
      <c r="A504" s="4" t="s">
        <v>577</v>
      </c>
      <c r="B504" s="4" t="s">
        <v>16</v>
      </c>
      <c r="C504" s="4" t="s">
        <v>578</v>
      </c>
      <c r="D504" s="5">
        <v>13.54</v>
      </c>
      <c r="E504" s="4">
        <v>113.59</v>
      </c>
      <c r="F504" s="4">
        <f t="shared" si="83"/>
        <v>100.05000000000001</v>
      </c>
      <c r="G504" s="6">
        <v>45152</v>
      </c>
      <c r="J504" s="4">
        <f>SUM(J505:J509)</f>
        <v>3.4999999999998366E-3</v>
      </c>
      <c r="K504" s="7">
        <f t="shared" si="84"/>
        <v>100.04650000000001</v>
      </c>
    </row>
    <row r="505" spans="1:14" ht="12.75" x14ac:dyDescent="0.2">
      <c r="A505" s="4" t="s">
        <v>579</v>
      </c>
      <c r="B505" s="4" t="s">
        <v>71</v>
      </c>
      <c r="C505" s="4" t="s">
        <v>578</v>
      </c>
      <c r="D505" s="5">
        <v>13.23</v>
      </c>
      <c r="E505" s="4">
        <v>13.33</v>
      </c>
      <c r="F505" s="4">
        <f t="shared" si="83"/>
        <v>9.9999999999999645E-2</v>
      </c>
      <c r="G505" s="6">
        <v>45152</v>
      </c>
      <c r="J505" s="4">
        <f>I505-H505</f>
        <v>0</v>
      </c>
      <c r="K505" s="7">
        <f t="shared" si="84"/>
        <v>9.9999999999999645E-2</v>
      </c>
      <c r="L505" s="9">
        <v>45179.5</v>
      </c>
      <c r="M505" s="9">
        <v>45179.5</v>
      </c>
      <c r="N505" s="9">
        <v>45181.5</v>
      </c>
    </row>
    <row r="506" spans="1:14" ht="12.75" x14ac:dyDescent="0.2">
      <c r="A506" s="4" t="s">
        <v>580</v>
      </c>
      <c r="B506" s="4" t="s">
        <v>19</v>
      </c>
      <c r="C506" s="4" t="s">
        <v>578</v>
      </c>
      <c r="D506" s="5">
        <v>13.37</v>
      </c>
      <c r="E506" s="4">
        <v>21.85</v>
      </c>
      <c r="F506" s="4">
        <f t="shared" si="83"/>
        <v>8.4800000000000022</v>
      </c>
      <c r="G506" s="6">
        <v>45152</v>
      </c>
      <c r="H506" s="4">
        <v>1.1486000000000001</v>
      </c>
      <c r="I506" s="4">
        <v>1.1495</v>
      </c>
      <c r="J506" s="4">
        <f t="shared" ref="J506:J509" si="94">I506-H506</f>
        <v>8.9999999999990088E-4</v>
      </c>
      <c r="K506" s="7">
        <f t="shared" si="84"/>
        <v>8.4791000000000025</v>
      </c>
      <c r="L506" s="9">
        <v>45175.440972222219</v>
      </c>
      <c r="M506" s="9">
        <v>45175.440972222219</v>
      </c>
      <c r="N506" s="9">
        <v>45177.440972222219</v>
      </c>
    </row>
    <row r="507" spans="1:14" ht="12.75" x14ac:dyDescent="0.2">
      <c r="A507" s="4" t="s">
        <v>581</v>
      </c>
      <c r="B507" s="4" t="s">
        <v>20</v>
      </c>
      <c r="C507" s="4" t="s">
        <v>578</v>
      </c>
      <c r="D507" s="5">
        <v>13.19</v>
      </c>
      <c r="E507" s="4">
        <v>35.49</v>
      </c>
      <c r="F507" s="4">
        <f t="shared" si="83"/>
        <v>22.300000000000004</v>
      </c>
      <c r="G507" s="6">
        <v>45152</v>
      </c>
      <c r="H507" s="4">
        <v>1.1486000000000001</v>
      </c>
      <c r="I507" s="4">
        <v>1.1512</v>
      </c>
      <c r="J507" s="4">
        <f t="shared" si="94"/>
        <v>2.5999999999999357E-3</v>
      </c>
      <c r="K507" s="7">
        <f t="shared" si="84"/>
        <v>22.297400000000003</v>
      </c>
      <c r="L507" s="9">
        <v>45173.399305555555</v>
      </c>
      <c r="M507" s="9">
        <v>45173.399305555555</v>
      </c>
      <c r="N507" s="9">
        <v>45175.430555555555</v>
      </c>
    </row>
    <row r="508" spans="1:14" ht="12.75" x14ac:dyDescent="0.2">
      <c r="A508" s="4" t="s">
        <v>582</v>
      </c>
      <c r="B508" s="4" t="s">
        <v>21</v>
      </c>
      <c r="C508" s="4" t="s">
        <v>578</v>
      </c>
      <c r="D508" s="5">
        <v>11.91</v>
      </c>
      <c r="E508" s="4">
        <v>63.86</v>
      </c>
      <c r="F508" s="4">
        <f t="shared" si="83"/>
        <v>51.95</v>
      </c>
      <c r="G508" s="6">
        <v>45152</v>
      </c>
      <c r="J508" s="4">
        <f t="shared" si="94"/>
        <v>0</v>
      </c>
      <c r="K508" s="7">
        <f t="shared" si="84"/>
        <v>51.95</v>
      </c>
      <c r="L508" s="9">
        <v>45163.416666666664</v>
      </c>
      <c r="M508" s="9">
        <v>45163.416666666664</v>
      </c>
      <c r="N508" s="9">
        <v>45165.479166666664</v>
      </c>
    </row>
    <row r="509" spans="1:14" ht="12.75" x14ac:dyDescent="0.2">
      <c r="A509" s="4" t="s">
        <v>583</v>
      </c>
      <c r="B509" s="4" t="s">
        <v>22</v>
      </c>
      <c r="C509" s="4" t="s">
        <v>578</v>
      </c>
      <c r="D509" s="5">
        <v>13.76</v>
      </c>
      <c r="E509" s="4">
        <v>24.13</v>
      </c>
      <c r="F509" s="4">
        <f t="shared" si="83"/>
        <v>10.37</v>
      </c>
      <c r="G509" s="6">
        <v>45152</v>
      </c>
      <c r="J509" s="4">
        <f t="shared" si="94"/>
        <v>0</v>
      </c>
      <c r="K509" s="7">
        <f t="shared" si="84"/>
        <v>10.37</v>
      </c>
      <c r="L509" s="9">
        <v>45161.399305555555</v>
      </c>
      <c r="M509" s="9">
        <v>45161.399305555555</v>
      </c>
      <c r="N509" s="9">
        <v>45163.399305555555</v>
      </c>
    </row>
    <row r="510" spans="1:14" ht="12.75" x14ac:dyDescent="0.2">
      <c r="A510" s="4" t="s">
        <v>584</v>
      </c>
      <c r="B510" s="4" t="s">
        <v>16</v>
      </c>
      <c r="C510" s="4" t="s">
        <v>585</v>
      </c>
      <c r="D510" s="5">
        <v>13.33</v>
      </c>
      <c r="E510" s="4">
        <v>113.62</v>
      </c>
      <c r="F510" s="4">
        <f t="shared" si="83"/>
        <v>100.29</v>
      </c>
      <c r="G510" s="6">
        <v>45152</v>
      </c>
      <c r="J510" s="4">
        <f>SUM(J511:J515)</f>
        <v>0.22629999999999995</v>
      </c>
      <c r="K510" s="7">
        <f t="shared" si="84"/>
        <v>100.06370000000001</v>
      </c>
    </row>
    <row r="511" spans="1:14" ht="12.75" x14ac:dyDescent="0.2">
      <c r="A511" s="4" t="s">
        <v>586</v>
      </c>
      <c r="B511" s="4" t="s">
        <v>71</v>
      </c>
      <c r="C511" s="4" t="s">
        <v>585</v>
      </c>
      <c r="D511" s="5">
        <v>14.95</v>
      </c>
      <c r="E511" s="4">
        <v>15.38</v>
      </c>
      <c r="F511" s="4">
        <f t="shared" si="83"/>
        <v>0.43000000000000149</v>
      </c>
      <c r="G511" s="6">
        <v>45152</v>
      </c>
      <c r="J511" s="4">
        <f>I511-H511</f>
        <v>0</v>
      </c>
      <c r="K511" s="7">
        <f t="shared" si="84"/>
        <v>0.43000000000000149</v>
      </c>
      <c r="L511" s="9">
        <v>45177.447916666664</v>
      </c>
      <c r="M511" s="9">
        <v>45177.447916666664</v>
      </c>
      <c r="N511" s="9">
        <v>45179.493055555555</v>
      </c>
    </row>
    <row r="512" spans="1:14" ht="12.75" x14ac:dyDescent="0.2">
      <c r="A512" s="4" t="s">
        <v>587</v>
      </c>
      <c r="B512" s="4" t="s">
        <v>19</v>
      </c>
      <c r="C512" s="4" t="s">
        <v>585</v>
      </c>
      <c r="D512" s="5">
        <v>16.440000000000001</v>
      </c>
      <c r="E512" s="4">
        <v>23.34</v>
      </c>
      <c r="F512" s="4">
        <f t="shared" si="83"/>
        <v>6.8999999999999986</v>
      </c>
      <c r="G512" s="6">
        <v>45152</v>
      </c>
      <c r="H512" s="4">
        <v>1.149</v>
      </c>
      <c r="I512" s="4">
        <v>1.3691</v>
      </c>
      <c r="J512" s="4">
        <f t="shared" ref="J512:J515" si="95">I512-H512</f>
        <v>0.22009999999999996</v>
      </c>
      <c r="K512" s="7">
        <f t="shared" si="84"/>
        <v>6.6798999999999982</v>
      </c>
      <c r="L512" s="9">
        <v>45163.416666666664</v>
      </c>
      <c r="M512" s="9">
        <v>45163.416666666664</v>
      </c>
      <c r="N512" s="9">
        <v>45165.479166666664</v>
      </c>
    </row>
    <row r="513" spans="1:14" ht="12.75" x14ac:dyDescent="0.2">
      <c r="A513" s="4" t="s">
        <v>588</v>
      </c>
      <c r="B513" s="4" t="s">
        <v>20</v>
      </c>
      <c r="C513" s="4" t="s">
        <v>585</v>
      </c>
      <c r="D513" s="5">
        <v>13.23</v>
      </c>
      <c r="E513" s="4">
        <v>39.75</v>
      </c>
      <c r="F513" s="4">
        <f t="shared" si="83"/>
        <v>26.52</v>
      </c>
      <c r="G513" s="6">
        <v>45152</v>
      </c>
      <c r="H513" s="4">
        <v>1.149</v>
      </c>
      <c r="I513" s="4">
        <v>1.1507000000000001</v>
      </c>
      <c r="J513" s="4">
        <f t="shared" si="95"/>
        <v>1.7000000000000348E-3</v>
      </c>
      <c r="K513" s="7">
        <f t="shared" si="84"/>
        <v>26.5183</v>
      </c>
      <c r="L513" s="9">
        <v>45169.527777777781</v>
      </c>
      <c r="M513" s="9">
        <v>45169.527777777781</v>
      </c>
      <c r="N513" s="9">
        <v>45173.388888888891</v>
      </c>
    </row>
    <row r="514" spans="1:14" ht="12.75" x14ac:dyDescent="0.2">
      <c r="A514" s="4" t="s">
        <v>589</v>
      </c>
      <c r="B514" s="4" t="s">
        <v>21</v>
      </c>
      <c r="C514" s="4" t="s">
        <v>585</v>
      </c>
      <c r="D514" s="5">
        <v>14.91</v>
      </c>
      <c r="E514" s="4">
        <v>65.22</v>
      </c>
      <c r="F514" s="4">
        <f t="shared" ref="F514:F533" si="96">E514-D514</f>
        <v>50.31</v>
      </c>
      <c r="G514" s="6">
        <v>45152</v>
      </c>
      <c r="H514" s="4">
        <v>1.1487000000000001</v>
      </c>
      <c r="I514" s="4">
        <v>1.1532</v>
      </c>
      <c r="J514" s="4">
        <f t="shared" si="95"/>
        <v>4.4999999999999485E-3</v>
      </c>
      <c r="K514" s="7">
        <f t="shared" si="84"/>
        <v>50.305500000000002</v>
      </c>
      <c r="L514" s="9">
        <v>45163.416666666664</v>
      </c>
      <c r="M514" s="9">
        <v>45163.416666666664</v>
      </c>
      <c r="N514" s="9">
        <v>45165.479166666664</v>
      </c>
    </row>
    <row r="515" spans="1:14" ht="12.75" x14ac:dyDescent="0.2">
      <c r="A515" s="4" t="s">
        <v>590</v>
      </c>
      <c r="B515" s="4" t="s">
        <v>22</v>
      </c>
      <c r="C515" s="4" t="s">
        <v>585</v>
      </c>
      <c r="D515" s="5">
        <v>14.99</v>
      </c>
      <c r="E515" s="4">
        <v>22.97</v>
      </c>
      <c r="F515" s="4">
        <f t="shared" si="96"/>
        <v>7.9799999999999986</v>
      </c>
      <c r="G515" s="6">
        <v>45152</v>
      </c>
      <c r="J515" s="4">
        <f t="shared" si="95"/>
        <v>0</v>
      </c>
      <c r="K515" s="7">
        <f t="shared" ref="K515:K533" si="97">F515-J515</f>
        <v>7.9799999999999986</v>
      </c>
      <c r="L515" s="9">
        <v>45161.399305555555</v>
      </c>
      <c r="M515" s="9">
        <v>45161.399305555555</v>
      </c>
      <c r="N515" s="9">
        <v>45163.399305555555</v>
      </c>
    </row>
    <row r="516" spans="1:14" ht="12.75" x14ac:dyDescent="0.2">
      <c r="A516" s="4" t="s">
        <v>591</v>
      </c>
      <c r="B516" s="4" t="s">
        <v>16</v>
      </c>
      <c r="C516" s="4" t="s">
        <v>592</v>
      </c>
      <c r="D516" s="5">
        <v>13.48</v>
      </c>
      <c r="E516" s="4">
        <v>113.49</v>
      </c>
      <c r="F516" s="4">
        <f t="shared" si="96"/>
        <v>100.00999999999999</v>
      </c>
      <c r="G516" s="6">
        <v>45152</v>
      </c>
      <c r="J516" s="4">
        <f>SUM(J517:J521)</f>
        <v>3.180000000000005E-2</v>
      </c>
      <c r="K516" s="7">
        <f t="shared" si="97"/>
        <v>99.978199999999987</v>
      </c>
    </row>
    <row r="517" spans="1:14" ht="12.75" x14ac:dyDescent="0.2">
      <c r="A517" s="4" t="s">
        <v>593</v>
      </c>
      <c r="B517" s="4" t="s">
        <v>71</v>
      </c>
      <c r="C517" s="4" t="s">
        <v>592</v>
      </c>
      <c r="D517" s="5">
        <v>13.35</v>
      </c>
      <c r="E517" s="4">
        <v>13.59</v>
      </c>
      <c r="F517" s="4">
        <f t="shared" si="96"/>
        <v>0.24000000000000021</v>
      </c>
      <c r="G517" s="6">
        <v>45152</v>
      </c>
      <c r="J517" s="4">
        <f>I517-H517</f>
        <v>0</v>
      </c>
      <c r="K517" s="7">
        <f t="shared" si="97"/>
        <v>0.24000000000000021</v>
      </c>
      <c r="L517" s="9">
        <v>45182.447916666664</v>
      </c>
      <c r="M517" s="9">
        <v>45182.447916666664</v>
      </c>
      <c r="N517" s="9">
        <v>45184.5</v>
      </c>
    </row>
    <row r="518" spans="1:14" ht="12.75" x14ac:dyDescent="0.2">
      <c r="A518" s="4" t="s">
        <v>594</v>
      </c>
      <c r="B518" s="4" t="s">
        <v>19</v>
      </c>
      <c r="C518" s="4" t="s">
        <v>592</v>
      </c>
      <c r="D518" s="5">
        <v>13.37</v>
      </c>
      <c r="E518" s="4">
        <v>17.440000000000001</v>
      </c>
      <c r="F518" s="4">
        <f t="shared" si="96"/>
        <v>4.0700000000000021</v>
      </c>
      <c r="G518" s="6">
        <v>45152</v>
      </c>
      <c r="H518" s="4">
        <v>1.1489</v>
      </c>
      <c r="I518" s="4">
        <v>1.1731</v>
      </c>
      <c r="J518" s="4">
        <f t="shared" ref="J518:J521" si="98">I518-H518</f>
        <v>2.4199999999999999E-2</v>
      </c>
      <c r="K518" s="7">
        <f t="shared" si="97"/>
        <v>4.0458000000000016</v>
      </c>
      <c r="L518" s="9">
        <v>45167.506944444445</v>
      </c>
      <c r="M518" s="9">
        <v>45167.506944444445</v>
      </c>
      <c r="N518" s="9">
        <v>45169.513888888891</v>
      </c>
    </row>
    <row r="519" spans="1:14" ht="12.75" x14ac:dyDescent="0.2">
      <c r="A519" s="4" t="s">
        <v>595</v>
      </c>
      <c r="B519" s="4" t="s">
        <v>20</v>
      </c>
      <c r="C519" s="4" t="s">
        <v>592</v>
      </c>
      <c r="D519" s="5">
        <v>16.12</v>
      </c>
      <c r="E519" s="4">
        <v>44.07</v>
      </c>
      <c r="F519" s="4">
        <f t="shared" si="96"/>
        <v>27.95</v>
      </c>
      <c r="G519" s="6">
        <v>45152</v>
      </c>
      <c r="H519" s="4">
        <v>1.1489</v>
      </c>
      <c r="I519" s="4">
        <v>1.1565000000000001</v>
      </c>
      <c r="J519" s="4">
        <f t="shared" si="98"/>
        <v>7.6000000000000512E-3</v>
      </c>
      <c r="K519" s="7">
        <f t="shared" si="97"/>
        <v>27.942399999999999</v>
      </c>
      <c r="L519" s="9">
        <v>45175.440972222219</v>
      </c>
      <c r="M519" s="9">
        <v>45175.440972222219</v>
      </c>
      <c r="N519" s="9">
        <v>45177.440972222219</v>
      </c>
    </row>
    <row r="520" spans="1:14" ht="12.75" x14ac:dyDescent="0.2">
      <c r="A520" s="4" t="s">
        <v>596</v>
      </c>
      <c r="B520" s="4" t="s">
        <v>21</v>
      </c>
      <c r="C520" s="4" t="s">
        <v>592</v>
      </c>
      <c r="D520" s="5">
        <v>13.19</v>
      </c>
      <c r="E520" s="4">
        <v>64.650000000000006</v>
      </c>
      <c r="F520" s="4">
        <f t="shared" si="96"/>
        <v>51.460000000000008</v>
      </c>
      <c r="G520" s="6">
        <v>45152</v>
      </c>
      <c r="J520" s="4">
        <f t="shared" si="98"/>
        <v>0</v>
      </c>
      <c r="K520" s="7">
        <f t="shared" si="97"/>
        <v>51.460000000000008</v>
      </c>
      <c r="L520" s="9">
        <v>45167.506944444445</v>
      </c>
      <c r="M520" s="9">
        <v>45167.506944444445</v>
      </c>
      <c r="N520" s="9">
        <v>45169.513888888891</v>
      </c>
    </row>
    <row r="521" spans="1:14" ht="12.75" x14ac:dyDescent="0.2">
      <c r="A521" s="4" t="s">
        <v>597</v>
      </c>
      <c r="B521" s="4" t="s">
        <v>22</v>
      </c>
      <c r="C521" s="4" t="s">
        <v>592</v>
      </c>
      <c r="D521" s="5">
        <v>12.08</v>
      </c>
      <c r="E521" s="4">
        <v>21.07</v>
      </c>
      <c r="F521" s="4">
        <f t="shared" si="96"/>
        <v>8.99</v>
      </c>
      <c r="G521" s="6">
        <v>45152</v>
      </c>
      <c r="J521" s="4">
        <f t="shared" si="98"/>
        <v>0</v>
      </c>
      <c r="K521" s="7">
        <f t="shared" si="97"/>
        <v>8.99</v>
      </c>
      <c r="L521" s="9">
        <v>45163.416666666664</v>
      </c>
      <c r="M521" s="9">
        <v>45163.416666666664</v>
      </c>
      <c r="N521" s="9">
        <v>45165.479166666664</v>
      </c>
    </row>
    <row r="522" spans="1:14" ht="12.75" x14ac:dyDescent="0.2">
      <c r="A522" s="4" t="s">
        <v>598</v>
      </c>
      <c r="B522" s="4" t="s">
        <v>16</v>
      </c>
      <c r="C522" s="4" t="s">
        <v>599</v>
      </c>
      <c r="D522" s="5">
        <v>12.25</v>
      </c>
      <c r="E522" s="4">
        <v>112.28</v>
      </c>
      <c r="F522" s="4">
        <f t="shared" si="96"/>
        <v>100.03</v>
      </c>
      <c r="G522" s="6">
        <v>45152</v>
      </c>
      <c r="J522" s="4">
        <f>SUM(J523:J527)</f>
        <v>9.9999999999988987E-4</v>
      </c>
      <c r="K522" s="7">
        <f t="shared" si="97"/>
        <v>100.029</v>
      </c>
    </row>
    <row r="523" spans="1:14" ht="12.75" x14ac:dyDescent="0.2">
      <c r="A523" s="4" t="s">
        <v>600</v>
      </c>
      <c r="B523" s="4" t="s">
        <v>71</v>
      </c>
      <c r="C523" s="4" t="s">
        <v>599</v>
      </c>
      <c r="D523" s="5">
        <v>13.35</v>
      </c>
      <c r="E523" s="4">
        <v>13.62</v>
      </c>
      <c r="F523" s="4">
        <f t="shared" si="96"/>
        <v>0.26999999999999957</v>
      </c>
      <c r="G523" s="6">
        <v>45152</v>
      </c>
      <c r="J523" s="4">
        <f>I523-H523</f>
        <v>0</v>
      </c>
      <c r="K523" s="7">
        <f t="shared" si="97"/>
        <v>0.26999999999999957</v>
      </c>
      <c r="L523" s="9">
        <v>45179.5</v>
      </c>
      <c r="M523" s="9">
        <v>45179.5</v>
      </c>
      <c r="N523" s="9">
        <v>45181.5</v>
      </c>
    </row>
    <row r="524" spans="1:14" ht="12.75" x14ac:dyDescent="0.2">
      <c r="A524" s="4" t="s">
        <v>601</v>
      </c>
      <c r="B524" s="4" t="s">
        <v>19</v>
      </c>
      <c r="C524" s="4" t="s">
        <v>599</v>
      </c>
      <c r="D524" s="5">
        <v>13.1</v>
      </c>
      <c r="E524" s="4">
        <v>18.29</v>
      </c>
      <c r="F524" s="4">
        <f t="shared" si="96"/>
        <v>5.1899999999999995</v>
      </c>
      <c r="G524" s="6">
        <v>45152</v>
      </c>
      <c r="J524" s="4">
        <f t="shared" ref="J524:J527" si="99">I524-H524</f>
        <v>0</v>
      </c>
      <c r="K524" s="7">
        <f t="shared" si="97"/>
        <v>5.1899999999999995</v>
      </c>
      <c r="L524" s="9">
        <v>45169.527777777781</v>
      </c>
      <c r="M524" s="9">
        <v>45169.527777777781</v>
      </c>
      <c r="N524" s="9">
        <v>45173.388888888891</v>
      </c>
    </row>
    <row r="525" spans="1:14" ht="12.75" x14ac:dyDescent="0.2">
      <c r="A525" s="4" t="s">
        <v>602</v>
      </c>
      <c r="B525" s="4" t="s">
        <v>20</v>
      </c>
      <c r="C525" s="4" t="s">
        <v>599</v>
      </c>
      <c r="D525" s="5">
        <v>15.06</v>
      </c>
      <c r="E525" s="4">
        <v>44.85</v>
      </c>
      <c r="F525" s="4">
        <f t="shared" si="96"/>
        <v>29.79</v>
      </c>
      <c r="G525" s="6">
        <v>45152</v>
      </c>
      <c r="H525" s="4">
        <v>1.1489</v>
      </c>
      <c r="I525" s="4">
        <v>1.1494</v>
      </c>
      <c r="J525" s="4">
        <f t="shared" si="99"/>
        <v>4.9999999999994493E-4</v>
      </c>
      <c r="K525" s="7">
        <f t="shared" si="97"/>
        <v>29.7895</v>
      </c>
      <c r="L525" s="9">
        <v>45179.5</v>
      </c>
      <c r="M525" s="9">
        <v>45179.5</v>
      </c>
      <c r="N525" s="9">
        <v>45181.5</v>
      </c>
    </row>
    <row r="526" spans="1:14" ht="12.75" x14ac:dyDescent="0.2">
      <c r="A526" s="4" t="s">
        <v>603</v>
      </c>
      <c r="B526" s="4" t="s">
        <v>21</v>
      </c>
      <c r="C526" s="4" t="s">
        <v>599</v>
      </c>
      <c r="D526" s="5">
        <v>13.24</v>
      </c>
      <c r="E526" s="4">
        <v>63.52</v>
      </c>
      <c r="F526" s="4">
        <f t="shared" si="96"/>
        <v>50.28</v>
      </c>
      <c r="G526" s="6">
        <v>45152</v>
      </c>
      <c r="H526" s="4">
        <v>1.1489</v>
      </c>
      <c r="I526" s="4">
        <v>1.1494</v>
      </c>
      <c r="J526" s="4">
        <f t="shared" si="99"/>
        <v>4.9999999999994493E-4</v>
      </c>
      <c r="K526" s="7">
        <f t="shared" si="97"/>
        <v>50.279499999999999</v>
      </c>
      <c r="L526" s="9">
        <v>45175.440972222219</v>
      </c>
      <c r="M526" s="9">
        <v>45175.440972222219</v>
      </c>
      <c r="N526" s="9">
        <v>45177.440972222219</v>
      </c>
    </row>
    <row r="527" spans="1:14" ht="12.75" x14ac:dyDescent="0.2">
      <c r="A527" s="4" t="s">
        <v>604</v>
      </c>
      <c r="B527" s="4" t="s">
        <v>22</v>
      </c>
      <c r="C527" s="4" t="s">
        <v>599</v>
      </c>
      <c r="D527" s="5">
        <v>12.36</v>
      </c>
      <c r="E527" s="4">
        <v>17.45</v>
      </c>
      <c r="F527" s="4">
        <f t="shared" si="96"/>
        <v>5.09</v>
      </c>
      <c r="G527" s="6">
        <v>45152</v>
      </c>
      <c r="J527" s="4">
        <f t="shared" si="99"/>
        <v>0</v>
      </c>
      <c r="K527" s="7">
        <f t="shared" si="97"/>
        <v>5.09</v>
      </c>
      <c r="L527" s="9">
        <v>45163.416666666664</v>
      </c>
      <c r="M527" s="9">
        <v>45163.416666666664</v>
      </c>
      <c r="N527" s="9">
        <v>45165.479166666664</v>
      </c>
    </row>
    <row r="528" spans="1:14" ht="12.75" x14ac:dyDescent="0.2">
      <c r="A528" s="4" t="s">
        <v>605</v>
      </c>
      <c r="B528" s="4" t="s">
        <v>16</v>
      </c>
      <c r="C528" s="4" t="s">
        <v>606</v>
      </c>
      <c r="D528" s="5">
        <v>11.97</v>
      </c>
      <c r="E528" s="4">
        <v>112.01</v>
      </c>
      <c r="F528" s="4">
        <f t="shared" si="96"/>
        <v>100.04</v>
      </c>
      <c r="G528" s="6">
        <v>45195</v>
      </c>
      <c r="J528" s="4">
        <f>SUM(J529:J533)</f>
        <v>1.8999999999999906E-2</v>
      </c>
      <c r="K528" s="7">
        <f t="shared" si="97"/>
        <v>100.021</v>
      </c>
    </row>
    <row r="529" spans="1:14" ht="12.75" x14ac:dyDescent="0.2">
      <c r="A529" s="4" t="s">
        <v>607</v>
      </c>
      <c r="B529" s="4" t="s">
        <v>71</v>
      </c>
      <c r="C529" s="4" t="s">
        <v>606</v>
      </c>
      <c r="D529" s="5">
        <v>13.55</v>
      </c>
      <c r="E529" s="4">
        <v>13.69</v>
      </c>
      <c r="F529" s="4">
        <f t="shared" si="96"/>
        <v>0.13999999999999879</v>
      </c>
      <c r="G529" s="6">
        <v>45195</v>
      </c>
      <c r="J529" s="4">
        <f>I529-H529</f>
        <v>0</v>
      </c>
      <c r="K529" s="7">
        <f t="shared" si="97"/>
        <v>0.13999999999999879</v>
      </c>
      <c r="L529" s="9">
        <v>45210.395833333336</v>
      </c>
      <c r="M529" s="9">
        <v>45210.395833333336</v>
      </c>
      <c r="N529" s="9">
        <v>45215.430555555555</v>
      </c>
    </row>
    <row r="530" spans="1:14" ht="12.75" x14ac:dyDescent="0.2">
      <c r="A530" s="4" t="s">
        <v>608</v>
      </c>
      <c r="B530" s="4" t="s">
        <v>19</v>
      </c>
      <c r="C530" s="4" t="s">
        <v>606</v>
      </c>
      <c r="D530" s="5">
        <v>12.03</v>
      </c>
      <c r="E530" s="4">
        <v>15.32</v>
      </c>
      <c r="F530" s="4">
        <f t="shared" si="96"/>
        <v>3.2900000000000009</v>
      </c>
      <c r="G530" s="6">
        <v>45195</v>
      </c>
      <c r="H530" s="4">
        <v>1.1491</v>
      </c>
      <c r="I530" s="4">
        <v>1.1495</v>
      </c>
      <c r="J530" s="4">
        <f t="shared" ref="J530:J533" si="100">I530-H530</f>
        <v>3.9999999999995595E-4</v>
      </c>
      <c r="K530" s="7">
        <f t="shared" si="97"/>
        <v>3.289600000000001</v>
      </c>
      <c r="L530" s="9">
        <v>45209.458333333336</v>
      </c>
      <c r="M530" s="9">
        <v>45209.458333333336</v>
      </c>
      <c r="N530" s="9">
        <v>45211.020833333336</v>
      </c>
    </row>
    <row r="531" spans="1:14" ht="12.75" x14ac:dyDescent="0.2">
      <c r="A531" s="4" t="s">
        <v>609</v>
      </c>
      <c r="B531" s="4" t="s">
        <v>20</v>
      </c>
      <c r="C531" s="4" t="s">
        <v>606</v>
      </c>
      <c r="D531" s="5">
        <v>13.39</v>
      </c>
      <c r="E531" s="4">
        <v>34.729999999999997</v>
      </c>
      <c r="F531" s="4">
        <f t="shared" si="96"/>
        <v>21.339999999999996</v>
      </c>
      <c r="G531" s="6">
        <v>45195</v>
      </c>
      <c r="H531" s="4">
        <v>1.1491</v>
      </c>
      <c r="I531" s="4">
        <v>1.1667000000000001</v>
      </c>
      <c r="J531" s="4">
        <f t="shared" si="100"/>
        <v>1.760000000000006E-2</v>
      </c>
      <c r="K531" s="7">
        <f t="shared" si="97"/>
        <v>21.322399999999995</v>
      </c>
      <c r="L531" s="9">
        <v>45211.5</v>
      </c>
      <c r="M531" s="9">
        <v>45211.583333333336</v>
      </c>
      <c r="N531" s="9">
        <v>45215.430555555555</v>
      </c>
    </row>
    <row r="532" spans="1:14" ht="12.75" x14ac:dyDescent="0.2">
      <c r="A532" s="4" t="s">
        <v>610</v>
      </c>
      <c r="B532" s="4" t="s">
        <v>21</v>
      </c>
      <c r="C532" s="4" t="s">
        <v>606</v>
      </c>
      <c r="D532" s="5">
        <v>13.11</v>
      </c>
      <c r="E532" s="4">
        <v>71.010000000000005</v>
      </c>
      <c r="F532" s="4">
        <f t="shared" si="96"/>
        <v>57.900000000000006</v>
      </c>
      <c r="G532" s="6">
        <v>45195</v>
      </c>
      <c r="H532" s="4">
        <v>1.1491</v>
      </c>
      <c r="I532" s="4">
        <v>1.1500999999999999</v>
      </c>
      <c r="J532" s="4">
        <f t="shared" si="100"/>
        <v>9.9999999999988987E-4</v>
      </c>
      <c r="K532" s="7">
        <f t="shared" si="97"/>
        <v>57.899000000000008</v>
      </c>
      <c r="L532" s="9">
        <v>45208.5</v>
      </c>
      <c r="M532" s="9">
        <v>45208.5</v>
      </c>
      <c r="N532" s="9">
        <v>45210.520833333336</v>
      </c>
    </row>
    <row r="533" spans="1:14" ht="12.75" x14ac:dyDescent="0.2">
      <c r="A533" s="4" t="s">
        <v>611</v>
      </c>
      <c r="B533" s="4" t="s">
        <v>22</v>
      </c>
      <c r="C533" s="4" t="s">
        <v>606</v>
      </c>
      <c r="D533" s="5">
        <v>13.34</v>
      </c>
      <c r="E533" s="4">
        <v>23.56</v>
      </c>
      <c r="F533" s="4">
        <f t="shared" si="96"/>
        <v>10.219999999999999</v>
      </c>
      <c r="G533" s="6">
        <v>45195</v>
      </c>
      <c r="J533" s="4">
        <f t="shared" si="100"/>
        <v>0</v>
      </c>
      <c r="K533" s="7">
        <f t="shared" si="97"/>
        <v>10.219999999999999</v>
      </c>
      <c r="L533" s="9">
        <v>45208.5</v>
      </c>
      <c r="M533" s="9">
        <v>45208.5</v>
      </c>
      <c r="N533" s="9">
        <v>45210.520833333336</v>
      </c>
    </row>
    <row r="535" spans="1:14" ht="12.75" x14ac:dyDescent="0.2">
      <c r="D535" s="5"/>
    </row>
    <row r="536" spans="1:14" ht="12.75" x14ac:dyDescent="0.2">
      <c r="D536" s="5"/>
    </row>
    <row r="537" spans="1:14" ht="12.75" x14ac:dyDescent="0.2">
      <c r="D537" s="5"/>
    </row>
    <row r="538" spans="1:14" ht="12.75" x14ac:dyDescent="0.2">
      <c r="D538" s="5"/>
    </row>
    <row r="539" spans="1:14" ht="12.75" x14ac:dyDescent="0.2">
      <c r="D539" s="5"/>
    </row>
    <row r="540" spans="1:14" ht="12.75" x14ac:dyDescent="0.2">
      <c r="D540" s="5"/>
    </row>
    <row r="541" spans="1:14" ht="12.75" x14ac:dyDescent="0.2">
      <c r="D541" s="5"/>
    </row>
    <row r="542" spans="1:14" ht="12.75" x14ac:dyDescent="0.2">
      <c r="D542" s="5"/>
    </row>
    <row r="543" spans="1:14" ht="12.75" x14ac:dyDescent="0.2">
      <c r="D543" s="5"/>
    </row>
    <row r="544" spans="1:14" ht="12.75" x14ac:dyDescent="0.2">
      <c r="D544" s="5"/>
    </row>
    <row r="545" spans="4:4" ht="12.75" x14ac:dyDescent="0.2">
      <c r="D545" s="5"/>
    </row>
    <row r="546" spans="4:4" ht="12.75" x14ac:dyDescent="0.2">
      <c r="D546" s="5"/>
    </row>
    <row r="547" spans="4:4" ht="12.75" x14ac:dyDescent="0.2">
      <c r="D547" s="5"/>
    </row>
    <row r="548" spans="4:4" ht="12.75" x14ac:dyDescent="0.2">
      <c r="D548" s="5"/>
    </row>
    <row r="549" spans="4:4" ht="12.75" x14ac:dyDescent="0.2">
      <c r="D549" s="5"/>
    </row>
    <row r="550" spans="4:4" ht="12.75" x14ac:dyDescent="0.2">
      <c r="D550" s="5"/>
    </row>
    <row r="551" spans="4:4" ht="12.75" x14ac:dyDescent="0.2">
      <c r="D551" s="5"/>
    </row>
    <row r="552" spans="4:4" ht="12.75" x14ac:dyDescent="0.2">
      <c r="D552" s="5"/>
    </row>
    <row r="553" spans="4:4" ht="12.75" x14ac:dyDescent="0.2">
      <c r="D553" s="5"/>
    </row>
    <row r="554" spans="4:4" ht="12.75" x14ac:dyDescent="0.2">
      <c r="D554" s="5"/>
    </row>
    <row r="555" spans="4:4" ht="12.75" x14ac:dyDescent="0.2">
      <c r="D555" s="5"/>
    </row>
    <row r="556" spans="4:4" ht="12.75" x14ac:dyDescent="0.2">
      <c r="D556" s="5"/>
    </row>
    <row r="557" spans="4:4" ht="12.75" x14ac:dyDescent="0.2">
      <c r="D557" s="5"/>
    </row>
    <row r="558" spans="4:4" ht="12.75" x14ac:dyDescent="0.2">
      <c r="D558" s="5"/>
    </row>
    <row r="559" spans="4:4" ht="12.75" x14ac:dyDescent="0.2">
      <c r="D559" s="5"/>
    </row>
    <row r="560" spans="4:4" ht="12.75" x14ac:dyDescent="0.2">
      <c r="D560" s="5"/>
    </row>
    <row r="561" spans="4:4" ht="12.75" x14ac:dyDescent="0.2">
      <c r="D561" s="5"/>
    </row>
    <row r="562" spans="4:4" ht="12.75" x14ac:dyDescent="0.2">
      <c r="D562" s="5"/>
    </row>
    <row r="563" spans="4:4" ht="12.75" x14ac:dyDescent="0.2">
      <c r="D563" s="5"/>
    </row>
    <row r="564" spans="4:4" ht="12.75" x14ac:dyDescent="0.2">
      <c r="D564" s="5"/>
    </row>
    <row r="565" spans="4:4" ht="12.75" x14ac:dyDescent="0.2">
      <c r="D565" s="5"/>
    </row>
    <row r="566" spans="4:4" ht="12.75" x14ac:dyDescent="0.2">
      <c r="D566" s="5"/>
    </row>
    <row r="567" spans="4:4" ht="12.75" x14ac:dyDescent="0.2">
      <c r="D567" s="5"/>
    </row>
    <row r="568" spans="4:4" ht="12.75" x14ac:dyDescent="0.2">
      <c r="D568" s="5"/>
    </row>
    <row r="569" spans="4:4" ht="12.75" x14ac:dyDescent="0.2">
      <c r="D569" s="5"/>
    </row>
    <row r="570" spans="4:4" ht="12.75" x14ac:dyDescent="0.2">
      <c r="D570" s="5"/>
    </row>
    <row r="571" spans="4:4" ht="12.75" x14ac:dyDescent="0.2">
      <c r="D571" s="5"/>
    </row>
    <row r="572" spans="4:4" ht="12.75" x14ac:dyDescent="0.2">
      <c r="D572" s="5"/>
    </row>
    <row r="573" spans="4:4" ht="12.75" x14ac:dyDescent="0.2">
      <c r="D573" s="5"/>
    </row>
    <row r="574" spans="4:4" ht="12.75" x14ac:dyDescent="0.2">
      <c r="D574" s="5"/>
    </row>
    <row r="575" spans="4:4" ht="12.75" x14ac:dyDescent="0.2">
      <c r="D575" s="5"/>
    </row>
    <row r="576" spans="4:4" ht="12.75" x14ac:dyDescent="0.2">
      <c r="D576" s="5"/>
    </row>
    <row r="577" spans="4:4" ht="12.75" x14ac:dyDescent="0.2">
      <c r="D577" s="5"/>
    </row>
    <row r="578" spans="4:4" ht="12.75" x14ac:dyDescent="0.2">
      <c r="D578" s="5"/>
    </row>
    <row r="579" spans="4:4" ht="12.75" x14ac:dyDescent="0.2">
      <c r="D579" s="5"/>
    </row>
    <row r="580" spans="4:4" ht="12.75" x14ac:dyDescent="0.2">
      <c r="D580" s="5"/>
    </row>
    <row r="581" spans="4:4" ht="12.75" x14ac:dyDescent="0.2">
      <c r="D581" s="5"/>
    </row>
    <row r="582" spans="4:4" ht="12.75" x14ac:dyDescent="0.2">
      <c r="D582" s="5"/>
    </row>
    <row r="583" spans="4:4" ht="12.75" x14ac:dyDescent="0.2">
      <c r="D583" s="5"/>
    </row>
    <row r="584" spans="4:4" ht="12.75" x14ac:dyDescent="0.2">
      <c r="D584" s="5"/>
    </row>
    <row r="585" spans="4:4" ht="12.75" x14ac:dyDescent="0.2">
      <c r="D585" s="5"/>
    </row>
    <row r="586" spans="4:4" ht="12.75" x14ac:dyDescent="0.2">
      <c r="D586" s="5"/>
    </row>
    <row r="587" spans="4:4" ht="12.75" x14ac:dyDescent="0.2">
      <c r="D587" s="5"/>
    </row>
    <row r="588" spans="4:4" ht="12.75" x14ac:dyDescent="0.2">
      <c r="D588" s="5"/>
    </row>
    <row r="589" spans="4:4" ht="12.75" x14ac:dyDescent="0.2">
      <c r="D589" s="5"/>
    </row>
    <row r="590" spans="4:4" ht="12.75" x14ac:dyDescent="0.2">
      <c r="D590" s="5"/>
    </row>
    <row r="591" spans="4:4" ht="12.75" x14ac:dyDescent="0.2">
      <c r="D591" s="5"/>
    </row>
    <row r="592" spans="4:4" ht="12.75" x14ac:dyDescent="0.2">
      <c r="D592" s="5"/>
    </row>
    <row r="593" spans="4:4" ht="12.75" x14ac:dyDescent="0.2">
      <c r="D593" s="5"/>
    </row>
    <row r="594" spans="4:4" ht="12.75" x14ac:dyDescent="0.2">
      <c r="D594" s="5"/>
    </row>
    <row r="595" spans="4:4" ht="12.75" x14ac:dyDescent="0.2">
      <c r="D595" s="5"/>
    </row>
    <row r="596" spans="4:4" ht="12.75" x14ac:dyDescent="0.2">
      <c r="D596" s="5"/>
    </row>
    <row r="597" spans="4:4" ht="12.75" x14ac:dyDescent="0.2">
      <c r="D597" s="5"/>
    </row>
    <row r="598" spans="4:4" ht="12.75" x14ac:dyDescent="0.2">
      <c r="D598" s="5"/>
    </row>
    <row r="599" spans="4:4" ht="12.75" x14ac:dyDescent="0.2">
      <c r="D599" s="5"/>
    </row>
    <row r="600" spans="4:4" ht="12.75" x14ac:dyDescent="0.2">
      <c r="D600" s="5"/>
    </row>
    <row r="601" spans="4:4" ht="12.75" x14ac:dyDescent="0.2">
      <c r="D601" s="5"/>
    </row>
    <row r="602" spans="4:4" ht="12.75" x14ac:dyDescent="0.2">
      <c r="D602" s="5"/>
    </row>
    <row r="603" spans="4:4" ht="12.75" x14ac:dyDescent="0.2">
      <c r="D603" s="5"/>
    </row>
    <row r="604" spans="4:4" ht="12.75" x14ac:dyDescent="0.2">
      <c r="D604" s="5"/>
    </row>
    <row r="605" spans="4:4" ht="12.75" x14ac:dyDescent="0.2">
      <c r="D605" s="5"/>
    </row>
    <row r="606" spans="4:4" ht="12.75" x14ac:dyDescent="0.2">
      <c r="D606" s="5"/>
    </row>
    <row r="607" spans="4:4" ht="12.75" x14ac:dyDescent="0.2">
      <c r="D607" s="5"/>
    </row>
    <row r="608" spans="4:4" ht="12.75" x14ac:dyDescent="0.2">
      <c r="D608" s="5"/>
    </row>
    <row r="609" spans="4:4" ht="12.75" x14ac:dyDescent="0.2">
      <c r="D609" s="5"/>
    </row>
    <row r="610" spans="4:4" ht="12.75" x14ac:dyDescent="0.2">
      <c r="D610" s="5"/>
    </row>
    <row r="611" spans="4:4" ht="12.75" x14ac:dyDescent="0.2">
      <c r="D611" s="5"/>
    </row>
    <row r="612" spans="4:4" ht="12.75" x14ac:dyDescent="0.2">
      <c r="D612" s="5"/>
    </row>
    <row r="613" spans="4:4" ht="12.75" x14ac:dyDescent="0.2">
      <c r="D613" s="5"/>
    </row>
    <row r="614" spans="4:4" ht="12.75" x14ac:dyDescent="0.2">
      <c r="D614" s="5"/>
    </row>
    <row r="615" spans="4:4" ht="12.75" x14ac:dyDescent="0.2">
      <c r="D615" s="5"/>
    </row>
    <row r="616" spans="4:4" ht="12.75" x14ac:dyDescent="0.2">
      <c r="D616" s="5"/>
    </row>
    <row r="617" spans="4:4" ht="12.75" x14ac:dyDescent="0.2">
      <c r="D617" s="5"/>
    </row>
    <row r="618" spans="4:4" ht="12.75" x14ac:dyDescent="0.2">
      <c r="D618" s="5"/>
    </row>
    <row r="619" spans="4:4" ht="12.75" x14ac:dyDescent="0.2">
      <c r="D619" s="5"/>
    </row>
    <row r="620" spans="4:4" ht="12.75" x14ac:dyDescent="0.2">
      <c r="D620" s="5"/>
    </row>
    <row r="621" spans="4:4" ht="12.75" x14ac:dyDescent="0.2">
      <c r="D621" s="5"/>
    </row>
    <row r="622" spans="4:4" ht="12.75" x14ac:dyDescent="0.2">
      <c r="D622" s="5"/>
    </row>
    <row r="623" spans="4:4" ht="12.75" x14ac:dyDescent="0.2">
      <c r="D623" s="5"/>
    </row>
    <row r="624" spans="4:4" ht="12.75" x14ac:dyDescent="0.2">
      <c r="D624" s="5"/>
    </row>
    <row r="625" spans="4:4" ht="12.75" x14ac:dyDescent="0.2">
      <c r="D625" s="5"/>
    </row>
    <row r="626" spans="4:4" ht="12.75" x14ac:dyDescent="0.2">
      <c r="D626" s="5"/>
    </row>
    <row r="627" spans="4:4" ht="12.75" x14ac:dyDescent="0.2">
      <c r="D627" s="5"/>
    </row>
    <row r="628" spans="4:4" ht="12.75" x14ac:dyDescent="0.2">
      <c r="D628" s="5"/>
    </row>
    <row r="629" spans="4:4" ht="12.75" x14ac:dyDescent="0.2">
      <c r="D629" s="5"/>
    </row>
    <row r="630" spans="4:4" ht="12.75" x14ac:dyDescent="0.2">
      <c r="D630" s="5"/>
    </row>
    <row r="631" spans="4:4" ht="12.75" x14ac:dyDescent="0.2">
      <c r="D631" s="5"/>
    </row>
    <row r="632" spans="4:4" ht="12.75" x14ac:dyDescent="0.2">
      <c r="D632" s="5"/>
    </row>
    <row r="633" spans="4:4" ht="12.75" x14ac:dyDescent="0.2">
      <c r="D633" s="5"/>
    </row>
    <row r="634" spans="4:4" ht="12.75" x14ac:dyDescent="0.2">
      <c r="D634" s="5"/>
    </row>
    <row r="635" spans="4:4" ht="12.75" x14ac:dyDescent="0.2">
      <c r="D635" s="5"/>
    </row>
    <row r="636" spans="4:4" ht="12.75" x14ac:dyDescent="0.2">
      <c r="D636" s="5"/>
    </row>
    <row r="637" spans="4:4" ht="12.75" x14ac:dyDescent="0.2">
      <c r="D637" s="5"/>
    </row>
    <row r="638" spans="4:4" ht="12.75" x14ac:dyDescent="0.2">
      <c r="D638" s="5"/>
    </row>
    <row r="639" spans="4:4" ht="12.75" x14ac:dyDescent="0.2">
      <c r="D639" s="5"/>
    </row>
    <row r="640" spans="4:4" ht="12.75" x14ac:dyDescent="0.2">
      <c r="D640" s="5"/>
    </row>
    <row r="641" spans="4:4" ht="12.75" x14ac:dyDescent="0.2">
      <c r="D641" s="5"/>
    </row>
    <row r="642" spans="4:4" ht="12.75" x14ac:dyDescent="0.2">
      <c r="D642" s="5"/>
    </row>
    <row r="643" spans="4:4" ht="12.75" x14ac:dyDescent="0.2">
      <c r="D643" s="5"/>
    </row>
    <row r="644" spans="4:4" ht="12.75" x14ac:dyDescent="0.2">
      <c r="D644" s="5"/>
    </row>
    <row r="645" spans="4:4" ht="12.75" x14ac:dyDescent="0.2">
      <c r="D645" s="5"/>
    </row>
    <row r="646" spans="4:4" ht="12.75" x14ac:dyDescent="0.2">
      <c r="D646" s="5"/>
    </row>
    <row r="647" spans="4:4" ht="12.75" x14ac:dyDescent="0.2">
      <c r="D647" s="5"/>
    </row>
    <row r="648" spans="4:4" ht="12.75" x14ac:dyDescent="0.2">
      <c r="D648" s="5"/>
    </row>
    <row r="649" spans="4:4" ht="12.75" x14ac:dyDescent="0.2">
      <c r="D649" s="5"/>
    </row>
    <row r="650" spans="4:4" ht="12.75" x14ac:dyDescent="0.2">
      <c r="D650" s="5"/>
    </row>
    <row r="651" spans="4:4" ht="12.75" x14ac:dyDescent="0.2">
      <c r="D651" s="5"/>
    </row>
    <row r="652" spans="4:4" ht="12.75" x14ac:dyDescent="0.2">
      <c r="D652" s="5"/>
    </row>
    <row r="653" spans="4:4" ht="12.75" x14ac:dyDescent="0.2">
      <c r="D653" s="5"/>
    </row>
    <row r="654" spans="4:4" ht="12.75" x14ac:dyDescent="0.2">
      <c r="D654" s="5"/>
    </row>
    <row r="655" spans="4:4" ht="12.75" x14ac:dyDescent="0.2">
      <c r="D655" s="5"/>
    </row>
    <row r="656" spans="4:4" ht="12.75" x14ac:dyDescent="0.2">
      <c r="D656" s="5"/>
    </row>
    <row r="657" spans="4:4" ht="12.75" x14ac:dyDescent="0.2">
      <c r="D657" s="5"/>
    </row>
    <row r="658" spans="4:4" ht="12.75" x14ac:dyDescent="0.2">
      <c r="D658" s="5"/>
    </row>
    <row r="659" spans="4:4" ht="12.75" x14ac:dyDescent="0.2">
      <c r="D659" s="5"/>
    </row>
    <row r="660" spans="4:4" ht="12.75" x14ac:dyDescent="0.2">
      <c r="D660" s="5"/>
    </row>
    <row r="661" spans="4:4" ht="12.75" x14ac:dyDescent="0.2">
      <c r="D661" s="5"/>
    </row>
    <row r="662" spans="4:4" ht="12.75" x14ac:dyDescent="0.2">
      <c r="D662" s="5"/>
    </row>
    <row r="663" spans="4:4" ht="12.75" x14ac:dyDescent="0.2">
      <c r="D663" s="5"/>
    </row>
    <row r="664" spans="4:4" ht="12.75" x14ac:dyDescent="0.2">
      <c r="D664" s="5"/>
    </row>
    <row r="665" spans="4:4" ht="12.75" x14ac:dyDescent="0.2">
      <c r="D665" s="5"/>
    </row>
    <row r="666" spans="4:4" ht="12.75" x14ac:dyDescent="0.2">
      <c r="D666" s="5"/>
    </row>
    <row r="667" spans="4:4" ht="12.75" x14ac:dyDescent="0.2">
      <c r="D667" s="5"/>
    </row>
    <row r="668" spans="4:4" ht="12.75" x14ac:dyDescent="0.2">
      <c r="D668" s="5"/>
    </row>
    <row r="669" spans="4:4" ht="12.75" x14ac:dyDescent="0.2">
      <c r="D669" s="5"/>
    </row>
    <row r="670" spans="4:4" ht="12.75" x14ac:dyDescent="0.2">
      <c r="D670" s="5"/>
    </row>
    <row r="671" spans="4:4" ht="12.75" x14ac:dyDescent="0.2">
      <c r="D671" s="5"/>
    </row>
    <row r="672" spans="4:4" ht="12.75" x14ac:dyDescent="0.2">
      <c r="D672" s="5"/>
    </row>
    <row r="673" spans="4:4" ht="12.75" x14ac:dyDescent="0.2">
      <c r="D673" s="5"/>
    </row>
    <row r="674" spans="4:4" ht="12.75" x14ac:dyDescent="0.2">
      <c r="D674" s="5"/>
    </row>
    <row r="675" spans="4:4" ht="12.75" x14ac:dyDescent="0.2">
      <c r="D675" s="5"/>
    </row>
    <row r="676" spans="4:4" ht="12.75" x14ac:dyDescent="0.2">
      <c r="D676" s="5"/>
    </row>
    <row r="677" spans="4:4" ht="12.75" x14ac:dyDescent="0.2">
      <c r="D677" s="5"/>
    </row>
    <row r="678" spans="4:4" ht="12.75" x14ac:dyDescent="0.2">
      <c r="D678" s="5"/>
    </row>
    <row r="679" spans="4:4" ht="12.75" x14ac:dyDescent="0.2">
      <c r="D679" s="5"/>
    </row>
    <row r="680" spans="4:4" ht="12.75" x14ac:dyDescent="0.2">
      <c r="D680" s="5"/>
    </row>
    <row r="681" spans="4:4" ht="12.75" x14ac:dyDescent="0.2">
      <c r="D681" s="5"/>
    </row>
    <row r="682" spans="4:4" ht="12.75" x14ac:dyDescent="0.2">
      <c r="D682" s="5"/>
    </row>
    <row r="683" spans="4:4" ht="12.75" x14ac:dyDescent="0.2">
      <c r="D683" s="5"/>
    </row>
    <row r="684" spans="4:4" ht="12.75" x14ac:dyDescent="0.2">
      <c r="D684" s="5"/>
    </row>
    <row r="685" spans="4:4" ht="12.75" x14ac:dyDescent="0.2">
      <c r="D685" s="5"/>
    </row>
    <row r="686" spans="4:4" ht="12.75" x14ac:dyDescent="0.2">
      <c r="D686" s="5"/>
    </row>
    <row r="687" spans="4:4" ht="12.75" x14ac:dyDescent="0.2">
      <c r="D687" s="5"/>
    </row>
    <row r="688" spans="4:4" ht="12.75" x14ac:dyDescent="0.2">
      <c r="D688" s="5"/>
    </row>
    <row r="689" spans="4:4" ht="12.75" x14ac:dyDescent="0.2">
      <c r="D689" s="5"/>
    </row>
    <row r="690" spans="4:4" ht="12.75" x14ac:dyDescent="0.2">
      <c r="D690" s="5"/>
    </row>
    <row r="691" spans="4:4" ht="12.75" x14ac:dyDescent="0.2">
      <c r="D691" s="5"/>
    </row>
    <row r="692" spans="4:4" ht="12.75" x14ac:dyDescent="0.2">
      <c r="D692" s="5"/>
    </row>
    <row r="693" spans="4:4" ht="12.75" x14ac:dyDescent="0.2">
      <c r="D693" s="5"/>
    </row>
    <row r="694" spans="4:4" ht="12.75" x14ac:dyDescent="0.2">
      <c r="D694" s="5"/>
    </row>
    <row r="695" spans="4:4" ht="12.75" x14ac:dyDescent="0.2">
      <c r="D695" s="5"/>
    </row>
    <row r="696" spans="4:4" ht="12.75" x14ac:dyDescent="0.2">
      <c r="D696" s="5"/>
    </row>
    <row r="697" spans="4:4" ht="12.75" x14ac:dyDescent="0.2">
      <c r="D697" s="5"/>
    </row>
    <row r="698" spans="4:4" ht="12.75" x14ac:dyDescent="0.2">
      <c r="D698" s="5"/>
    </row>
    <row r="699" spans="4:4" ht="12.75" x14ac:dyDescent="0.2">
      <c r="D699" s="5"/>
    </row>
    <row r="700" spans="4:4" ht="12.75" x14ac:dyDescent="0.2">
      <c r="D700" s="5"/>
    </row>
    <row r="701" spans="4:4" ht="12.75" x14ac:dyDescent="0.2">
      <c r="D701" s="5"/>
    </row>
    <row r="702" spans="4:4" ht="12.75" x14ac:dyDescent="0.2">
      <c r="D702" s="5"/>
    </row>
    <row r="703" spans="4:4" ht="12.75" x14ac:dyDescent="0.2">
      <c r="D703" s="5"/>
    </row>
    <row r="704" spans="4:4" ht="12.75" x14ac:dyDescent="0.2">
      <c r="D704" s="5"/>
    </row>
    <row r="705" spans="4:4" ht="12.75" x14ac:dyDescent="0.2">
      <c r="D705" s="5"/>
    </row>
    <row r="706" spans="4:4" ht="12.75" x14ac:dyDescent="0.2">
      <c r="D706" s="5"/>
    </row>
    <row r="707" spans="4:4" ht="12.75" x14ac:dyDescent="0.2">
      <c r="D707" s="5"/>
    </row>
    <row r="708" spans="4:4" ht="12.75" x14ac:dyDescent="0.2">
      <c r="D708" s="5"/>
    </row>
    <row r="709" spans="4:4" ht="12.75" x14ac:dyDescent="0.2">
      <c r="D709" s="5"/>
    </row>
    <row r="710" spans="4:4" ht="12.75" x14ac:dyDescent="0.2">
      <c r="D710" s="5"/>
    </row>
    <row r="711" spans="4:4" ht="12.75" x14ac:dyDescent="0.2">
      <c r="D711" s="5"/>
    </row>
    <row r="712" spans="4:4" ht="12.75" x14ac:dyDescent="0.2">
      <c r="D712" s="5"/>
    </row>
    <row r="713" spans="4:4" ht="12.75" x14ac:dyDescent="0.2">
      <c r="D713" s="5"/>
    </row>
    <row r="714" spans="4:4" ht="12.75" x14ac:dyDescent="0.2">
      <c r="D714" s="5"/>
    </row>
    <row r="715" spans="4:4" ht="12.75" x14ac:dyDescent="0.2">
      <c r="D715" s="5"/>
    </row>
    <row r="716" spans="4:4" ht="12.75" x14ac:dyDescent="0.2">
      <c r="D716" s="5"/>
    </row>
    <row r="717" spans="4:4" ht="12.75" x14ac:dyDescent="0.2">
      <c r="D717" s="5"/>
    </row>
    <row r="718" spans="4:4" ht="12.75" x14ac:dyDescent="0.2">
      <c r="D718" s="5"/>
    </row>
    <row r="719" spans="4:4" ht="12.75" x14ac:dyDescent="0.2">
      <c r="D719" s="5"/>
    </row>
    <row r="720" spans="4:4" ht="12.75" x14ac:dyDescent="0.2">
      <c r="D720" s="5"/>
    </row>
    <row r="721" spans="4:4" ht="12.75" x14ac:dyDescent="0.2">
      <c r="D721" s="5"/>
    </row>
    <row r="722" spans="4:4" ht="12.75" x14ac:dyDescent="0.2">
      <c r="D722" s="5"/>
    </row>
    <row r="723" spans="4:4" ht="12.75" x14ac:dyDescent="0.2">
      <c r="D723" s="5"/>
    </row>
    <row r="724" spans="4:4" ht="12.75" x14ac:dyDescent="0.2">
      <c r="D724" s="5"/>
    </row>
    <row r="725" spans="4:4" ht="12.75" x14ac:dyDescent="0.2">
      <c r="D725" s="5"/>
    </row>
    <row r="726" spans="4:4" ht="12.75" x14ac:dyDescent="0.2">
      <c r="D726" s="5"/>
    </row>
    <row r="727" spans="4:4" ht="12.75" x14ac:dyDescent="0.2">
      <c r="D727" s="5"/>
    </row>
    <row r="728" spans="4:4" ht="12.75" x14ac:dyDescent="0.2">
      <c r="D728" s="5"/>
    </row>
    <row r="729" spans="4:4" ht="12.75" x14ac:dyDescent="0.2">
      <c r="D729" s="5"/>
    </row>
    <row r="730" spans="4:4" ht="12.75" x14ac:dyDescent="0.2">
      <c r="D730" s="5"/>
    </row>
    <row r="731" spans="4:4" ht="12.75" x14ac:dyDescent="0.2">
      <c r="D731" s="5"/>
    </row>
    <row r="732" spans="4:4" ht="12.75" x14ac:dyDescent="0.2">
      <c r="D732" s="5"/>
    </row>
    <row r="733" spans="4:4" ht="12.75" x14ac:dyDescent="0.2">
      <c r="D733" s="5"/>
    </row>
    <row r="734" spans="4:4" ht="12.75" x14ac:dyDescent="0.2">
      <c r="D734" s="5"/>
    </row>
    <row r="735" spans="4:4" ht="12.75" x14ac:dyDescent="0.2">
      <c r="D735" s="5"/>
    </row>
    <row r="736" spans="4:4" ht="12.75" x14ac:dyDescent="0.2">
      <c r="D736" s="5"/>
    </row>
    <row r="737" spans="4:4" ht="12.75" x14ac:dyDescent="0.2">
      <c r="D737" s="5"/>
    </row>
    <row r="738" spans="4:4" ht="12.75" x14ac:dyDescent="0.2">
      <c r="D738" s="5"/>
    </row>
    <row r="739" spans="4:4" ht="12.75" x14ac:dyDescent="0.2">
      <c r="D739" s="5"/>
    </row>
    <row r="740" spans="4:4" ht="12.75" x14ac:dyDescent="0.2">
      <c r="D740" s="5"/>
    </row>
    <row r="741" spans="4:4" ht="12.75" x14ac:dyDescent="0.2">
      <c r="D741" s="5"/>
    </row>
    <row r="742" spans="4:4" ht="12.75" x14ac:dyDescent="0.2">
      <c r="D742" s="5"/>
    </row>
    <row r="743" spans="4:4" ht="12.75" x14ac:dyDescent="0.2">
      <c r="D743" s="5"/>
    </row>
    <row r="744" spans="4:4" ht="12.75" x14ac:dyDescent="0.2">
      <c r="D744" s="5"/>
    </row>
    <row r="745" spans="4:4" ht="12.75" x14ac:dyDescent="0.2">
      <c r="D745" s="5"/>
    </row>
    <row r="746" spans="4:4" ht="12.75" x14ac:dyDescent="0.2">
      <c r="D746" s="5"/>
    </row>
    <row r="747" spans="4:4" ht="12.75" x14ac:dyDescent="0.2">
      <c r="D747" s="5"/>
    </row>
    <row r="748" spans="4:4" ht="12.75" x14ac:dyDescent="0.2">
      <c r="D748" s="5"/>
    </row>
    <row r="749" spans="4:4" ht="12.75" x14ac:dyDescent="0.2">
      <c r="D749" s="5"/>
    </row>
    <row r="750" spans="4:4" ht="12.75" x14ac:dyDescent="0.2">
      <c r="D750" s="5"/>
    </row>
    <row r="751" spans="4:4" ht="12.75" x14ac:dyDescent="0.2">
      <c r="D751" s="5"/>
    </row>
    <row r="752" spans="4:4" ht="12.75" x14ac:dyDescent="0.2">
      <c r="D752" s="5"/>
    </row>
    <row r="753" spans="4:4" ht="12.75" x14ac:dyDescent="0.2">
      <c r="D753" s="5"/>
    </row>
    <row r="754" spans="4:4" ht="12.75" x14ac:dyDescent="0.2">
      <c r="D754" s="5"/>
    </row>
    <row r="755" spans="4:4" ht="12.75" x14ac:dyDescent="0.2">
      <c r="D755" s="5"/>
    </row>
    <row r="756" spans="4:4" ht="12.75" x14ac:dyDescent="0.2">
      <c r="D756" s="5"/>
    </row>
    <row r="757" spans="4:4" ht="12.75" x14ac:dyDescent="0.2">
      <c r="D757" s="5"/>
    </row>
    <row r="758" spans="4:4" ht="12.75" x14ac:dyDescent="0.2">
      <c r="D758" s="5"/>
    </row>
    <row r="759" spans="4:4" ht="12.75" x14ac:dyDescent="0.2">
      <c r="D759" s="5"/>
    </row>
    <row r="760" spans="4:4" ht="12.75" x14ac:dyDescent="0.2">
      <c r="D760" s="5"/>
    </row>
    <row r="761" spans="4:4" ht="12.75" x14ac:dyDescent="0.2">
      <c r="D761" s="5"/>
    </row>
    <row r="762" spans="4:4" ht="12.75" x14ac:dyDescent="0.2">
      <c r="D762" s="5"/>
    </row>
    <row r="763" spans="4:4" ht="12.75" x14ac:dyDescent="0.2">
      <c r="D763" s="5"/>
    </row>
    <row r="764" spans="4:4" ht="12.75" x14ac:dyDescent="0.2">
      <c r="D764" s="5"/>
    </row>
    <row r="765" spans="4:4" ht="12.75" x14ac:dyDescent="0.2">
      <c r="D765" s="5"/>
    </row>
    <row r="766" spans="4:4" ht="12.75" x14ac:dyDescent="0.2">
      <c r="D766" s="5"/>
    </row>
    <row r="767" spans="4:4" ht="12.75" x14ac:dyDescent="0.2">
      <c r="D767" s="5"/>
    </row>
    <row r="768" spans="4:4" ht="12.75" x14ac:dyDescent="0.2">
      <c r="D768" s="5"/>
    </row>
    <row r="769" spans="4:4" ht="12.75" x14ac:dyDescent="0.2">
      <c r="D769" s="5"/>
    </row>
    <row r="770" spans="4:4" ht="12.75" x14ac:dyDescent="0.2">
      <c r="D770" s="5"/>
    </row>
    <row r="771" spans="4:4" ht="12.75" x14ac:dyDescent="0.2">
      <c r="D771" s="5"/>
    </row>
    <row r="772" spans="4:4" ht="12.75" x14ac:dyDescent="0.2">
      <c r="D772" s="5"/>
    </row>
    <row r="773" spans="4:4" ht="12.75" x14ac:dyDescent="0.2">
      <c r="D773" s="5"/>
    </row>
    <row r="774" spans="4:4" ht="12.75" x14ac:dyDescent="0.2">
      <c r="D774" s="5"/>
    </row>
    <row r="775" spans="4:4" ht="12.75" x14ac:dyDescent="0.2">
      <c r="D775" s="5"/>
    </row>
    <row r="776" spans="4:4" ht="12.75" x14ac:dyDescent="0.2">
      <c r="D776" s="5"/>
    </row>
    <row r="777" spans="4:4" ht="12.75" x14ac:dyDescent="0.2">
      <c r="D777" s="5"/>
    </row>
    <row r="778" spans="4:4" ht="12.75" x14ac:dyDescent="0.2">
      <c r="D778" s="5"/>
    </row>
    <row r="779" spans="4:4" ht="12.75" x14ac:dyDescent="0.2">
      <c r="D779" s="5"/>
    </row>
    <row r="780" spans="4:4" ht="12.75" x14ac:dyDescent="0.2">
      <c r="D780" s="5"/>
    </row>
    <row r="781" spans="4:4" ht="12.75" x14ac:dyDescent="0.2">
      <c r="D781" s="5"/>
    </row>
    <row r="782" spans="4:4" ht="12.75" x14ac:dyDescent="0.2">
      <c r="D782" s="5"/>
    </row>
    <row r="783" spans="4:4" ht="12.75" x14ac:dyDescent="0.2">
      <c r="D783" s="5"/>
    </row>
    <row r="784" spans="4:4" ht="12.75" x14ac:dyDescent="0.2">
      <c r="D784" s="5"/>
    </row>
    <row r="785" spans="4:4" ht="12.75" x14ac:dyDescent="0.2">
      <c r="D785" s="5"/>
    </row>
    <row r="786" spans="4:4" ht="12.75" x14ac:dyDescent="0.2">
      <c r="D786" s="5"/>
    </row>
    <row r="787" spans="4:4" ht="12.75" x14ac:dyDescent="0.2">
      <c r="D787" s="5"/>
    </row>
    <row r="788" spans="4:4" ht="12.75" x14ac:dyDescent="0.2">
      <c r="D788" s="5"/>
    </row>
    <row r="789" spans="4:4" ht="12.75" x14ac:dyDescent="0.2">
      <c r="D789" s="5"/>
    </row>
    <row r="790" spans="4:4" ht="12.75" x14ac:dyDescent="0.2">
      <c r="D790" s="5"/>
    </row>
    <row r="791" spans="4:4" ht="12.75" x14ac:dyDescent="0.2">
      <c r="D791" s="5"/>
    </row>
    <row r="792" spans="4:4" ht="12.75" x14ac:dyDescent="0.2">
      <c r="D792" s="5"/>
    </row>
    <row r="793" spans="4:4" ht="12.75" x14ac:dyDescent="0.2">
      <c r="D793" s="5"/>
    </row>
    <row r="794" spans="4:4" ht="12.75" x14ac:dyDescent="0.2">
      <c r="D794" s="5"/>
    </row>
    <row r="795" spans="4:4" ht="12.75" x14ac:dyDescent="0.2">
      <c r="D795" s="5"/>
    </row>
    <row r="796" spans="4:4" ht="12.75" x14ac:dyDescent="0.2">
      <c r="D796" s="5"/>
    </row>
    <row r="797" spans="4:4" ht="12.75" x14ac:dyDescent="0.2">
      <c r="D797" s="5"/>
    </row>
    <row r="798" spans="4:4" ht="12.75" x14ac:dyDescent="0.2">
      <c r="D798" s="5"/>
    </row>
    <row r="799" spans="4:4" ht="12.75" x14ac:dyDescent="0.2">
      <c r="D799" s="5"/>
    </row>
    <row r="800" spans="4:4" ht="12.75" x14ac:dyDescent="0.2">
      <c r="D800" s="5"/>
    </row>
    <row r="801" spans="4:4" ht="12.75" x14ac:dyDescent="0.2">
      <c r="D801" s="5"/>
    </row>
    <row r="802" spans="4:4" ht="12.75" x14ac:dyDescent="0.2">
      <c r="D802" s="5"/>
    </row>
    <row r="803" spans="4:4" ht="12.75" x14ac:dyDescent="0.2">
      <c r="D803" s="5"/>
    </row>
    <row r="804" spans="4:4" ht="12.75" x14ac:dyDescent="0.2">
      <c r="D804" s="5"/>
    </row>
    <row r="805" spans="4:4" ht="12.75" x14ac:dyDescent="0.2">
      <c r="D805" s="5"/>
    </row>
    <row r="806" spans="4:4" ht="12.75" x14ac:dyDescent="0.2">
      <c r="D806" s="5"/>
    </row>
    <row r="807" spans="4:4" ht="12.75" x14ac:dyDescent="0.2">
      <c r="D807" s="5"/>
    </row>
    <row r="808" spans="4:4" ht="12.75" x14ac:dyDescent="0.2">
      <c r="D808" s="5"/>
    </row>
    <row r="809" spans="4:4" ht="12.75" x14ac:dyDescent="0.2">
      <c r="D809" s="5"/>
    </row>
    <row r="810" spans="4:4" ht="12.75" x14ac:dyDescent="0.2">
      <c r="D810" s="5"/>
    </row>
    <row r="811" spans="4:4" ht="12.75" x14ac:dyDescent="0.2">
      <c r="D811" s="5"/>
    </row>
    <row r="812" spans="4:4" ht="12.75" x14ac:dyDescent="0.2">
      <c r="D812" s="5"/>
    </row>
    <row r="813" spans="4:4" ht="12.75" x14ac:dyDescent="0.2">
      <c r="D813" s="5"/>
    </row>
    <row r="814" spans="4:4" ht="12.75" x14ac:dyDescent="0.2">
      <c r="D814" s="5"/>
    </row>
    <row r="815" spans="4:4" ht="12.75" x14ac:dyDescent="0.2">
      <c r="D815" s="5"/>
    </row>
    <row r="816" spans="4:4" ht="12.75" x14ac:dyDescent="0.2">
      <c r="D816" s="5"/>
    </row>
    <row r="817" spans="4:4" ht="12.75" x14ac:dyDescent="0.2">
      <c r="D817" s="5"/>
    </row>
    <row r="818" spans="4:4" ht="12.75" x14ac:dyDescent="0.2">
      <c r="D818" s="5"/>
    </row>
    <row r="819" spans="4:4" ht="12.75" x14ac:dyDescent="0.2">
      <c r="D819" s="5"/>
    </row>
    <row r="820" spans="4:4" ht="12.75" x14ac:dyDescent="0.2">
      <c r="D820" s="5"/>
    </row>
    <row r="821" spans="4:4" ht="12.75" x14ac:dyDescent="0.2">
      <c r="D821" s="5"/>
    </row>
    <row r="822" spans="4:4" ht="12.75" x14ac:dyDescent="0.2">
      <c r="D822" s="5"/>
    </row>
    <row r="823" spans="4:4" ht="12.75" x14ac:dyDescent="0.2">
      <c r="D823" s="5"/>
    </row>
    <row r="824" spans="4:4" ht="12.75" x14ac:dyDescent="0.2">
      <c r="D824" s="5"/>
    </row>
    <row r="825" spans="4:4" ht="12.75" x14ac:dyDescent="0.2">
      <c r="D825" s="5"/>
    </row>
    <row r="826" spans="4:4" ht="12.75" x14ac:dyDescent="0.2">
      <c r="D826" s="5"/>
    </row>
    <row r="827" spans="4:4" ht="12.75" x14ac:dyDescent="0.2">
      <c r="D827" s="5"/>
    </row>
    <row r="828" spans="4:4" ht="12.75" x14ac:dyDescent="0.2">
      <c r="D828" s="5"/>
    </row>
    <row r="829" spans="4:4" ht="12.75" x14ac:dyDescent="0.2">
      <c r="D829" s="5"/>
    </row>
    <row r="830" spans="4:4" ht="12.75" x14ac:dyDescent="0.2">
      <c r="D830" s="5"/>
    </row>
    <row r="831" spans="4:4" ht="12.75" x14ac:dyDescent="0.2">
      <c r="D831" s="5"/>
    </row>
    <row r="832" spans="4:4" ht="12.75" x14ac:dyDescent="0.2">
      <c r="D832" s="5"/>
    </row>
    <row r="833" spans="4:4" ht="12.75" x14ac:dyDescent="0.2">
      <c r="D833" s="5"/>
    </row>
    <row r="834" spans="4:4" ht="12.75" x14ac:dyDescent="0.2">
      <c r="D834" s="5"/>
    </row>
    <row r="835" spans="4:4" ht="12.75" x14ac:dyDescent="0.2">
      <c r="D835" s="5"/>
    </row>
    <row r="836" spans="4:4" ht="12.75" x14ac:dyDescent="0.2">
      <c r="D836" s="5"/>
    </row>
    <row r="837" spans="4:4" ht="12.75" x14ac:dyDescent="0.2">
      <c r="D837" s="5"/>
    </row>
    <row r="838" spans="4:4" ht="12.75" x14ac:dyDescent="0.2">
      <c r="D838" s="5"/>
    </row>
    <row r="839" spans="4:4" ht="12.75" x14ac:dyDescent="0.2">
      <c r="D839" s="5"/>
    </row>
    <row r="840" spans="4:4" ht="12.75" x14ac:dyDescent="0.2">
      <c r="D840" s="5"/>
    </row>
    <row r="841" spans="4:4" ht="12.75" x14ac:dyDescent="0.2">
      <c r="D841" s="5"/>
    </row>
    <row r="842" spans="4:4" ht="12.75" x14ac:dyDescent="0.2">
      <c r="D842" s="5"/>
    </row>
    <row r="843" spans="4:4" ht="12.75" x14ac:dyDescent="0.2">
      <c r="D843" s="5"/>
    </row>
    <row r="844" spans="4:4" ht="12.75" x14ac:dyDescent="0.2">
      <c r="D844" s="5"/>
    </row>
    <row r="845" spans="4:4" ht="12.75" x14ac:dyDescent="0.2">
      <c r="D845" s="5"/>
    </row>
    <row r="846" spans="4:4" ht="12.75" x14ac:dyDescent="0.2">
      <c r="D846" s="5"/>
    </row>
    <row r="847" spans="4:4" ht="12.75" x14ac:dyDescent="0.2">
      <c r="D847" s="5"/>
    </row>
    <row r="848" spans="4:4" ht="12.75" x14ac:dyDescent="0.2">
      <c r="D848" s="5"/>
    </row>
    <row r="849" spans="4:4" ht="12.75" x14ac:dyDescent="0.2">
      <c r="D849" s="5"/>
    </row>
    <row r="850" spans="4:4" ht="12.75" x14ac:dyDescent="0.2">
      <c r="D850" s="5"/>
    </row>
    <row r="851" spans="4:4" ht="12.75" x14ac:dyDescent="0.2">
      <c r="D851" s="5"/>
    </row>
    <row r="852" spans="4:4" ht="12.75" x14ac:dyDescent="0.2">
      <c r="D852" s="5"/>
    </row>
    <row r="853" spans="4:4" ht="12.75" x14ac:dyDescent="0.2">
      <c r="D853" s="5"/>
    </row>
    <row r="854" spans="4:4" ht="12.75" x14ac:dyDescent="0.2">
      <c r="D854" s="5"/>
    </row>
    <row r="855" spans="4:4" ht="12.75" x14ac:dyDescent="0.2">
      <c r="D855" s="5"/>
    </row>
    <row r="856" spans="4:4" ht="12.75" x14ac:dyDescent="0.2">
      <c r="D856" s="5"/>
    </row>
    <row r="857" spans="4:4" ht="12.75" x14ac:dyDescent="0.2">
      <c r="D857" s="5"/>
    </row>
    <row r="858" spans="4:4" ht="12.75" x14ac:dyDescent="0.2">
      <c r="D858" s="5"/>
    </row>
    <row r="859" spans="4:4" ht="12.75" x14ac:dyDescent="0.2">
      <c r="D859" s="5"/>
    </row>
    <row r="860" spans="4:4" ht="12.75" x14ac:dyDescent="0.2">
      <c r="D860" s="5"/>
    </row>
    <row r="861" spans="4:4" ht="12.75" x14ac:dyDescent="0.2">
      <c r="D861" s="5"/>
    </row>
    <row r="862" spans="4:4" ht="12.75" x14ac:dyDescent="0.2">
      <c r="D862" s="5"/>
    </row>
    <row r="863" spans="4:4" ht="12.75" x14ac:dyDescent="0.2">
      <c r="D863" s="5"/>
    </row>
    <row r="864" spans="4:4" ht="12.75" x14ac:dyDescent="0.2">
      <c r="D864" s="5"/>
    </row>
    <row r="865" spans="4:4" ht="12.75" x14ac:dyDescent="0.2">
      <c r="D865" s="5"/>
    </row>
    <row r="866" spans="4:4" ht="12.75" x14ac:dyDescent="0.2">
      <c r="D866" s="5"/>
    </row>
    <row r="867" spans="4:4" ht="12.75" x14ac:dyDescent="0.2">
      <c r="D867" s="5"/>
    </row>
    <row r="868" spans="4:4" ht="12.75" x14ac:dyDescent="0.2">
      <c r="D868" s="5"/>
    </row>
    <row r="869" spans="4:4" ht="12.75" x14ac:dyDescent="0.2">
      <c r="D869" s="5"/>
    </row>
    <row r="870" spans="4:4" ht="12.75" x14ac:dyDescent="0.2">
      <c r="D870" s="5"/>
    </row>
    <row r="871" spans="4:4" ht="12.75" x14ac:dyDescent="0.2">
      <c r="D871" s="5"/>
    </row>
    <row r="872" spans="4:4" ht="12.75" x14ac:dyDescent="0.2">
      <c r="D872" s="5"/>
    </row>
    <row r="873" spans="4:4" ht="12.75" x14ac:dyDescent="0.2">
      <c r="D873" s="5"/>
    </row>
    <row r="874" spans="4:4" ht="12.75" x14ac:dyDescent="0.2">
      <c r="D874" s="5"/>
    </row>
    <row r="875" spans="4:4" ht="12.75" x14ac:dyDescent="0.2">
      <c r="D875" s="5"/>
    </row>
    <row r="876" spans="4:4" ht="12.75" x14ac:dyDescent="0.2">
      <c r="D876" s="5"/>
    </row>
    <row r="877" spans="4:4" ht="12.75" x14ac:dyDescent="0.2">
      <c r="D877" s="5"/>
    </row>
    <row r="878" spans="4:4" ht="12.75" x14ac:dyDescent="0.2">
      <c r="D878" s="5"/>
    </row>
    <row r="879" spans="4:4" ht="12.75" x14ac:dyDescent="0.2">
      <c r="D879" s="5"/>
    </row>
    <row r="880" spans="4:4" ht="12.75" x14ac:dyDescent="0.2">
      <c r="D880" s="5"/>
    </row>
    <row r="881" spans="4:4" ht="12.75" x14ac:dyDescent="0.2">
      <c r="D881" s="5"/>
    </row>
    <row r="882" spans="4:4" ht="12.75" x14ac:dyDescent="0.2">
      <c r="D882" s="5"/>
    </row>
    <row r="883" spans="4:4" ht="12.75" x14ac:dyDescent="0.2">
      <c r="D883" s="5"/>
    </row>
    <row r="884" spans="4:4" ht="12.75" x14ac:dyDescent="0.2">
      <c r="D884" s="5"/>
    </row>
    <row r="885" spans="4:4" ht="12.75" x14ac:dyDescent="0.2">
      <c r="D885" s="5"/>
    </row>
    <row r="886" spans="4:4" ht="12.75" x14ac:dyDescent="0.2">
      <c r="D886" s="5"/>
    </row>
    <row r="887" spans="4:4" ht="12.75" x14ac:dyDescent="0.2">
      <c r="D887" s="5"/>
    </row>
    <row r="888" spans="4:4" ht="12.75" x14ac:dyDescent="0.2">
      <c r="D888" s="5"/>
    </row>
    <row r="889" spans="4:4" ht="12.75" x14ac:dyDescent="0.2">
      <c r="D889" s="5"/>
    </row>
    <row r="890" spans="4:4" ht="12.75" x14ac:dyDescent="0.2">
      <c r="D890" s="5"/>
    </row>
    <row r="891" spans="4:4" ht="12.75" x14ac:dyDescent="0.2">
      <c r="D891" s="5"/>
    </row>
    <row r="892" spans="4:4" ht="12.75" x14ac:dyDescent="0.2">
      <c r="D892" s="5"/>
    </row>
    <row r="893" spans="4:4" ht="12.75" x14ac:dyDescent="0.2">
      <c r="D893" s="5"/>
    </row>
    <row r="894" spans="4:4" ht="12.75" x14ac:dyDescent="0.2">
      <c r="D894" s="5"/>
    </row>
    <row r="895" spans="4:4" ht="12.75" x14ac:dyDescent="0.2">
      <c r="D895" s="5"/>
    </row>
    <row r="896" spans="4:4" ht="12.75" x14ac:dyDescent="0.2">
      <c r="D896" s="5"/>
    </row>
    <row r="897" spans="4:4" ht="12.75" x14ac:dyDescent="0.2">
      <c r="D897" s="5"/>
    </row>
    <row r="898" spans="4:4" ht="12.75" x14ac:dyDescent="0.2">
      <c r="D898" s="5"/>
    </row>
    <row r="899" spans="4:4" ht="12.75" x14ac:dyDescent="0.2">
      <c r="D899" s="5"/>
    </row>
    <row r="900" spans="4:4" ht="12.75" x14ac:dyDescent="0.2">
      <c r="D900" s="5"/>
    </row>
    <row r="901" spans="4:4" ht="12.75" x14ac:dyDescent="0.2">
      <c r="D901" s="5"/>
    </row>
    <row r="902" spans="4:4" ht="12.75" x14ac:dyDescent="0.2">
      <c r="D902" s="5"/>
    </row>
    <row r="903" spans="4:4" ht="12.75" x14ac:dyDescent="0.2">
      <c r="D903" s="5"/>
    </row>
    <row r="904" spans="4:4" ht="12.75" x14ac:dyDescent="0.2">
      <c r="D904" s="5"/>
    </row>
    <row r="905" spans="4:4" ht="12.75" x14ac:dyDescent="0.2">
      <c r="D905" s="5"/>
    </row>
    <row r="906" spans="4:4" ht="12.75" x14ac:dyDescent="0.2">
      <c r="D906" s="5"/>
    </row>
    <row r="907" spans="4:4" ht="12.75" x14ac:dyDescent="0.2">
      <c r="D907" s="5"/>
    </row>
    <row r="908" spans="4:4" ht="12.75" x14ac:dyDescent="0.2">
      <c r="D908" s="5"/>
    </row>
    <row r="909" spans="4:4" ht="12.75" x14ac:dyDescent="0.2">
      <c r="D909" s="5"/>
    </row>
    <row r="910" spans="4:4" ht="12.75" x14ac:dyDescent="0.2">
      <c r="D910" s="5"/>
    </row>
    <row r="911" spans="4:4" ht="12.75" x14ac:dyDescent="0.2">
      <c r="D911" s="5"/>
    </row>
    <row r="912" spans="4:4" ht="12.75" x14ac:dyDescent="0.2">
      <c r="D912" s="5"/>
    </row>
    <row r="913" spans="4:4" ht="12.75" x14ac:dyDescent="0.2">
      <c r="D913" s="5"/>
    </row>
    <row r="914" spans="4:4" ht="12.75" x14ac:dyDescent="0.2">
      <c r="D914" s="5"/>
    </row>
    <row r="915" spans="4:4" ht="12.75" x14ac:dyDescent="0.2">
      <c r="D915" s="5"/>
    </row>
    <row r="916" spans="4:4" ht="12.75" x14ac:dyDescent="0.2">
      <c r="D916" s="5"/>
    </row>
    <row r="917" spans="4:4" ht="12.75" x14ac:dyDescent="0.2">
      <c r="D917" s="5"/>
    </row>
    <row r="918" spans="4:4" ht="12.75" x14ac:dyDescent="0.2">
      <c r="D918" s="5"/>
    </row>
    <row r="919" spans="4:4" ht="12.75" x14ac:dyDescent="0.2">
      <c r="D919" s="5"/>
    </row>
    <row r="920" spans="4:4" ht="12.75" x14ac:dyDescent="0.2">
      <c r="D920" s="5"/>
    </row>
    <row r="921" spans="4:4" ht="12.75" x14ac:dyDescent="0.2">
      <c r="D921" s="5"/>
    </row>
    <row r="922" spans="4:4" ht="12.75" x14ac:dyDescent="0.2">
      <c r="D922" s="5"/>
    </row>
    <row r="923" spans="4:4" ht="12.75" x14ac:dyDescent="0.2">
      <c r="D923" s="5"/>
    </row>
    <row r="924" spans="4:4" ht="12.75" x14ac:dyDescent="0.2">
      <c r="D924" s="5"/>
    </row>
    <row r="925" spans="4:4" ht="12.75" x14ac:dyDescent="0.2">
      <c r="D925" s="5"/>
    </row>
    <row r="926" spans="4:4" ht="12.75" x14ac:dyDescent="0.2">
      <c r="D926" s="5"/>
    </row>
    <row r="927" spans="4:4" ht="12.75" x14ac:dyDescent="0.2">
      <c r="D927" s="5"/>
    </row>
    <row r="928" spans="4:4" ht="12.75" x14ac:dyDescent="0.2">
      <c r="D928" s="5"/>
    </row>
    <row r="929" spans="4:4" ht="12.75" x14ac:dyDescent="0.2">
      <c r="D929" s="5"/>
    </row>
    <row r="930" spans="4:4" ht="12.75" x14ac:dyDescent="0.2">
      <c r="D930" s="5"/>
    </row>
    <row r="931" spans="4:4" ht="12.75" x14ac:dyDescent="0.2">
      <c r="D931" s="5"/>
    </row>
    <row r="932" spans="4:4" ht="12.75" x14ac:dyDescent="0.2">
      <c r="D932" s="5"/>
    </row>
    <row r="933" spans="4:4" ht="12.75" x14ac:dyDescent="0.2">
      <c r="D933" s="5"/>
    </row>
    <row r="934" spans="4:4" ht="12.75" x14ac:dyDescent="0.2">
      <c r="D934" s="5"/>
    </row>
    <row r="935" spans="4:4" ht="12.75" x14ac:dyDescent="0.2">
      <c r="D935" s="5"/>
    </row>
    <row r="936" spans="4:4" ht="12.75" x14ac:dyDescent="0.2">
      <c r="D936" s="5"/>
    </row>
    <row r="937" spans="4:4" ht="12.75" x14ac:dyDescent="0.2">
      <c r="D937" s="5"/>
    </row>
    <row r="938" spans="4:4" ht="12.75" x14ac:dyDescent="0.2">
      <c r="D938" s="5"/>
    </row>
    <row r="939" spans="4:4" ht="12.75" x14ac:dyDescent="0.2">
      <c r="D939" s="5"/>
    </row>
    <row r="940" spans="4:4" ht="12.75" x14ac:dyDescent="0.2">
      <c r="D940" s="5"/>
    </row>
    <row r="941" spans="4:4" ht="12.75" x14ac:dyDescent="0.2">
      <c r="D941" s="5"/>
    </row>
    <row r="942" spans="4:4" ht="12.75" x14ac:dyDescent="0.2">
      <c r="D942" s="5"/>
    </row>
    <row r="943" spans="4:4" ht="12.75" x14ac:dyDescent="0.2">
      <c r="D943" s="5"/>
    </row>
    <row r="944" spans="4:4" ht="12.75" x14ac:dyDescent="0.2">
      <c r="D944" s="5"/>
    </row>
    <row r="945" spans="4:4" ht="12.75" x14ac:dyDescent="0.2">
      <c r="D945" s="5"/>
    </row>
    <row r="946" spans="4:4" ht="12.75" x14ac:dyDescent="0.2">
      <c r="D946" s="5"/>
    </row>
    <row r="947" spans="4:4" ht="12.75" x14ac:dyDescent="0.2">
      <c r="D947" s="5"/>
    </row>
    <row r="948" spans="4:4" ht="12.75" x14ac:dyDescent="0.2">
      <c r="D948" s="5"/>
    </row>
    <row r="949" spans="4:4" ht="12.75" x14ac:dyDescent="0.2">
      <c r="D949" s="5"/>
    </row>
    <row r="950" spans="4:4" ht="12.75" x14ac:dyDescent="0.2">
      <c r="D950" s="5"/>
    </row>
    <row r="951" spans="4:4" ht="12.75" x14ac:dyDescent="0.2">
      <c r="D951" s="5"/>
    </row>
    <row r="952" spans="4:4" ht="12.75" x14ac:dyDescent="0.2">
      <c r="D952" s="5"/>
    </row>
    <row r="953" spans="4:4" ht="12.75" x14ac:dyDescent="0.2">
      <c r="D953" s="5"/>
    </row>
    <row r="954" spans="4:4" ht="12.75" x14ac:dyDescent="0.2">
      <c r="D954" s="5"/>
    </row>
    <row r="955" spans="4:4" ht="12.75" x14ac:dyDescent="0.2">
      <c r="D955" s="5"/>
    </row>
    <row r="956" spans="4:4" ht="12.75" x14ac:dyDescent="0.2">
      <c r="D956" s="5"/>
    </row>
    <row r="957" spans="4:4" ht="12.75" x14ac:dyDescent="0.2">
      <c r="D957" s="5"/>
    </row>
    <row r="958" spans="4:4" ht="12.75" x14ac:dyDescent="0.2">
      <c r="D958" s="5"/>
    </row>
    <row r="959" spans="4:4" ht="12.75" x14ac:dyDescent="0.2">
      <c r="D959" s="5"/>
    </row>
    <row r="960" spans="4:4" ht="12.75" x14ac:dyDescent="0.2">
      <c r="D960" s="5"/>
    </row>
    <row r="961" spans="4:4" ht="12.75" x14ac:dyDescent="0.2">
      <c r="D961" s="5"/>
    </row>
    <row r="962" spans="4:4" ht="12.75" x14ac:dyDescent="0.2">
      <c r="D962" s="5"/>
    </row>
    <row r="963" spans="4:4" ht="12.75" x14ac:dyDescent="0.2">
      <c r="D963" s="5"/>
    </row>
    <row r="964" spans="4:4" ht="12.75" x14ac:dyDescent="0.2">
      <c r="D964" s="5"/>
    </row>
    <row r="965" spans="4:4" ht="12.75" x14ac:dyDescent="0.2">
      <c r="D965" s="5"/>
    </row>
    <row r="966" spans="4:4" ht="12.75" x14ac:dyDescent="0.2">
      <c r="D966" s="5"/>
    </row>
    <row r="967" spans="4:4" ht="12.75" x14ac:dyDescent="0.2">
      <c r="D967" s="5"/>
    </row>
    <row r="968" spans="4:4" ht="12.75" x14ac:dyDescent="0.2">
      <c r="D968" s="5"/>
    </row>
    <row r="969" spans="4:4" ht="12.75" x14ac:dyDescent="0.2">
      <c r="D969" s="5"/>
    </row>
    <row r="970" spans="4:4" ht="12.75" x14ac:dyDescent="0.2">
      <c r="D970" s="5"/>
    </row>
    <row r="971" spans="4:4" ht="12.75" x14ac:dyDescent="0.2">
      <c r="D971" s="5"/>
    </row>
    <row r="972" spans="4:4" ht="12.75" x14ac:dyDescent="0.2">
      <c r="D972" s="5"/>
    </row>
    <row r="973" spans="4:4" ht="12.75" x14ac:dyDescent="0.2">
      <c r="D973" s="5"/>
    </row>
    <row r="974" spans="4:4" ht="12.75" x14ac:dyDescent="0.2">
      <c r="D974" s="5"/>
    </row>
    <row r="975" spans="4:4" ht="12.75" x14ac:dyDescent="0.2">
      <c r="D975" s="5"/>
    </row>
    <row r="976" spans="4:4" ht="12.75" x14ac:dyDescent="0.2">
      <c r="D976" s="5"/>
    </row>
    <row r="977" spans="4:4" ht="12.75" x14ac:dyDescent="0.2">
      <c r="D977" s="5"/>
    </row>
    <row r="978" spans="4:4" ht="12.75" x14ac:dyDescent="0.2">
      <c r="D978" s="5"/>
    </row>
    <row r="979" spans="4:4" ht="12.75" x14ac:dyDescent="0.2">
      <c r="D979" s="5"/>
    </row>
    <row r="980" spans="4:4" ht="12.75" x14ac:dyDescent="0.2">
      <c r="D980" s="5"/>
    </row>
    <row r="981" spans="4:4" ht="12.75" x14ac:dyDescent="0.2">
      <c r="D981" s="5"/>
    </row>
    <row r="982" spans="4:4" ht="12.75" x14ac:dyDescent="0.2">
      <c r="D982" s="5"/>
    </row>
    <row r="983" spans="4:4" ht="12.75" x14ac:dyDescent="0.2">
      <c r="D983" s="5"/>
    </row>
    <row r="984" spans="4:4" ht="12.75" x14ac:dyDescent="0.2">
      <c r="D984" s="5"/>
    </row>
    <row r="985" spans="4:4" ht="12.75" x14ac:dyDescent="0.2">
      <c r="D985" s="5"/>
    </row>
    <row r="986" spans="4:4" ht="12.75" x14ac:dyDescent="0.2">
      <c r="D986" s="5"/>
    </row>
    <row r="987" spans="4:4" ht="12.75" x14ac:dyDescent="0.2">
      <c r="D987" s="5"/>
    </row>
    <row r="988" spans="4:4" ht="12.75" x14ac:dyDescent="0.2">
      <c r="D988" s="5"/>
    </row>
    <row r="989" spans="4:4" ht="12.75" x14ac:dyDescent="0.2">
      <c r="D989" s="5"/>
    </row>
    <row r="990" spans="4:4" ht="12.75" x14ac:dyDescent="0.2">
      <c r="D990" s="5"/>
    </row>
    <row r="991" spans="4:4" ht="12.75" x14ac:dyDescent="0.2">
      <c r="D991" s="5"/>
    </row>
    <row r="992" spans="4:4" ht="12.75" x14ac:dyDescent="0.2">
      <c r="D992" s="5"/>
    </row>
    <row r="993" spans="4:4" ht="12.75" x14ac:dyDescent="0.2">
      <c r="D993" s="5"/>
    </row>
    <row r="994" spans="4:4" ht="12.75" x14ac:dyDescent="0.2">
      <c r="D994" s="5"/>
    </row>
    <row r="995" spans="4:4" ht="12.75" x14ac:dyDescent="0.2">
      <c r="D995" s="5"/>
    </row>
    <row r="996" spans="4:4" ht="12.75" x14ac:dyDescent="0.2">
      <c r="D996" s="5"/>
    </row>
    <row r="997" spans="4:4" ht="12.75" x14ac:dyDescent="0.2">
      <c r="D997" s="5"/>
    </row>
    <row r="998" spans="4:4" ht="12.75" x14ac:dyDescent="0.2">
      <c r="D998" s="5"/>
    </row>
    <row r="999" spans="4:4" ht="12.75" x14ac:dyDescent="0.2">
      <c r="D999" s="5"/>
    </row>
    <row r="1000" spans="4:4" ht="12.75" x14ac:dyDescent="0.2">
      <c r="D100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92"/>
  <sheetViews>
    <sheetView workbookViewId="0"/>
  </sheetViews>
  <sheetFormatPr defaultColWidth="12.7109375" defaultRowHeight="15.75" customHeight="1" x14ac:dyDescent="0.2"/>
  <cols>
    <col min="1" max="1" width="9.140625" customWidth="1"/>
    <col min="2" max="2" width="7.42578125" customWidth="1"/>
    <col min="3" max="3" width="4.85546875" customWidth="1"/>
    <col min="4" max="4" width="7.28515625" customWidth="1"/>
    <col min="9" max="9" width="22.28515625" customWidth="1"/>
  </cols>
  <sheetData>
    <row r="1" spans="1:21" ht="15.75" customHeight="1" x14ac:dyDescent="0.25">
      <c r="A1" s="13" t="s">
        <v>612</v>
      </c>
      <c r="B1" s="13" t="s">
        <v>613</v>
      </c>
      <c r="C1" s="13" t="s">
        <v>614</v>
      </c>
      <c r="D1" s="13" t="s">
        <v>615</v>
      </c>
      <c r="E1" s="13" t="s">
        <v>616</v>
      </c>
      <c r="F1" s="13" t="s">
        <v>617</v>
      </c>
      <c r="G1" s="13" t="s">
        <v>616</v>
      </c>
      <c r="H1" s="13" t="s">
        <v>618</v>
      </c>
      <c r="I1" s="13" t="s">
        <v>619</v>
      </c>
      <c r="J1" s="13" t="s">
        <v>14</v>
      </c>
      <c r="K1" s="13" t="s">
        <v>620</v>
      </c>
      <c r="L1" s="13" t="s">
        <v>621</v>
      </c>
      <c r="M1" s="13" t="s">
        <v>622</v>
      </c>
      <c r="N1" s="13" t="s">
        <v>623</v>
      </c>
      <c r="O1" s="13" t="s">
        <v>624</v>
      </c>
      <c r="P1" s="14"/>
      <c r="T1" s="14"/>
      <c r="U1" s="14"/>
    </row>
    <row r="2" spans="1:21" ht="15.75" customHeight="1" x14ac:dyDescent="0.25">
      <c r="A2" s="15">
        <v>45090</v>
      </c>
      <c r="B2" s="4">
        <v>59</v>
      </c>
      <c r="C2" s="14" t="s">
        <v>625</v>
      </c>
      <c r="D2" s="14" t="s">
        <v>626</v>
      </c>
      <c r="E2" s="16">
        <v>13.1</v>
      </c>
      <c r="F2" s="16">
        <v>450.12</v>
      </c>
      <c r="G2" s="14">
        <v>13.05</v>
      </c>
      <c r="H2" s="14">
        <v>326.2</v>
      </c>
      <c r="I2" s="14"/>
      <c r="J2" s="14"/>
      <c r="K2" s="15">
        <v>45100</v>
      </c>
      <c r="L2" s="16">
        <v>12.5</v>
      </c>
      <c r="M2" s="16">
        <v>661.77</v>
      </c>
      <c r="N2" s="14"/>
      <c r="O2" s="14"/>
      <c r="P2" s="14"/>
      <c r="T2" s="14"/>
      <c r="U2" s="14"/>
    </row>
    <row r="3" spans="1:21" ht="15.75" customHeight="1" x14ac:dyDescent="0.25">
      <c r="A3" s="15">
        <v>45090</v>
      </c>
      <c r="B3" s="4">
        <v>58</v>
      </c>
      <c r="C3" s="14" t="s">
        <v>625</v>
      </c>
      <c r="D3" s="14" t="s">
        <v>627</v>
      </c>
      <c r="E3" s="16">
        <v>12.89</v>
      </c>
      <c r="F3" s="16">
        <v>449.37</v>
      </c>
      <c r="G3" s="14">
        <v>0</v>
      </c>
      <c r="H3" s="14">
        <v>325.86</v>
      </c>
      <c r="I3" s="14"/>
      <c r="J3" s="14"/>
      <c r="K3" s="15">
        <v>45099</v>
      </c>
      <c r="L3" s="16">
        <v>13.08</v>
      </c>
      <c r="M3" s="16">
        <v>579.73</v>
      </c>
      <c r="N3" s="14"/>
      <c r="O3" s="14"/>
      <c r="P3" s="14"/>
      <c r="T3" s="14"/>
      <c r="U3" s="14"/>
    </row>
    <row r="4" spans="1:21" ht="15.75" customHeight="1" x14ac:dyDescent="0.25">
      <c r="A4" s="15">
        <v>45090</v>
      </c>
      <c r="B4" s="4">
        <v>75</v>
      </c>
      <c r="C4" s="14" t="s">
        <v>625</v>
      </c>
      <c r="D4" s="14" t="s">
        <v>628</v>
      </c>
      <c r="E4" s="16">
        <v>12.94</v>
      </c>
      <c r="F4" s="16">
        <v>380.23</v>
      </c>
      <c r="G4" s="14">
        <v>12.8</v>
      </c>
      <c r="H4" s="14">
        <v>325.94</v>
      </c>
      <c r="I4" s="14"/>
      <c r="J4" s="14"/>
      <c r="K4" s="15">
        <v>45100</v>
      </c>
      <c r="L4" s="16">
        <v>12.28</v>
      </c>
      <c r="M4" s="16">
        <v>581.89</v>
      </c>
      <c r="N4" s="14"/>
      <c r="O4" s="14"/>
      <c r="P4" s="14"/>
      <c r="T4" s="14"/>
      <c r="U4" s="14"/>
    </row>
    <row r="5" spans="1:21" ht="15.75" customHeight="1" x14ac:dyDescent="0.25">
      <c r="A5" s="15">
        <v>45090</v>
      </c>
      <c r="B5" s="4">
        <v>77</v>
      </c>
      <c r="C5" s="14" t="s">
        <v>625</v>
      </c>
      <c r="D5" s="14" t="s">
        <v>629</v>
      </c>
      <c r="E5" s="16">
        <v>12.91</v>
      </c>
      <c r="F5" s="16">
        <v>369.67</v>
      </c>
      <c r="G5" s="14">
        <v>15.36</v>
      </c>
      <c r="H5" s="14">
        <v>320.22000000000003</v>
      </c>
      <c r="I5" s="14"/>
      <c r="J5" s="14"/>
      <c r="K5" s="15">
        <v>45100</v>
      </c>
      <c r="L5" s="16">
        <v>13.16</v>
      </c>
      <c r="M5" s="16">
        <v>537.84</v>
      </c>
      <c r="N5" s="14"/>
      <c r="O5" s="14"/>
      <c r="P5" s="14"/>
      <c r="T5" s="14"/>
      <c r="U5" s="14"/>
    </row>
    <row r="6" spans="1:21" ht="15.75" customHeight="1" x14ac:dyDescent="0.25">
      <c r="A6" s="15">
        <v>45090</v>
      </c>
      <c r="B6" s="4">
        <v>76</v>
      </c>
      <c r="C6" s="14" t="s">
        <v>625</v>
      </c>
      <c r="D6" s="14" t="s">
        <v>630</v>
      </c>
      <c r="E6" s="16">
        <v>12.72</v>
      </c>
      <c r="F6" s="16">
        <v>416.82</v>
      </c>
      <c r="G6" s="14">
        <v>12.96</v>
      </c>
      <c r="H6" s="14">
        <v>325.27</v>
      </c>
      <c r="I6" s="14"/>
      <c r="J6" s="14"/>
      <c r="K6" s="15">
        <v>45099</v>
      </c>
      <c r="L6" s="16">
        <v>11.51</v>
      </c>
      <c r="M6" s="16">
        <v>375.23</v>
      </c>
      <c r="N6" s="14"/>
      <c r="O6" s="14"/>
      <c r="P6" s="14"/>
      <c r="T6" s="14"/>
      <c r="U6" s="14"/>
    </row>
    <row r="7" spans="1:21" ht="15.75" customHeight="1" x14ac:dyDescent="0.25">
      <c r="A7" s="15">
        <v>45090</v>
      </c>
      <c r="B7" s="4">
        <v>78</v>
      </c>
      <c r="C7" s="14" t="s">
        <v>631</v>
      </c>
      <c r="D7" s="14" t="s">
        <v>626</v>
      </c>
      <c r="E7" s="16">
        <v>12.88</v>
      </c>
      <c r="F7" s="16">
        <v>380.33</v>
      </c>
      <c r="G7" s="14">
        <v>14.13</v>
      </c>
      <c r="H7" s="14">
        <v>325.29000000000002</v>
      </c>
      <c r="I7" s="14"/>
      <c r="J7" s="14"/>
      <c r="K7" s="15">
        <v>45100</v>
      </c>
      <c r="L7" s="16">
        <v>12.22</v>
      </c>
      <c r="M7" s="16">
        <v>326.02999999999997</v>
      </c>
      <c r="N7" s="14"/>
      <c r="O7" s="14"/>
      <c r="P7" s="14"/>
      <c r="T7" s="14"/>
      <c r="U7" s="14"/>
    </row>
    <row r="8" spans="1:21" ht="15.75" customHeight="1" x14ac:dyDescent="0.25">
      <c r="A8" s="15">
        <v>45090</v>
      </c>
      <c r="B8" s="4">
        <v>79</v>
      </c>
      <c r="C8" s="14" t="s">
        <v>631</v>
      </c>
      <c r="D8" s="14" t="s">
        <v>627</v>
      </c>
      <c r="E8" s="16">
        <v>13</v>
      </c>
      <c r="F8" s="16">
        <v>449.28</v>
      </c>
      <c r="G8" s="14">
        <v>0</v>
      </c>
      <c r="H8" s="14">
        <v>325.42</v>
      </c>
      <c r="I8" s="14"/>
      <c r="J8" s="14"/>
      <c r="K8" s="15">
        <v>45098</v>
      </c>
      <c r="L8" s="16">
        <v>0</v>
      </c>
      <c r="M8" s="16">
        <v>395.56</v>
      </c>
      <c r="N8" s="14"/>
      <c r="O8" s="14"/>
      <c r="P8" s="14"/>
      <c r="T8" s="14"/>
      <c r="U8" s="14"/>
    </row>
    <row r="9" spans="1:21" ht="15.75" customHeight="1" x14ac:dyDescent="0.25">
      <c r="A9" s="15">
        <v>45090</v>
      </c>
      <c r="B9" s="4">
        <v>70</v>
      </c>
      <c r="C9" s="14" t="s">
        <v>631</v>
      </c>
      <c r="D9" s="14" t="s">
        <v>628</v>
      </c>
      <c r="E9" s="16">
        <v>13.1</v>
      </c>
      <c r="F9" s="16">
        <v>354.25</v>
      </c>
      <c r="G9" s="14">
        <v>16.510000000000002</v>
      </c>
      <c r="H9" s="14">
        <v>325.92</v>
      </c>
      <c r="I9" s="14"/>
      <c r="J9" s="14"/>
      <c r="K9" s="15">
        <v>45100</v>
      </c>
      <c r="L9" s="16">
        <v>11.42</v>
      </c>
      <c r="M9" s="16">
        <v>443.15</v>
      </c>
      <c r="N9" s="14"/>
      <c r="O9" s="14"/>
      <c r="P9" s="14"/>
      <c r="T9" s="14"/>
      <c r="U9" s="14"/>
    </row>
    <row r="10" spans="1:21" ht="15.75" customHeight="1" x14ac:dyDescent="0.25">
      <c r="A10" s="15">
        <v>45090</v>
      </c>
      <c r="B10" s="4">
        <v>69</v>
      </c>
      <c r="C10" s="14" t="s">
        <v>631</v>
      </c>
      <c r="D10" s="14" t="s">
        <v>629</v>
      </c>
      <c r="E10" s="16">
        <v>13.05</v>
      </c>
      <c r="F10" s="16">
        <v>356.24</v>
      </c>
      <c r="G10" s="14">
        <v>17.059999999999999</v>
      </c>
      <c r="H10" s="14">
        <v>327.10000000000002</v>
      </c>
      <c r="I10" s="14"/>
      <c r="J10" s="14"/>
      <c r="K10" s="15">
        <v>45100</v>
      </c>
      <c r="L10" s="16">
        <v>12.33</v>
      </c>
      <c r="M10" s="16">
        <v>516.25</v>
      </c>
      <c r="N10" s="14"/>
      <c r="O10" s="14"/>
      <c r="P10" s="14"/>
      <c r="T10" s="14"/>
      <c r="U10" s="14"/>
    </row>
    <row r="11" spans="1:21" ht="15.75" customHeight="1" x14ac:dyDescent="0.25">
      <c r="A11" s="15">
        <v>45090</v>
      </c>
      <c r="B11" s="4">
        <v>44</v>
      </c>
      <c r="C11" s="14" t="s">
        <v>631</v>
      </c>
      <c r="D11" s="14" t="s">
        <v>630</v>
      </c>
      <c r="E11" s="16">
        <v>12.94</v>
      </c>
      <c r="F11" s="16">
        <v>448.27</v>
      </c>
      <c r="G11" s="14">
        <v>0</v>
      </c>
      <c r="H11" s="14">
        <v>325.74</v>
      </c>
      <c r="I11" s="14"/>
      <c r="J11" s="14"/>
      <c r="K11" s="15">
        <v>45099</v>
      </c>
      <c r="L11" s="16">
        <v>12.91</v>
      </c>
      <c r="M11" s="16">
        <v>816.66</v>
      </c>
      <c r="N11" s="14"/>
      <c r="O11" s="14"/>
      <c r="P11" s="14"/>
      <c r="T11" s="14"/>
      <c r="U11" s="14"/>
    </row>
    <row r="12" spans="1:21" ht="15.75" customHeight="1" x14ac:dyDescent="0.25">
      <c r="A12" s="15">
        <v>45090</v>
      </c>
      <c r="B12" s="4">
        <v>47</v>
      </c>
      <c r="C12" s="14" t="s">
        <v>632</v>
      </c>
      <c r="D12" s="14" t="s">
        <v>626</v>
      </c>
      <c r="E12" s="16">
        <v>12.95</v>
      </c>
      <c r="F12" s="16">
        <v>453.03</v>
      </c>
      <c r="G12" s="14">
        <v>0</v>
      </c>
      <c r="H12" s="14">
        <v>325.14</v>
      </c>
      <c r="I12" s="14"/>
      <c r="J12" s="14"/>
      <c r="K12" s="15">
        <v>45098</v>
      </c>
      <c r="L12" s="16">
        <v>0</v>
      </c>
      <c r="M12" s="16">
        <v>286.45999999999998</v>
      </c>
      <c r="N12" s="14"/>
      <c r="O12" s="14"/>
      <c r="P12" s="14"/>
      <c r="T12" s="14"/>
      <c r="U12" s="14"/>
    </row>
    <row r="13" spans="1:21" ht="15.75" customHeight="1" x14ac:dyDescent="0.25">
      <c r="A13" s="15">
        <v>45090</v>
      </c>
      <c r="B13" s="4">
        <v>57</v>
      </c>
      <c r="C13" s="14" t="s">
        <v>632</v>
      </c>
      <c r="D13" s="14" t="s">
        <v>627</v>
      </c>
      <c r="E13" s="16">
        <v>13.17</v>
      </c>
      <c r="F13" s="16">
        <v>446.25</v>
      </c>
      <c r="G13" s="14">
        <v>0</v>
      </c>
      <c r="H13" s="14">
        <v>325.52999999999997</v>
      </c>
      <c r="I13" s="14"/>
      <c r="J13" s="14"/>
      <c r="K13" s="15">
        <v>45099</v>
      </c>
      <c r="L13" s="16">
        <v>11.62</v>
      </c>
      <c r="M13" s="16">
        <v>561.64</v>
      </c>
      <c r="N13" s="14"/>
      <c r="O13" s="14"/>
      <c r="P13" s="14"/>
      <c r="T13" s="14"/>
      <c r="U13" s="14"/>
    </row>
    <row r="14" spans="1:21" ht="15.75" customHeight="1" x14ac:dyDescent="0.25">
      <c r="A14" s="15">
        <v>45090</v>
      </c>
      <c r="B14" s="4">
        <v>48</v>
      </c>
      <c r="C14" s="14" t="s">
        <v>632</v>
      </c>
      <c r="D14" s="14" t="s">
        <v>628</v>
      </c>
      <c r="E14" s="16">
        <v>13.17</v>
      </c>
      <c r="F14" s="16">
        <v>452.57</v>
      </c>
      <c r="G14" s="14">
        <v>0</v>
      </c>
      <c r="H14" s="14">
        <v>325.17</v>
      </c>
      <c r="I14" s="14"/>
      <c r="J14" s="14"/>
      <c r="K14" s="15">
        <v>45099</v>
      </c>
      <c r="L14" s="16">
        <v>12.6</v>
      </c>
      <c r="M14" s="16">
        <v>430.78</v>
      </c>
      <c r="N14" s="14"/>
      <c r="O14" s="14"/>
      <c r="P14" s="14"/>
      <c r="T14" s="14"/>
      <c r="U14" s="14"/>
    </row>
    <row r="15" spans="1:21" ht="15.75" customHeight="1" x14ac:dyDescent="0.25">
      <c r="A15" s="15">
        <v>45090</v>
      </c>
      <c r="B15" s="4">
        <v>74</v>
      </c>
      <c r="C15" s="14" t="s">
        <v>632</v>
      </c>
      <c r="D15" s="14" t="s">
        <v>629</v>
      </c>
      <c r="E15" s="16">
        <v>13.08</v>
      </c>
      <c r="F15" s="16">
        <v>440.47</v>
      </c>
      <c r="G15" s="14">
        <v>14.48</v>
      </c>
      <c r="H15" s="14">
        <v>325.27999999999997</v>
      </c>
      <c r="I15" s="14"/>
      <c r="J15" s="14"/>
      <c r="K15" s="15">
        <v>45099</v>
      </c>
      <c r="L15" s="16">
        <v>11.11</v>
      </c>
      <c r="M15" s="16">
        <v>416.66</v>
      </c>
      <c r="N15" s="14"/>
      <c r="O15" s="14"/>
      <c r="P15" s="14"/>
      <c r="T15" s="14"/>
      <c r="U15" s="14"/>
    </row>
    <row r="16" spans="1:21" ht="15" x14ac:dyDescent="0.25">
      <c r="A16" s="15">
        <v>45090</v>
      </c>
      <c r="B16" s="4">
        <v>87</v>
      </c>
      <c r="C16" s="14" t="s">
        <v>632</v>
      </c>
      <c r="D16" s="14" t="s">
        <v>630</v>
      </c>
      <c r="E16" s="16">
        <v>12.92</v>
      </c>
      <c r="F16" s="16">
        <v>452.6</v>
      </c>
      <c r="G16" s="14">
        <v>12.68</v>
      </c>
      <c r="H16" s="14">
        <v>300.66000000000003</v>
      </c>
      <c r="I16" s="14"/>
      <c r="J16" s="14"/>
      <c r="K16" s="15">
        <v>45099</v>
      </c>
      <c r="L16" s="16">
        <v>11.64</v>
      </c>
      <c r="M16" s="16">
        <v>390.65</v>
      </c>
      <c r="N16" s="14"/>
      <c r="O16" s="14"/>
      <c r="P16" s="14"/>
      <c r="T16" s="14"/>
      <c r="U16" s="14"/>
    </row>
    <row r="17" spans="1:21" ht="15" x14ac:dyDescent="0.25">
      <c r="A17" s="15">
        <v>45090</v>
      </c>
      <c r="B17" s="4">
        <v>49</v>
      </c>
      <c r="C17" s="14" t="s">
        <v>633</v>
      </c>
      <c r="D17" s="14" t="s">
        <v>626</v>
      </c>
      <c r="E17" s="16">
        <v>12.82</v>
      </c>
      <c r="F17" s="16">
        <v>450.07</v>
      </c>
      <c r="G17" s="14">
        <v>0</v>
      </c>
      <c r="H17" s="14">
        <v>325.73</v>
      </c>
      <c r="I17" s="14"/>
      <c r="J17" s="14"/>
      <c r="K17" s="15">
        <v>45098</v>
      </c>
      <c r="L17" s="16">
        <v>10.87</v>
      </c>
      <c r="M17" s="16">
        <v>360.2</v>
      </c>
      <c r="N17" s="14"/>
      <c r="O17" s="14"/>
      <c r="P17" s="14"/>
      <c r="T17" s="14"/>
      <c r="U17" s="14"/>
    </row>
    <row r="18" spans="1:21" ht="15" x14ac:dyDescent="0.25">
      <c r="A18" s="15">
        <v>45090</v>
      </c>
      <c r="B18" s="4">
        <v>86</v>
      </c>
      <c r="C18" s="14" t="s">
        <v>633</v>
      </c>
      <c r="D18" s="14" t="s">
        <v>627</v>
      </c>
      <c r="E18" s="16">
        <v>13.16</v>
      </c>
      <c r="F18" s="16">
        <v>447.96</v>
      </c>
      <c r="G18" s="14">
        <v>13.9</v>
      </c>
      <c r="H18" s="14">
        <v>300.20999999999998</v>
      </c>
      <c r="I18" s="14"/>
      <c r="J18" s="14"/>
      <c r="K18" s="15">
        <v>45100</v>
      </c>
      <c r="L18" s="16">
        <v>11.88</v>
      </c>
      <c r="M18" s="16">
        <v>361.74</v>
      </c>
      <c r="N18" s="14"/>
      <c r="O18" s="14"/>
      <c r="P18" s="14"/>
      <c r="T18" s="14"/>
      <c r="U18" s="14"/>
    </row>
    <row r="19" spans="1:21" ht="15" x14ac:dyDescent="0.25">
      <c r="A19" s="15">
        <v>45090</v>
      </c>
      <c r="B19" s="4">
        <v>73</v>
      </c>
      <c r="C19" s="14" t="s">
        <v>633</v>
      </c>
      <c r="D19" s="14" t="s">
        <v>628</v>
      </c>
      <c r="E19" s="16">
        <v>12.86</v>
      </c>
      <c r="F19" s="16">
        <v>452.52</v>
      </c>
      <c r="G19" s="14">
        <v>14.15</v>
      </c>
      <c r="H19" s="14">
        <v>325.33</v>
      </c>
      <c r="I19" s="14"/>
      <c r="J19" s="14"/>
      <c r="K19" s="15">
        <v>45100</v>
      </c>
      <c r="L19" s="16">
        <v>15.35</v>
      </c>
      <c r="M19" s="16">
        <v>374.98</v>
      </c>
      <c r="N19" s="14"/>
      <c r="O19" s="14"/>
      <c r="P19" s="14"/>
      <c r="T19" s="14"/>
      <c r="U19" s="14"/>
    </row>
    <row r="20" spans="1:21" ht="15" x14ac:dyDescent="0.25">
      <c r="A20" s="15">
        <v>45090</v>
      </c>
      <c r="B20" s="4">
        <v>60</v>
      </c>
      <c r="C20" s="14" t="s">
        <v>633</v>
      </c>
      <c r="D20" s="14" t="s">
        <v>629</v>
      </c>
      <c r="E20" s="16">
        <v>13.22</v>
      </c>
      <c r="F20" s="16">
        <v>455.29</v>
      </c>
      <c r="G20" s="14">
        <v>13.32</v>
      </c>
      <c r="H20" s="14">
        <v>300.99</v>
      </c>
      <c r="I20" s="14"/>
      <c r="J20" s="14"/>
      <c r="K20" s="15">
        <v>45098</v>
      </c>
      <c r="L20" s="16">
        <v>10.81</v>
      </c>
      <c r="M20" s="16">
        <v>441.76</v>
      </c>
      <c r="N20" s="14"/>
      <c r="O20" s="14"/>
      <c r="P20" s="14"/>
      <c r="T20" s="14"/>
      <c r="U20" s="14"/>
    </row>
    <row r="21" spans="1:21" ht="15" x14ac:dyDescent="0.25">
      <c r="A21" s="15">
        <v>45090</v>
      </c>
      <c r="B21" s="4">
        <v>46</v>
      </c>
      <c r="C21" s="14" t="s">
        <v>633</v>
      </c>
      <c r="D21" s="14" t="s">
        <v>630</v>
      </c>
      <c r="E21" s="16">
        <v>13.13</v>
      </c>
      <c r="F21" s="16">
        <v>449.8</v>
      </c>
      <c r="G21" s="14">
        <v>0</v>
      </c>
      <c r="H21" s="14">
        <v>325.23</v>
      </c>
      <c r="I21" s="14"/>
      <c r="J21" s="14"/>
      <c r="K21" s="15">
        <v>45100</v>
      </c>
      <c r="L21" s="16">
        <v>11.05</v>
      </c>
      <c r="M21" s="16">
        <v>295.77999999999997</v>
      </c>
      <c r="N21" s="14"/>
      <c r="O21" s="14"/>
      <c r="P21" s="14"/>
      <c r="T21" s="14"/>
      <c r="U21" s="14"/>
    </row>
    <row r="22" spans="1:21" ht="15" x14ac:dyDescent="0.25">
      <c r="A22" s="15">
        <v>45091</v>
      </c>
      <c r="B22" s="4">
        <v>89</v>
      </c>
      <c r="C22" s="14" t="s">
        <v>634</v>
      </c>
      <c r="D22" s="14" t="s">
        <v>626</v>
      </c>
      <c r="E22" s="16">
        <v>12.83</v>
      </c>
      <c r="F22" s="16">
        <v>371.54</v>
      </c>
      <c r="G22" s="14">
        <v>0</v>
      </c>
      <c r="H22" s="14">
        <v>325.2</v>
      </c>
      <c r="I22" s="14"/>
      <c r="J22" s="14"/>
      <c r="K22" s="15">
        <v>45100</v>
      </c>
      <c r="L22" s="16">
        <v>11.73</v>
      </c>
      <c r="M22" s="16">
        <v>341.84</v>
      </c>
      <c r="N22" s="14"/>
      <c r="O22" s="14"/>
      <c r="P22" s="14"/>
      <c r="T22" s="14"/>
      <c r="U22" s="14"/>
    </row>
    <row r="23" spans="1:21" ht="15" x14ac:dyDescent="0.25">
      <c r="A23" s="15">
        <v>45091</v>
      </c>
      <c r="B23" s="4">
        <v>51</v>
      </c>
      <c r="C23" s="14" t="s">
        <v>634</v>
      </c>
      <c r="D23" s="14" t="s">
        <v>627</v>
      </c>
      <c r="E23" s="16">
        <v>12.9</v>
      </c>
      <c r="F23" s="16">
        <v>456.51</v>
      </c>
      <c r="G23" s="14">
        <v>0</v>
      </c>
      <c r="H23" s="14">
        <v>325.48</v>
      </c>
      <c r="I23" s="14"/>
      <c r="J23" s="14"/>
      <c r="K23" s="15">
        <v>45100</v>
      </c>
      <c r="L23" s="16">
        <v>11.21</v>
      </c>
      <c r="M23" s="16">
        <v>501.92</v>
      </c>
      <c r="N23" s="14"/>
      <c r="O23" s="14"/>
      <c r="P23" s="14"/>
      <c r="T23" s="14"/>
      <c r="U23" s="14"/>
    </row>
    <row r="24" spans="1:21" ht="15" x14ac:dyDescent="0.25">
      <c r="A24" s="15">
        <v>45091</v>
      </c>
      <c r="B24" s="4">
        <v>45</v>
      </c>
      <c r="C24" s="14" t="s">
        <v>634</v>
      </c>
      <c r="D24" s="14" t="s">
        <v>628</v>
      </c>
      <c r="E24" s="16">
        <v>12.96</v>
      </c>
      <c r="F24" s="16">
        <v>450.57</v>
      </c>
      <c r="G24" s="14">
        <v>0</v>
      </c>
      <c r="H24" s="14">
        <v>325.52</v>
      </c>
      <c r="I24" s="14"/>
      <c r="J24" s="14"/>
      <c r="K24" s="15">
        <v>45100</v>
      </c>
      <c r="L24" s="16">
        <v>11.58</v>
      </c>
      <c r="M24" s="16">
        <v>504.93</v>
      </c>
      <c r="N24" s="14"/>
      <c r="O24" s="14"/>
      <c r="P24" s="14"/>
      <c r="T24" s="14"/>
      <c r="U24" s="14"/>
    </row>
    <row r="25" spans="1:21" ht="15" x14ac:dyDescent="0.25">
      <c r="A25" s="15">
        <v>45091</v>
      </c>
      <c r="B25" s="4">
        <v>42</v>
      </c>
      <c r="C25" s="14" t="s">
        <v>634</v>
      </c>
      <c r="D25" s="14" t="s">
        <v>629</v>
      </c>
      <c r="E25" s="16">
        <v>13.16</v>
      </c>
      <c r="F25" s="16">
        <v>448.92</v>
      </c>
      <c r="G25" s="14">
        <v>0</v>
      </c>
      <c r="H25" s="14">
        <v>325.18</v>
      </c>
      <c r="I25" s="14"/>
      <c r="J25" s="14"/>
      <c r="K25" s="15">
        <v>45100</v>
      </c>
      <c r="L25" s="16">
        <v>11.41</v>
      </c>
      <c r="M25" s="16">
        <v>580.09</v>
      </c>
      <c r="N25" s="14"/>
      <c r="O25" s="14"/>
      <c r="P25" s="14"/>
      <c r="T25" s="14"/>
      <c r="U25" s="14"/>
    </row>
    <row r="26" spans="1:21" ht="15" x14ac:dyDescent="0.25">
      <c r="A26" s="15">
        <v>45091</v>
      </c>
      <c r="B26" s="4">
        <v>83</v>
      </c>
      <c r="C26" s="14" t="s">
        <v>634</v>
      </c>
      <c r="D26" s="14" t="s">
        <v>630</v>
      </c>
      <c r="E26" s="16">
        <v>12.8</v>
      </c>
      <c r="F26" s="16">
        <v>467.43</v>
      </c>
      <c r="G26" s="14">
        <v>14.07</v>
      </c>
      <c r="H26" s="14">
        <v>322.67</v>
      </c>
      <c r="I26" s="14"/>
      <c r="J26" s="14"/>
      <c r="K26" s="15">
        <v>45100</v>
      </c>
      <c r="L26" s="16">
        <v>11.49</v>
      </c>
      <c r="M26" s="16">
        <v>377.9</v>
      </c>
      <c r="N26" s="14"/>
      <c r="O26" s="14"/>
      <c r="P26" s="14"/>
      <c r="T26" s="14"/>
      <c r="U26" s="14"/>
    </row>
    <row r="27" spans="1:21" ht="15" x14ac:dyDescent="0.25">
      <c r="A27" s="15">
        <v>45091</v>
      </c>
      <c r="B27" s="4">
        <v>56</v>
      </c>
      <c r="C27" s="14" t="s">
        <v>635</v>
      </c>
      <c r="D27" s="14" t="s">
        <v>626</v>
      </c>
      <c r="E27" s="16">
        <v>12.93</v>
      </c>
      <c r="F27" s="16">
        <v>406.82</v>
      </c>
      <c r="G27" s="14">
        <v>13.98</v>
      </c>
      <c r="H27" s="14">
        <v>325.02</v>
      </c>
      <c r="I27" s="14"/>
      <c r="J27" s="14"/>
      <c r="K27" s="15">
        <v>45100</v>
      </c>
      <c r="L27" s="16">
        <v>10.44</v>
      </c>
      <c r="M27" s="16">
        <v>312.56</v>
      </c>
      <c r="N27" s="14"/>
      <c r="O27" s="14"/>
      <c r="P27" s="14"/>
      <c r="T27" s="14"/>
      <c r="U27" s="14"/>
    </row>
    <row r="28" spans="1:21" ht="15" x14ac:dyDescent="0.25">
      <c r="A28" s="15">
        <v>45091</v>
      </c>
      <c r="B28" s="4">
        <v>84</v>
      </c>
      <c r="C28" s="14" t="s">
        <v>635</v>
      </c>
      <c r="D28" s="14" t="s">
        <v>627</v>
      </c>
      <c r="E28" s="16">
        <v>12.96</v>
      </c>
      <c r="F28" s="16">
        <v>448.95</v>
      </c>
      <c r="G28" s="14">
        <v>13.93</v>
      </c>
      <c r="H28" s="14">
        <v>300.7</v>
      </c>
      <c r="I28" s="14"/>
      <c r="J28" s="14"/>
      <c r="K28" s="15">
        <v>45098</v>
      </c>
      <c r="L28" s="16">
        <v>10.210000000000001</v>
      </c>
      <c r="M28" s="16">
        <v>341.42</v>
      </c>
      <c r="N28" s="14"/>
      <c r="O28" s="14"/>
      <c r="P28" s="14"/>
      <c r="T28" s="14"/>
      <c r="U28" s="14"/>
    </row>
    <row r="29" spans="1:21" ht="15" x14ac:dyDescent="0.25">
      <c r="A29" s="15">
        <v>45091</v>
      </c>
      <c r="B29" s="4">
        <v>82</v>
      </c>
      <c r="C29" s="14" t="s">
        <v>635</v>
      </c>
      <c r="D29" s="14" t="s">
        <v>628</v>
      </c>
      <c r="E29" s="16">
        <v>12.93</v>
      </c>
      <c r="F29" s="16">
        <v>398.29</v>
      </c>
      <c r="G29" s="14">
        <v>14.27</v>
      </c>
      <c r="H29" s="14">
        <v>322.68</v>
      </c>
      <c r="I29" s="14"/>
      <c r="J29" s="14"/>
      <c r="K29" s="15">
        <v>45100</v>
      </c>
      <c r="L29" s="16">
        <v>11.33</v>
      </c>
      <c r="M29" s="16">
        <v>391.51</v>
      </c>
      <c r="N29" s="14"/>
      <c r="O29" s="14"/>
      <c r="P29" s="14"/>
      <c r="T29" s="14"/>
      <c r="U29" s="14"/>
    </row>
    <row r="30" spans="1:21" ht="15" x14ac:dyDescent="0.25">
      <c r="A30" s="15">
        <v>45091</v>
      </c>
      <c r="B30" s="4">
        <v>81</v>
      </c>
      <c r="C30" s="14" t="s">
        <v>635</v>
      </c>
      <c r="D30" s="14" t="s">
        <v>629</v>
      </c>
      <c r="E30" s="16">
        <v>12.95</v>
      </c>
      <c r="F30" s="16">
        <v>399.32</v>
      </c>
      <c r="G30" s="14">
        <v>14.42</v>
      </c>
      <c r="H30" s="14">
        <v>320.33</v>
      </c>
      <c r="I30" s="14"/>
      <c r="J30" s="14"/>
      <c r="K30" s="15">
        <v>45100</v>
      </c>
      <c r="L30" s="16">
        <v>11.07</v>
      </c>
      <c r="M30" s="16">
        <v>543.66999999999996</v>
      </c>
      <c r="N30" s="14"/>
      <c r="O30" s="14"/>
      <c r="P30" s="14"/>
      <c r="T30" s="14"/>
      <c r="U30" s="14"/>
    </row>
    <row r="31" spans="1:21" ht="15" x14ac:dyDescent="0.25">
      <c r="A31" s="15">
        <v>45091</v>
      </c>
      <c r="B31" s="4">
        <v>53</v>
      </c>
      <c r="C31" s="14" t="s">
        <v>635</v>
      </c>
      <c r="D31" s="14" t="s">
        <v>630</v>
      </c>
      <c r="E31" s="16">
        <v>12.94</v>
      </c>
      <c r="F31" s="16">
        <v>454.17</v>
      </c>
      <c r="G31" s="14">
        <v>0</v>
      </c>
      <c r="H31" s="14">
        <v>325.48</v>
      </c>
      <c r="I31" s="14"/>
      <c r="J31" s="14"/>
      <c r="K31" s="15">
        <v>45098</v>
      </c>
      <c r="L31" s="16">
        <v>10.57</v>
      </c>
      <c r="M31" s="16">
        <v>434.42</v>
      </c>
      <c r="N31" s="14"/>
      <c r="O31" s="14"/>
      <c r="P31" s="14"/>
      <c r="T31" s="14"/>
      <c r="U31" s="14"/>
    </row>
    <row r="32" spans="1:21" ht="15" x14ac:dyDescent="0.25">
      <c r="A32" s="15">
        <v>45089</v>
      </c>
      <c r="B32" s="4">
        <v>61</v>
      </c>
      <c r="C32" s="14" t="s">
        <v>636</v>
      </c>
      <c r="D32" s="14" t="s">
        <v>626</v>
      </c>
      <c r="E32" s="16">
        <v>12.79</v>
      </c>
      <c r="F32" s="16">
        <v>443.59</v>
      </c>
      <c r="G32" s="4">
        <v>13.3</v>
      </c>
      <c r="H32" s="4">
        <v>301.82</v>
      </c>
      <c r="I32" s="14"/>
      <c r="J32" s="14"/>
      <c r="K32" s="15">
        <v>45100</v>
      </c>
      <c r="L32" s="16">
        <v>10.210000000000001</v>
      </c>
      <c r="M32" s="16">
        <v>259.54000000000002</v>
      </c>
      <c r="N32" s="14"/>
      <c r="O32" s="14"/>
      <c r="P32" s="14"/>
      <c r="T32" s="14"/>
      <c r="U32" s="14"/>
    </row>
    <row r="33" spans="1:21" ht="15" x14ac:dyDescent="0.25">
      <c r="A33" s="15">
        <v>45089</v>
      </c>
      <c r="B33" s="4">
        <v>85</v>
      </c>
      <c r="C33" s="14" t="s">
        <v>636</v>
      </c>
      <c r="D33" s="14" t="s">
        <v>627</v>
      </c>
      <c r="E33" s="16">
        <v>12.94</v>
      </c>
      <c r="F33" s="16">
        <v>450.37</v>
      </c>
      <c r="G33" s="14">
        <v>12.19</v>
      </c>
      <c r="H33" s="14">
        <v>300.48</v>
      </c>
      <c r="I33" s="14"/>
      <c r="J33" s="14"/>
      <c r="K33" s="15">
        <v>45099</v>
      </c>
      <c r="L33" s="16">
        <v>12.2</v>
      </c>
      <c r="M33" s="16">
        <v>386.14</v>
      </c>
      <c r="N33" s="14"/>
      <c r="O33" s="14"/>
      <c r="P33" s="14"/>
      <c r="T33" s="14"/>
      <c r="U33" s="14"/>
    </row>
    <row r="34" spans="1:21" ht="15" x14ac:dyDescent="0.25">
      <c r="A34" s="15">
        <v>45089</v>
      </c>
      <c r="B34" s="4">
        <v>62</v>
      </c>
      <c r="C34" s="14" t="s">
        <v>636</v>
      </c>
      <c r="D34" s="14" t="s">
        <v>628</v>
      </c>
      <c r="E34" s="16">
        <v>12.87</v>
      </c>
      <c r="F34" s="16">
        <v>489.57</v>
      </c>
      <c r="G34" s="14">
        <v>13.03</v>
      </c>
      <c r="H34" s="14">
        <v>299.58999999999997</v>
      </c>
      <c r="I34" s="14"/>
      <c r="J34" s="14"/>
      <c r="K34" s="15">
        <v>45100</v>
      </c>
      <c r="L34" s="16">
        <v>12.36</v>
      </c>
      <c r="M34" s="16">
        <v>673.15</v>
      </c>
      <c r="N34" s="14"/>
      <c r="O34" s="14"/>
      <c r="P34" s="14"/>
      <c r="T34" s="14"/>
      <c r="U34" s="14"/>
    </row>
    <row r="35" spans="1:21" ht="15" x14ac:dyDescent="0.25">
      <c r="A35" s="15">
        <v>45089</v>
      </c>
      <c r="B35" s="4">
        <v>64</v>
      </c>
      <c r="C35" s="14" t="s">
        <v>636</v>
      </c>
      <c r="D35" s="14" t="s">
        <v>629</v>
      </c>
      <c r="E35" s="16">
        <v>12.88</v>
      </c>
      <c r="F35" s="16">
        <v>455.24</v>
      </c>
      <c r="G35" s="14">
        <v>13.81</v>
      </c>
      <c r="H35" s="14">
        <v>326.70999999999998</v>
      </c>
      <c r="I35" s="14"/>
      <c r="J35" s="14"/>
      <c r="K35" s="15">
        <v>45100</v>
      </c>
      <c r="L35" s="16">
        <v>11.1</v>
      </c>
      <c r="M35" s="16">
        <v>416.29</v>
      </c>
      <c r="N35" s="14"/>
      <c r="O35" s="14"/>
      <c r="P35" s="14"/>
      <c r="T35" s="14"/>
      <c r="U35" s="14"/>
    </row>
    <row r="36" spans="1:21" ht="15" x14ac:dyDescent="0.25">
      <c r="A36" s="15">
        <v>45089</v>
      </c>
      <c r="B36" s="4">
        <v>63</v>
      </c>
      <c r="C36" s="14" t="s">
        <v>636</v>
      </c>
      <c r="D36" s="14" t="s">
        <v>630</v>
      </c>
      <c r="E36" s="16">
        <v>12.73</v>
      </c>
      <c r="F36" s="16">
        <v>451.66</v>
      </c>
      <c r="G36" s="14">
        <v>0</v>
      </c>
      <c r="H36" s="14">
        <v>325.18</v>
      </c>
      <c r="I36" s="14"/>
      <c r="J36" s="14"/>
      <c r="K36" s="15">
        <v>45100</v>
      </c>
      <c r="L36" s="16">
        <v>10.45</v>
      </c>
      <c r="M36" s="16">
        <v>406.95</v>
      </c>
      <c r="N36" s="14"/>
      <c r="O36" s="14"/>
      <c r="P36" s="14"/>
      <c r="T36" s="14"/>
      <c r="U36" s="14"/>
    </row>
    <row r="37" spans="1:21" ht="15" x14ac:dyDescent="0.25">
      <c r="A37" s="15">
        <v>45091</v>
      </c>
      <c r="B37" s="4">
        <v>68</v>
      </c>
      <c r="C37" s="14" t="s">
        <v>637</v>
      </c>
      <c r="D37" s="14" t="s">
        <v>626</v>
      </c>
      <c r="E37" s="16">
        <v>12.85</v>
      </c>
      <c r="F37" s="16">
        <v>367.45</v>
      </c>
      <c r="G37" s="14">
        <v>13.89</v>
      </c>
      <c r="H37" s="14">
        <v>325.7</v>
      </c>
      <c r="I37" s="14"/>
      <c r="J37" s="14"/>
      <c r="K37" s="15">
        <v>45100</v>
      </c>
      <c r="L37" s="16">
        <v>10.58</v>
      </c>
      <c r="M37" s="16">
        <v>230.1</v>
      </c>
      <c r="N37" s="14"/>
      <c r="O37" s="14"/>
      <c r="P37" s="14"/>
      <c r="T37" s="14"/>
      <c r="U37" s="14"/>
    </row>
    <row r="38" spans="1:21" ht="15" x14ac:dyDescent="0.25">
      <c r="A38" s="15">
        <v>45090</v>
      </c>
      <c r="B38" s="4">
        <v>67</v>
      </c>
      <c r="C38" s="14" t="s">
        <v>637</v>
      </c>
      <c r="D38" s="14" t="s">
        <v>627</v>
      </c>
      <c r="E38" s="16">
        <v>12.99</v>
      </c>
      <c r="F38" s="16">
        <v>461.23</v>
      </c>
      <c r="G38" s="14">
        <v>16.96</v>
      </c>
      <c r="H38" s="14">
        <v>326.16000000000003</v>
      </c>
      <c r="I38" s="14"/>
      <c r="J38" s="14"/>
      <c r="K38" s="15">
        <v>45100</v>
      </c>
      <c r="L38" s="16">
        <v>11.82</v>
      </c>
      <c r="M38" s="16">
        <v>289.32</v>
      </c>
      <c r="N38" s="14"/>
      <c r="O38" s="14"/>
      <c r="P38" s="14"/>
      <c r="T38" s="14"/>
      <c r="U38" s="14"/>
    </row>
    <row r="39" spans="1:21" ht="15" x14ac:dyDescent="0.25">
      <c r="A39" s="15">
        <v>45091</v>
      </c>
      <c r="B39" s="4">
        <v>66</v>
      </c>
      <c r="C39" s="14" t="s">
        <v>637</v>
      </c>
      <c r="D39" s="14" t="s">
        <v>628</v>
      </c>
      <c r="E39" s="16">
        <v>12.85</v>
      </c>
      <c r="F39" s="16">
        <v>482.4</v>
      </c>
      <c r="G39" s="14">
        <v>0</v>
      </c>
      <c r="H39" s="14">
        <v>325.88</v>
      </c>
      <c r="I39" s="14"/>
      <c r="J39" s="14"/>
      <c r="K39" s="15">
        <v>45100</v>
      </c>
      <c r="L39" s="16">
        <v>9.83</v>
      </c>
      <c r="M39" s="16">
        <v>683.72</v>
      </c>
      <c r="N39" s="14"/>
      <c r="O39" s="14"/>
      <c r="P39" s="14"/>
      <c r="T39" s="14"/>
      <c r="U39" s="14"/>
    </row>
    <row r="40" spans="1:21" ht="15" x14ac:dyDescent="0.25">
      <c r="A40" s="15">
        <v>45090</v>
      </c>
      <c r="B40" s="4">
        <v>65</v>
      </c>
      <c r="C40" s="14" t="s">
        <v>637</v>
      </c>
      <c r="D40" s="14" t="s">
        <v>629</v>
      </c>
      <c r="E40" s="16">
        <v>12.94</v>
      </c>
      <c r="F40" s="16">
        <v>451.63</v>
      </c>
      <c r="G40" s="14">
        <v>13.86</v>
      </c>
      <c r="H40" s="14">
        <v>326.5</v>
      </c>
      <c r="I40" s="14"/>
      <c r="J40" s="14"/>
      <c r="K40" s="15">
        <v>45100</v>
      </c>
      <c r="L40" s="16">
        <v>11.27</v>
      </c>
      <c r="M40" s="16">
        <v>589.48</v>
      </c>
      <c r="N40" s="14"/>
      <c r="O40" s="14"/>
      <c r="P40" s="14"/>
      <c r="T40" s="14"/>
      <c r="U40" s="14"/>
    </row>
    <row r="41" spans="1:21" ht="15" x14ac:dyDescent="0.25">
      <c r="A41" s="15">
        <v>45090</v>
      </c>
      <c r="B41" s="4">
        <v>80</v>
      </c>
      <c r="C41" s="14" t="s">
        <v>637</v>
      </c>
      <c r="D41" s="14" t="s">
        <v>630</v>
      </c>
      <c r="E41" s="16">
        <v>13.11</v>
      </c>
      <c r="F41" s="16">
        <v>451.61</v>
      </c>
      <c r="G41" s="14">
        <v>15.34</v>
      </c>
      <c r="H41" s="14">
        <v>325.45999999999998</v>
      </c>
      <c r="I41" s="14"/>
      <c r="J41" s="14"/>
      <c r="K41" s="15">
        <v>45100</v>
      </c>
      <c r="L41" s="16">
        <v>10.32</v>
      </c>
      <c r="M41" s="16">
        <v>312.01</v>
      </c>
      <c r="N41" s="14"/>
      <c r="O41" s="14"/>
      <c r="P41" s="14"/>
      <c r="T41" s="14"/>
      <c r="U41" s="14"/>
    </row>
    <row r="42" spans="1:21" ht="15" x14ac:dyDescent="0.25">
      <c r="A42" s="15">
        <v>45090</v>
      </c>
      <c r="B42" s="4">
        <v>43</v>
      </c>
      <c r="C42" s="14" t="s">
        <v>638</v>
      </c>
      <c r="D42" s="14" t="s">
        <v>626</v>
      </c>
      <c r="E42" s="16">
        <v>12.97</v>
      </c>
      <c r="F42" s="16">
        <v>446.81</v>
      </c>
      <c r="G42" s="14">
        <v>0</v>
      </c>
      <c r="H42" s="14">
        <v>325.2</v>
      </c>
      <c r="I42" s="14"/>
      <c r="J42" s="14"/>
      <c r="K42" s="15">
        <v>45100</v>
      </c>
      <c r="L42" s="16">
        <v>11.11</v>
      </c>
      <c r="M42" s="16">
        <v>365.16</v>
      </c>
      <c r="N42" s="14"/>
      <c r="O42" s="14"/>
      <c r="P42" s="14"/>
      <c r="T42" s="14"/>
      <c r="U42" s="14"/>
    </row>
    <row r="43" spans="1:21" ht="15" x14ac:dyDescent="0.25">
      <c r="A43" s="15">
        <v>45090</v>
      </c>
      <c r="B43" s="4">
        <v>54</v>
      </c>
      <c r="C43" s="14" t="s">
        <v>638</v>
      </c>
      <c r="D43" s="14" t="s">
        <v>627</v>
      </c>
      <c r="E43" s="16">
        <v>13.28</v>
      </c>
      <c r="F43" s="16">
        <v>443.23</v>
      </c>
      <c r="G43" s="14">
        <v>0</v>
      </c>
      <c r="H43" s="14">
        <v>325.23</v>
      </c>
      <c r="I43" s="14"/>
      <c r="J43" s="14"/>
      <c r="K43" s="15">
        <v>45099</v>
      </c>
      <c r="L43" s="16">
        <v>10.71</v>
      </c>
      <c r="M43" s="16">
        <v>401.11</v>
      </c>
      <c r="N43" s="14"/>
      <c r="O43" s="14"/>
      <c r="P43" s="14"/>
      <c r="T43" s="14"/>
      <c r="U43" s="14"/>
    </row>
    <row r="44" spans="1:21" ht="15" x14ac:dyDescent="0.25">
      <c r="A44" s="15">
        <v>45090</v>
      </c>
      <c r="B44" s="4">
        <v>50</v>
      </c>
      <c r="C44" s="14" t="s">
        <v>638</v>
      </c>
      <c r="D44" s="14" t="s">
        <v>628</v>
      </c>
      <c r="E44" s="16">
        <v>13.1</v>
      </c>
      <c r="F44" s="16">
        <v>456</v>
      </c>
      <c r="G44" s="14">
        <v>0</v>
      </c>
      <c r="H44" s="14">
        <v>325.19</v>
      </c>
      <c r="I44" s="14"/>
      <c r="J44" s="14"/>
      <c r="K44" s="15">
        <v>45098</v>
      </c>
      <c r="L44" s="16">
        <v>10.59</v>
      </c>
      <c r="M44" s="16">
        <v>491.43</v>
      </c>
      <c r="N44" s="14"/>
      <c r="O44" s="14"/>
      <c r="P44" s="14"/>
      <c r="T44" s="14"/>
      <c r="U44" s="14"/>
    </row>
    <row r="45" spans="1:21" ht="15" x14ac:dyDescent="0.25">
      <c r="A45" s="15">
        <v>45090</v>
      </c>
      <c r="B45" s="4">
        <v>90</v>
      </c>
      <c r="C45" s="14" t="s">
        <v>638</v>
      </c>
      <c r="D45" s="14" t="s">
        <v>629</v>
      </c>
      <c r="E45" s="16">
        <v>13.03</v>
      </c>
      <c r="F45" s="16">
        <v>399.06</v>
      </c>
      <c r="G45" s="14">
        <v>0</v>
      </c>
      <c r="H45" s="14">
        <v>322.47000000000003</v>
      </c>
      <c r="I45" s="14"/>
      <c r="J45" s="14" t="s">
        <v>639</v>
      </c>
      <c r="K45" s="15">
        <v>45099</v>
      </c>
      <c r="L45" s="16">
        <v>10</v>
      </c>
      <c r="M45" s="16">
        <v>161.13</v>
      </c>
      <c r="N45" s="14"/>
      <c r="O45" s="14"/>
      <c r="P45" s="14"/>
      <c r="T45" s="14"/>
      <c r="U45" s="14"/>
    </row>
    <row r="46" spans="1:21" ht="15" x14ac:dyDescent="0.25">
      <c r="A46" s="15">
        <v>45090</v>
      </c>
      <c r="B46" s="4">
        <v>88</v>
      </c>
      <c r="C46" s="14" t="s">
        <v>638</v>
      </c>
      <c r="D46" s="14" t="s">
        <v>630</v>
      </c>
      <c r="E46" s="16">
        <v>12.92</v>
      </c>
      <c r="F46" s="16">
        <v>442.37</v>
      </c>
      <c r="G46" s="14">
        <v>12.53</v>
      </c>
      <c r="H46" s="14">
        <v>325.97000000000003</v>
      </c>
      <c r="I46" s="14"/>
      <c r="J46" s="14"/>
      <c r="K46" s="15">
        <v>45100</v>
      </c>
      <c r="L46" s="16">
        <v>10.57</v>
      </c>
      <c r="M46" s="16">
        <v>263.02999999999997</v>
      </c>
      <c r="N46" s="14"/>
      <c r="O46" s="14"/>
      <c r="P46" s="14"/>
      <c r="T46" s="14"/>
      <c r="U46" s="14"/>
    </row>
    <row r="47" spans="1:21" ht="15" x14ac:dyDescent="0.25">
      <c r="A47" s="15">
        <v>45091</v>
      </c>
      <c r="B47" s="4">
        <v>72</v>
      </c>
      <c r="C47" s="14" t="s">
        <v>640</v>
      </c>
      <c r="D47" s="14" t="s">
        <v>626</v>
      </c>
      <c r="E47" s="16">
        <v>12.93</v>
      </c>
      <c r="F47" s="16">
        <v>448.33</v>
      </c>
      <c r="G47" s="14">
        <v>14.12</v>
      </c>
      <c r="H47" s="14">
        <v>325.07</v>
      </c>
      <c r="I47" s="14"/>
      <c r="J47" s="14"/>
      <c r="K47" s="15">
        <v>45099</v>
      </c>
      <c r="L47" s="16">
        <v>12.77</v>
      </c>
      <c r="M47" s="16">
        <v>526.32000000000005</v>
      </c>
      <c r="N47" s="14"/>
      <c r="O47" s="14"/>
      <c r="P47" s="14"/>
      <c r="T47" s="14"/>
      <c r="U47" s="14"/>
    </row>
    <row r="48" spans="1:21" ht="15" x14ac:dyDescent="0.25">
      <c r="A48" s="15">
        <v>45091</v>
      </c>
      <c r="B48" s="4">
        <v>29</v>
      </c>
      <c r="C48" s="14" t="s">
        <v>640</v>
      </c>
      <c r="D48" s="14" t="s">
        <v>627</v>
      </c>
      <c r="E48" s="16">
        <v>12.92</v>
      </c>
      <c r="F48" s="16">
        <v>413.07</v>
      </c>
      <c r="G48" s="14">
        <v>0</v>
      </c>
      <c r="H48" s="14">
        <v>325.08</v>
      </c>
      <c r="I48" s="14"/>
      <c r="J48" s="14"/>
      <c r="K48" s="15">
        <v>45099</v>
      </c>
      <c r="L48" s="16">
        <v>12.42</v>
      </c>
      <c r="M48" s="16">
        <v>463.88</v>
      </c>
      <c r="N48" s="14"/>
      <c r="O48" s="14"/>
      <c r="P48" s="14"/>
      <c r="T48" s="14"/>
      <c r="U48" s="14"/>
    </row>
    <row r="49" spans="1:21" ht="15" x14ac:dyDescent="0.25">
      <c r="A49" s="15">
        <v>45091</v>
      </c>
      <c r="B49" s="4">
        <v>71</v>
      </c>
      <c r="C49" s="14" t="s">
        <v>640</v>
      </c>
      <c r="D49" s="14" t="s">
        <v>628</v>
      </c>
      <c r="E49" s="16">
        <v>13.14</v>
      </c>
      <c r="F49" s="16">
        <v>452.59</v>
      </c>
      <c r="G49" s="14">
        <v>14.81</v>
      </c>
      <c r="H49" s="14">
        <v>300.14999999999998</v>
      </c>
      <c r="I49" s="14"/>
      <c r="J49" s="14"/>
      <c r="K49" s="15">
        <v>45099</v>
      </c>
      <c r="L49" s="16">
        <v>12.54</v>
      </c>
      <c r="M49" s="16">
        <v>623.57000000000005</v>
      </c>
      <c r="N49" s="14"/>
      <c r="O49" s="14"/>
      <c r="P49" s="14"/>
      <c r="T49" s="14"/>
      <c r="U49" s="14"/>
    </row>
    <row r="50" spans="1:21" ht="15" x14ac:dyDescent="0.25">
      <c r="A50" s="15">
        <v>45091</v>
      </c>
      <c r="B50" s="4">
        <v>25</v>
      </c>
      <c r="C50" s="14" t="s">
        <v>640</v>
      </c>
      <c r="D50" s="14" t="s">
        <v>629</v>
      </c>
      <c r="E50" s="16">
        <v>12.8</v>
      </c>
      <c r="F50" s="16">
        <v>412</v>
      </c>
      <c r="G50" s="14">
        <v>0</v>
      </c>
      <c r="H50" s="14">
        <v>325.44</v>
      </c>
      <c r="I50" s="14"/>
      <c r="J50" s="14"/>
      <c r="K50" s="15">
        <v>45099</v>
      </c>
      <c r="L50" s="16">
        <v>13.17</v>
      </c>
      <c r="M50" s="16">
        <v>1051.1500000000001</v>
      </c>
      <c r="N50" s="14"/>
      <c r="O50" s="14"/>
      <c r="P50" s="14"/>
      <c r="T50" s="14"/>
      <c r="U50" s="14"/>
    </row>
    <row r="51" spans="1:21" ht="15" x14ac:dyDescent="0.25">
      <c r="A51" s="15">
        <v>45091</v>
      </c>
      <c r="B51" s="4">
        <v>24</v>
      </c>
      <c r="C51" s="14" t="s">
        <v>640</v>
      </c>
      <c r="D51" s="14" t="s">
        <v>630</v>
      </c>
      <c r="E51" s="16">
        <v>12.78</v>
      </c>
      <c r="F51" s="16">
        <v>367.27</v>
      </c>
      <c r="G51" s="14">
        <v>0</v>
      </c>
      <c r="H51" s="14">
        <v>325.51</v>
      </c>
      <c r="I51" s="14"/>
      <c r="J51" s="14"/>
      <c r="K51" s="15">
        <v>45099</v>
      </c>
      <c r="L51" s="16">
        <v>12.11</v>
      </c>
      <c r="M51" s="16">
        <v>517.64</v>
      </c>
      <c r="N51" s="14"/>
      <c r="O51" s="14"/>
      <c r="P51" s="14"/>
      <c r="T51" s="14"/>
      <c r="U51" s="14"/>
    </row>
    <row r="52" spans="1:21" ht="15" x14ac:dyDescent="0.25">
      <c r="A52" s="15">
        <v>45091</v>
      </c>
      <c r="B52" s="4">
        <v>21</v>
      </c>
      <c r="C52" s="14" t="s">
        <v>641</v>
      </c>
      <c r="D52" s="14" t="s">
        <v>626</v>
      </c>
      <c r="E52" s="16">
        <v>13.09</v>
      </c>
      <c r="F52" s="16">
        <v>449.6</v>
      </c>
      <c r="G52" s="14">
        <v>12.95</v>
      </c>
      <c r="H52" s="14">
        <v>300.25</v>
      </c>
      <c r="I52" s="14"/>
      <c r="J52" s="14"/>
      <c r="K52" s="15">
        <v>45098</v>
      </c>
      <c r="L52" s="16">
        <v>0</v>
      </c>
      <c r="M52" s="16">
        <v>138.06</v>
      </c>
      <c r="N52" s="14"/>
      <c r="O52" s="14"/>
      <c r="P52" s="14"/>
      <c r="T52" s="14"/>
      <c r="U52" s="14"/>
    </row>
    <row r="53" spans="1:21" ht="15" x14ac:dyDescent="0.25">
      <c r="A53" s="15">
        <v>45091</v>
      </c>
      <c r="B53" s="4">
        <v>26</v>
      </c>
      <c r="C53" s="14" t="s">
        <v>641</v>
      </c>
      <c r="D53" s="14" t="s">
        <v>627</v>
      </c>
      <c r="E53" s="16">
        <v>13.22</v>
      </c>
      <c r="F53" s="16">
        <v>436.37</v>
      </c>
      <c r="G53" s="14">
        <v>0</v>
      </c>
      <c r="H53" s="14">
        <v>325.25</v>
      </c>
      <c r="I53" s="14"/>
      <c r="J53" s="14"/>
      <c r="K53" s="15">
        <v>45098</v>
      </c>
      <c r="L53" s="16">
        <v>12.1</v>
      </c>
      <c r="M53" s="16">
        <v>596.45000000000005</v>
      </c>
      <c r="N53" s="14"/>
      <c r="O53" s="14"/>
      <c r="P53" s="14"/>
      <c r="T53" s="14"/>
      <c r="U53" s="14"/>
    </row>
    <row r="54" spans="1:21" ht="15" x14ac:dyDescent="0.25">
      <c r="A54" s="15">
        <v>45091</v>
      </c>
      <c r="B54" s="4">
        <v>40</v>
      </c>
      <c r="C54" s="14" t="s">
        <v>641</v>
      </c>
      <c r="D54" s="14" t="s">
        <v>628</v>
      </c>
      <c r="E54" s="16">
        <v>13.02</v>
      </c>
      <c r="F54" s="16">
        <v>449.52</v>
      </c>
      <c r="G54" s="14">
        <v>12.67</v>
      </c>
      <c r="H54" s="14">
        <v>325.10000000000002</v>
      </c>
      <c r="I54" s="14"/>
      <c r="J54" s="14" t="s">
        <v>642</v>
      </c>
      <c r="K54" s="15">
        <v>45100</v>
      </c>
      <c r="L54" s="16">
        <v>22.63</v>
      </c>
      <c r="M54" s="16">
        <v>484.74</v>
      </c>
      <c r="N54" s="14"/>
      <c r="O54" s="14"/>
      <c r="P54" s="14"/>
      <c r="T54" s="14"/>
      <c r="U54" s="14"/>
    </row>
    <row r="55" spans="1:21" ht="15" x14ac:dyDescent="0.25">
      <c r="A55" s="15">
        <v>45091</v>
      </c>
      <c r="B55" s="4">
        <v>38</v>
      </c>
      <c r="C55" s="14" t="s">
        <v>641</v>
      </c>
      <c r="D55" s="14" t="s">
        <v>629</v>
      </c>
      <c r="E55" s="16">
        <v>13.15</v>
      </c>
      <c r="F55" s="16">
        <v>448.31</v>
      </c>
      <c r="G55" s="14">
        <v>15.12</v>
      </c>
      <c r="H55" s="14">
        <v>326.27</v>
      </c>
      <c r="I55" s="14"/>
      <c r="J55" s="14"/>
      <c r="K55" s="15">
        <v>45098</v>
      </c>
      <c r="L55" s="16">
        <v>12.67</v>
      </c>
      <c r="M55" s="16">
        <v>394.74</v>
      </c>
      <c r="N55" s="14"/>
      <c r="O55" s="14"/>
      <c r="P55" s="14"/>
      <c r="T55" s="14"/>
      <c r="U55" s="14"/>
    </row>
    <row r="56" spans="1:21" ht="15" x14ac:dyDescent="0.25">
      <c r="A56" s="15">
        <v>45091</v>
      </c>
      <c r="B56" s="4">
        <v>4</v>
      </c>
      <c r="C56" s="14" t="s">
        <v>641</v>
      </c>
      <c r="D56" s="14" t="s">
        <v>630</v>
      </c>
      <c r="E56" s="16">
        <v>13.01</v>
      </c>
      <c r="F56" s="16">
        <v>454.54</v>
      </c>
      <c r="G56" s="14">
        <v>0</v>
      </c>
      <c r="H56" s="14">
        <v>325.77999999999997</v>
      </c>
      <c r="I56" s="14"/>
      <c r="J56" s="14"/>
      <c r="K56" s="15">
        <v>45098</v>
      </c>
      <c r="L56" s="16">
        <v>11.97</v>
      </c>
      <c r="M56" s="16">
        <v>458.59</v>
      </c>
      <c r="N56" s="14"/>
      <c r="O56" s="14"/>
      <c r="P56" s="14"/>
      <c r="T56" s="14"/>
      <c r="U56" s="14"/>
    </row>
    <row r="57" spans="1:21" ht="15" x14ac:dyDescent="0.25">
      <c r="A57" s="15">
        <v>45090</v>
      </c>
      <c r="B57" s="4">
        <v>3</v>
      </c>
      <c r="C57" s="14" t="s">
        <v>643</v>
      </c>
      <c r="D57" s="14" t="s">
        <v>626</v>
      </c>
      <c r="E57" s="16">
        <v>12.8</v>
      </c>
      <c r="F57" s="16">
        <v>448.22</v>
      </c>
      <c r="G57" s="14">
        <v>0</v>
      </c>
      <c r="H57" s="14">
        <v>324.89</v>
      </c>
      <c r="I57" s="14"/>
      <c r="J57" s="14"/>
      <c r="K57" s="15">
        <v>45098</v>
      </c>
      <c r="L57" s="16">
        <v>0</v>
      </c>
      <c r="M57" s="16">
        <v>352.59</v>
      </c>
      <c r="N57" s="14"/>
      <c r="O57" s="14"/>
      <c r="P57" s="14"/>
      <c r="T57" s="14"/>
      <c r="U57" s="14"/>
    </row>
    <row r="58" spans="1:21" ht="15" x14ac:dyDescent="0.25">
      <c r="A58" s="15">
        <v>45090</v>
      </c>
      <c r="B58" s="4">
        <v>12</v>
      </c>
      <c r="C58" s="14" t="s">
        <v>643</v>
      </c>
      <c r="D58" s="14" t="s">
        <v>627</v>
      </c>
      <c r="E58" s="16">
        <v>12.81</v>
      </c>
      <c r="F58" s="16">
        <v>452.83</v>
      </c>
      <c r="G58" s="14">
        <v>0</v>
      </c>
      <c r="H58" s="14">
        <v>321.42</v>
      </c>
      <c r="I58" s="14"/>
      <c r="J58" s="14"/>
      <c r="K58" s="15">
        <v>45099</v>
      </c>
      <c r="L58" s="16">
        <v>11.36</v>
      </c>
      <c r="M58" s="16">
        <v>1153.07</v>
      </c>
      <c r="N58" s="14"/>
      <c r="O58" s="14"/>
      <c r="P58" s="14"/>
      <c r="T58" s="14"/>
      <c r="U58" s="14"/>
    </row>
    <row r="59" spans="1:21" ht="15" x14ac:dyDescent="0.25">
      <c r="A59" s="15">
        <v>45090</v>
      </c>
      <c r="B59" s="4">
        <v>17</v>
      </c>
      <c r="C59" s="14" t="s">
        <v>643</v>
      </c>
      <c r="D59" s="14" t="s">
        <v>628</v>
      </c>
      <c r="E59" s="16">
        <v>13.05</v>
      </c>
      <c r="F59" s="16">
        <v>421.26</v>
      </c>
      <c r="G59" s="14">
        <v>0</v>
      </c>
      <c r="H59" s="14">
        <v>325.45</v>
      </c>
      <c r="I59" s="14"/>
      <c r="J59" s="14"/>
      <c r="K59" s="15">
        <v>45099</v>
      </c>
      <c r="L59" s="16">
        <v>11.28</v>
      </c>
      <c r="M59" s="16">
        <v>635.34</v>
      </c>
      <c r="N59" s="14"/>
      <c r="O59" s="14"/>
      <c r="P59" s="14"/>
      <c r="T59" s="14"/>
      <c r="U59" s="14"/>
    </row>
    <row r="60" spans="1:21" ht="15" x14ac:dyDescent="0.25">
      <c r="A60" s="15">
        <v>45090</v>
      </c>
      <c r="B60" s="4">
        <v>8</v>
      </c>
      <c r="C60" s="14" t="s">
        <v>643</v>
      </c>
      <c r="D60" s="14" t="s">
        <v>629</v>
      </c>
      <c r="E60" s="16">
        <v>13.06</v>
      </c>
      <c r="F60" s="16">
        <v>447.41</v>
      </c>
      <c r="G60" s="14">
        <v>0</v>
      </c>
      <c r="H60" s="14">
        <v>325.32</v>
      </c>
      <c r="I60" s="14"/>
      <c r="J60" s="14"/>
      <c r="K60" s="15">
        <v>45099</v>
      </c>
      <c r="L60" s="16">
        <v>10.19</v>
      </c>
      <c r="M60" s="16">
        <v>583.87</v>
      </c>
      <c r="N60" s="14"/>
      <c r="O60" s="14"/>
      <c r="P60" s="14"/>
      <c r="T60" s="14"/>
      <c r="U60" s="14"/>
    </row>
    <row r="61" spans="1:21" ht="15" x14ac:dyDescent="0.25">
      <c r="A61" s="15">
        <v>45090</v>
      </c>
      <c r="B61" s="4">
        <v>7</v>
      </c>
      <c r="C61" s="14" t="s">
        <v>643</v>
      </c>
      <c r="D61" s="14" t="s">
        <v>630</v>
      </c>
      <c r="E61" s="16">
        <v>13.1</v>
      </c>
      <c r="F61" s="16">
        <v>449.92</v>
      </c>
      <c r="G61" s="14">
        <v>0</v>
      </c>
      <c r="H61" s="14">
        <v>325.44</v>
      </c>
      <c r="I61" s="14"/>
      <c r="J61" s="14"/>
      <c r="K61" s="15">
        <v>45098</v>
      </c>
      <c r="L61" s="16">
        <v>0</v>
      </c>
      <c r="M61" s="16">
        <v>434.34</v>
      </c>
      <c r="N61" s="14"/>
      <c r="O61" s="14"/>
      <c r="P61" s="14"/>
      <c r="T61" s="14"/>
      <c r="U61" s="14"/>
    </row>
    <row r="62" spans="1:21" ht="15" x14ac:dyDescent="0.25">
      <c r="A62" s="15">
        <v>45089</v>
      </c>
      <c r="B62" s="4">
        <v>41</v>
      </c>
      <c r="C62" s="14" t="s">
        <v>644</v>
      </c>
      <c r="D62" s="14" t="s">
        <v>626</v>
      </c>
      <c r="E62" s="16">
        <v>12.81</v>
      </c>
      <c r="F62" s="16">
        <v>464.22</v>
      </c>
      <c r="G62" s="14">
        <v>15.31</v>
      </c>
      <c r="H62" s="14">
        <v>325.10000000000002</v>
      </c>
      <c r="I62" s="14"/>
      <c r="J62" s="14"/>
      <c r="K62" s="15">
        <v>45099</v>
      </c>
      <c r="L62" s="16">
        <v>10.6</v>
      </c>
      <c r="M62" s="16">
        <v>558.23</v>
      </c>
      <c r="N62" s="14"/>
      <c r="O62" s="14"/>
      <c r="P62" s="14"/>
      <c r="T62" s="14"/>
      <c r="U62" s="14"/>
    </row>
    <row r="63" spans="1:21" ht="15" x14ac:dyDescent="0.25">
      <c r="A63" s="15">
        <v>45089</v>
      </c>
      <c r="B63" s="4">
        <v>55</v>
      </c>
      <c r="C63" s="14" t="s">
        <v>644</v>
      </c>
      <c r="D63" s="14" t="s">
        <v>627</v>
      </c>
      <c r="E63" s="16">
        <v>13.12</v>
      </c>
      <c r="F63" s="16">
        <v>458.11</v>
      </c>
      <c r="G63" s="14">
        <v>0</v>
      </c>
      <c r="H63" s="14">
        <v>325.11</v>
      </c>
      <c r="I63" s="14"/>
      <c r="J63" s="14"/>
      <c r="K63" s="15">
        <v>45099</v>
      </c>
      <c r="L63" s="16">
        <v>10.33</v>
      </c>
      <c r="M63" s="16">
        <v>611.71</v>
      </c>
      <c r="N63" s="14"/>
      <c r="O63" s="14"/>
      <c r="P63" s="14"/>
      <c r="T63" s="14"/>
      <c r="U63" s="14"/>
    </row>
    <row r="64" spans="1:21" ht="15" x14ac:dyDescent="0.25">
      <c r="A64" s="15">
        <v>45089</v>
      </c>
      <c r="B64" s="4">
        <v>5</v>
      </c>
      <c r="C64" s="14" t="s">
        <v>644</v>
      </c>
      <c r="D64" s="14" t="s">
        <v>628</v>
      </c>
      <c r="E64" s="16">
        <v>12.92</v>
      </c>
      <c r="F64" s="16">
        <v>451.34</v>
      </c>
      <c r="G64" s="14">
        <v>0</v>
      </c>
      <c r="H64" s="14">
        <v>325.18</v>
      </c>
      <c r="I64" s="14"/>
      <c r="J64" s="14"/>
      <c r="K64" s="15">
        <v>45099</v>
      </c>
      <c r="L64" s="16">
        <v>10.36</v>
      </c>
      <c r="M64" s="16">
        <v>510.11</v>
      </c>
      <c r="N64" s="14"/>
      <c r="O64" s="14"/>
      <c r="P64" s="14"/>
      <c r="T64" s="14"/>
      <c r="U64" s="14"/>
    </row>
    <row r="65" spans="1:21" ht="15" x14ac:dyDescent="0.25">
      <c r="A65" s="15">
        <v>45089</v>
      </c>
      <c r="B65" s="4">
        <v>16</v>
      </c>
      <c r="C65" s="14" t="s">
        <v>644</v>
      </c>
      <c r="D65" s="14" t="s">
        <v>629</v>
      </c>
      <c r="E65" s="16">
        <v>13.15</v>
      </c>
      <c r="F65" s="16">
        <v>457.16</v>
      </c>
      <c r="G65" s="14">
        <v>0</v>
      </c>
      <c r="H65" s="14">
        <v>325.43</v>
      </c>
      <c r="I65" s="14"/>
      <c r="J65" s="14"/>
      <c r="K65" s="15">
        <v>45098</v>
      </c>
      <c r="L65" s="16">
        <v>0</v>
      </c>
      <c r="M65" s="16">
        <v>348.62</v>
      </c>
      <c r="N65" s="14"/>
      <c r="O65" s="14"/>
      <c r="P65" s="14"/>
      <c r="T65" s="14"/>
      <c r="U65" s="14"/>
    </row>
    <row r="66" spans="1:21" ht="15" x14ac:dyDescent="0.25">
      <c r="A66" s="15">
        <v>45089</v>
      </c>
      <c r="B66" s="4">
        <v>20</v>
      </c>
      <c r="C66" s="14" t="s">
        <v>644</v>
      </c>
      <c r="D66" s="14" t="s">
        <v>630</v>
      </c>
      <c r="E66" s="16">
        <v>12.88</v>
      </c>
      <c r="F66" s="16">
        <v>462.8</v>
      </c>
      <c r="G66" s="14">
        <v>0</v>
      </c>
      <c r="H66" s="14">
        <v>325.35000000000002</v>
      </c>
      <c r="I66" s="14"/>
      <c r="J66" s="14"/>
      <c r="K66" s="15">
        <v>45099</v>
      </c>
      <c r="L66" s="16">
        <v>10.81</v>
      </c>
      <c r="M66" s="16">
        <v>284.88</v>
      </c>
      <c r="N66" s="14"/>
      <c r="O66" s="14"/>
      <c r="P66" s="14"/>
      <c r="T66" s="14"/>
      <c r="U66" s="14"/>
    </row>
    <row r="67" spans="1:21" ht="15" x14ac:dyDescent="0.25">
      <c r="A67" s="15">
        <v>45090</v>
      </c>
      <c r="B67" s="4">
        <v>2</v>
      </c>
      <c r="C67" s="14" t="s">
        <v>645</v>
      </c>
      <c r="D67" s="14" t="s">
        <v>626</v>
      </c>
      <c r="E67" s="16">
        <v>13.19</v>
      </c>
      <c r="F67" s="16">
        <v>453.95</v>
      </c>
      <c r="G67" s="14">
        <v>0</v>
      </c>
      <c r="H67" s="14">
        <v>325.14</v>
      </c>
      <c r="I67" s="14"/>
      <c r="J67" s="14"/>
      <c r="K67" s="15">
        <v>45098</v>
      </c>
      <c r="L67" s="16">
        <v>11.48</v>
      </c>
      <c r="M67" s="16">
        <v>476.15</v>
      </c>
      <c r="N67" s="14"/>
      <c r="O67" s="14"/>
      <c r="P67" s="14"/>
      <c r="T67" s="14"/>
      <c r="U67" s="14"/>
    </row>
    <row r="68" spans="1:21" ht="15" x14ac:dyDescent="0.25">
      <c r="A68" s="15">
        <v>45090</v>
      </c>
      <c r="B68" s="4">
        <v>1</v>
      </c>
      <c r="C68" s="14" t="s">
        <v>645</v>
      </c>
      <c r="D68" s="14" t="s">
        <v>627</v>
      </c>
      <c r="E68" s="16">
        <v>13.15</v>
      </c>
      <c r="F68" s="16">
        <v>451.62</v>
      </c>
      <c r="G68" s="14">
        <v>0</v>
      </c>
      <c r="H68" s="14">
        <v>325.17</v>
      </c>
      <c r="I68" s="14"/>
      <c r="J68" s="14"/>
      <c r="K68" s="15">
        <v>45098</v>
      </c>
      <c r="L68" s="16">
        <v>11.45</v>
      </c>
      <c r="M68" s="16">
        <v>461.59</v>
      </c>
      <c r="N68" s="14"/>
      <c r="O68" s="14"/>
      <c r="P68" s="14"/>
      <c r="T68" s="14"/>
      <c r="U68" s="14"/>
    </row>
    <row r="69" spans="1:21" ht="15" x14ac:dyDescent="0.25">
      <c r="A69" s="15">
        <v>45090</v>
      </c>
      <c r="B69" s="4">
        <v>30</v>
      </c>
      <c r="C69" s="14" t="s">
        <v>645</v>
      </c>
      <c r="D69" s="14" t="s">
        <v>628</v>
      </c>
      <c r="E69" s="16">
        <v>12.96</v>
      </c>
      <c r="F69" s="16">
        <v>449.68</v>
      </c>
      <c r="G69" s="14">
        <v>0</v>
      </c>
      <c r="H69" s="14">
        <v>325.76</v>
      </c>
      <c r="I69" s="14"/>
      <c r="J69" s="14"/>
      <c r="K69" s="15">
        <v>45098</v>
      </c>
      <c r="L69" s="16">
        <v>10.77</v>
      </c>
      <c r="M69" s="16">
        <v>519.73</v>
      </c>
      <c r="N69" s="14"/>
      <c r="O69" s="14"/>
      <c r="P69" s="14"/>
      <c r="T69" s="14"/>
      <c r="U69" s="14"/>
    </row>
    <row r="70" spans="1:21" ht="15" x14ac:dyDescent="0.25">
      <c r="A70" s="15">
        <v>45090</v>
      </c>
      <c r="B70" s="4">
        <v>36</v>
      </c>
      <c r="C70" s="14" t="s">
        <v>645</v>
      </c>
      <c r="D70" s="14" t="s">
        <v>629</v>
      </c>
      <c r="E70" s="16">
        <v>12.94</v>
      </c>
      <c r="F70" s="16">
        <v>453.16</v>
      </c>
      <c r="G70" s="14">
        <v>0</v>
      </c>
      <c r="H70" s="14">
        <v>325.85000000000002</v>
      </c>
      <c r="I70" s="14"/>
      <c r="J70" s="14"/>
      <c r="K70" s="15">
        <v>45098</v>
      </c>
      <c r="L70" s="16">
        <v>12.02</v>
      </c>
      <c r="M70" s="16">
        <v>504.51</v>
      </c>
      <c r="N70" s="14"/>
      <c r="O70" s="14"/>
      <c r="P70" s="14"/>
      <c r="T70" s="14"/>
      <c r="U70" s="14"/>
    </row>
    <row r="71" spans="1:21" ht="15" x14ac:dyDescent="0.25">
      <c r="A71" s="15">
        <v>45090</v>
      </c>
      <c r="B71" s="4">
        <v>19</v>
      </c>
      <c r="C71" s="14" t="s">
        <v>645</v>
      </c>
      <c r="D71" s="14" t="s">
        <v>630</v>
      </c>
      <c r="E71" s="16">
        <v>13.06</v>
      </c>
      <c r="F71" s="16">
        <v>456.14</v>
      </c>
      <c r="G71" s="14">
        <v>0</v>
      </c>
      <c r="H71" s="14">
        <v>325.48</v>
      </c>
      <c r="I71" s="14"/>
      <c r="J71" s="14"/>
      <c r="K71" s="15">
        <v>45098</v>
      </c>
      <c r="L71" s="16">
        <v>11.44</v>
      </c>
      <c r="M71" s="16">
        <v>655.28</v>
      </c>
      <c r="N71" s="14"/>
      <c r="O71" s="14"/>
      <c r="P71" s="14"/>
      <c r="T71" s="14"/>
      <c r="U71" s="14"/>
    </row>
    <row r="72" spans="1:21" ht="15" x14ac:dyDescent="0.25">
      <c r="A72" s="15">
        <v>45090</v>
      </c>
      <c r="B72" s="4">
        <v>28</v>
      </c>
      <c r="C72" s="14" t="s">
        <v>646</v>
      </c>
      <c r="D72" s="14" t="s">
        <v>626</v>
      </c>
      <c r="E72" s="16">
        <v>13.12</v>
      </c>
      <c r="F72" s="16">
        <v>448.67</v>
      </c>
      <c r="G72" s="14">
        <v>0</v>
      </c>
      <c r="H72" s="14">
        <v>325.55</v>
      </c>
      <c r="I72" s="14"/>
      <c r="J72" s="14"/>
      <c r="K72" s="15">
        <v>45099</v>
      </c>
      <c r="L72" s="16">
        <v>10.49</v>
      </c>
      <c r="M72" s="16">
        <v>435.21</v>
      </c>
      <c r="N72" s="14"/>
      <c r="O72" s="14"/>
      <c r="P72" s="14"/>
      <c r="T72" s="14"/>
      <c r="U72" s="14"/>
    </row>
    <row r="73" spans="1:21" ht="15" x14ac:dyDescent="0.25">
      <c r="A73" s="15">
        <v>45090</v>
      </c>
      <c r="B73" s="4">
        <v>52</v>
      </c>
      <c r="C73" s="14" t="s">
        <v>646</v>
      </c>
      <c r="D73" s="14" t="s">
        <v>627</v>
      </c>
      <c r="E73" s="16">
        <v>12.83</v>
      </c>
      <c r="F73" s="16">
        <v>447.49</v>
      </c>
      <c r="G73" s="14">
        <v>0</v>
      </c>
      <c r="H73" s="14">
        <v>323.95999999999998</v>
      </c>
      <c r="I73" s="14"/>
      <c r="J73" s="14"/>
      <c r="K73" s="15">
        <v>45098</v>
      </c>
      <c r="L73" s="16">
        <v>10.69</v>
      </c>
      <c r="M73" s="16">
        <v>929.45</v>
      </c>
      <c r="N73" s="14"/>
      <c r="O73" s="14"/>
      <c r="P73" s="14"/>
      <c r="T73" s="14"/>
      <c r="U73" s="14"/>
    </row>
    <row r="74" spans="1:21" ht="15" x14ac:dyDescent="0.25">
      <c r="A74" s="15">
        <v>45090</v>
      </c>
      <c r="B74" s="4">
        <v>22</v>
      </c>
      <c r="C74" s="14" t="s">
        <v>646</v>
      </c>
      <c r="D74" s="14" t="s">
        <v>628</v>
      </c>
      <c r="E74" s="16">
        <v>13.16</v>
      </c>
      <c r="F74" s="16">
        <v>446.53</v>
      </c>
      <c r="G74" s="14">
        <v>0</v>
      </c>
      <c r="H74" s="14">
        <v>325.27</v>
      </c>
      <c r="I74" s="14"/>
      <c r="J74" s="14"/>
      <c r="K74" s="15">
        <v>45098</v>
      </c>
      <c r="L74" s="16">
        <v>10.210000000000001</v>
      </c>
      <c r="M74" s="16">
        <v>488.17</v>
      </c>
      <c r="N74" s="14"/>
      <c r="O74" s="14"/>
      <c r="P74" s="14"/>
      <c r="T74" s="14"/>
      <c r="U74" s="14"/>
    </row>
    <row r="75" spans="1:21" ht="15" x14ac:dyDescent="0.25">
      <c r="A75" s="15">
        <v>45090</v>
      </c>
      <c r="B75" s="4">
        <v>34</v>
      </c>
      <c r="C75" s="14" t="s">
        <v>646</v>
      </c>
      <c r="D75" s="14" t="s">
        <v>629</v>
      </c>
      <c r="E75" s="16">
        <v>12.98</v>
      </c>
      <c r="F75" s="16">
        <v>448.42</v>
      </c>
      <c r="G75" s="14">
        <v>0</v>
      </c>
      <c r="H75" s="14">
        <v>325.06</v>
      </c>
      <c r="I75" s="14"/>
      <c r="J75" s="14"/>
      <c r="K75" s="15">
        <v>45100</v>
      </c>
      <c r="L75" s="16">
        <v>11.53</v>
      </c>
      <c r="M75" s="16">
        <v>649.75</v>
      </c>
      <c r="N75" s="14"/>
      <c r="O75" s="14"/>
      <c r="P75" s="14"/>
      <c r="T75" s="14"/>
      <c r="U75" s="14"/>
    </row>
    <row r="76" spans="1:21" ht="15" x14ac:dyDescent="0.25">
      <c r="A76" s="15">
        <v>45090</v>
      </c>
      <c r="B76" s="4">
        <v>11</v>
      </c>
      <c r="C76" s="14" t="s">
        <v>646</v>
      </c>
      <c r="D76" s="14" t="s">
        <v>630</v>
      </c>
      <c r="E76" s="16">
        <v>12.99</v>
      </c>
      <c r="F76" s="16">
        <v>450.71</v>
      </c>
      <c r="G76" s="14">
        <v>0</v>
      </c>
      <c r="H76" s="14">
        <v>325.16000000000003</v>
      </c>
      <c r="I76" s="14"/>
      <c r="J76" s="14"/>
      <c r="K76" s="15">
        <v>45098</v>
      </c>
      <c r="L76" s="16">
        <v>10.57</v>
      </c>
      <c r="M76" s="16">
        <v>928.94</v>
      </c>
      <c r="N76" s="14"/>
      <c r="O76" s="14"/>
      <c r="P76" s="14"/>
      <c r="T76" s="14"/>
      <c r="U76" s="14"/>
    </row>
    <row r="77" spans="1:21" ht="15" x14ac:dyDescent="0.25">
      <c r="A77" s="15">
        <v>45089</v>
      </c>
      <c r="B77" s="4">
        <v>27</v>
      </c>
      <c r="C77" s="14" t="s">
        <v>647</v>
      </c>
      <c r="D77" s="14" t="s">
        <v>626</v>
      </c>
      <c r="E77" s="16">
        <v>12.89</v>
      </c>
      <c r="F77" s="16">
        <v>452.46</v>
      </c>
      <c r="G77" s="14">
        <v>0</v>
      </c>
      <c r="H77" s="14">
        <v>325.62</v>
      </c>
      <c r="I77" s="14"/>
      <c r="J77" s="14"/>
      <c r="K77" s="15">
        <v>45098</v>
      </c>
      <c r="L77" s="16">
        <v>10.57</v>
      </c>
      <c r="M77" s="16">
        <v>303.8</v>
      </c>
      <c r="N77" s="14"/>
      <c r="O77" s="14"/>
      <c r="P77" s="14"/>
      <c r="T77" s="14"/>
      <c r="U77" s="14"/>
    </row>
    <row r="78" spans="1:21" ht="15" x14ac:dyDescent="0.25">
      <c r="A78" s="15">
        <v>45089</v>
      </c>
      <c r="B78" s="4">
        <v>23</v>
      </c>
      <c r="C78" s="14" t="s">
        <v>647</v>
      </c>
      <c r="D78" s="14" t="s">
        <v>627</v>
      </c>
      <c r="E78" s="16">
        <v>12.82</v>
      </c>
      <c r="F78" s="16">
        <v>451.29</v>
      </c>
      <c r="G78" s="14">
        <v>0</v>
      </c>
      <c r="H78" s="14">
        <v>325.10000000000002</v>
      </c>
      <c r="I78" s="14"/>
      <c r="J78" s="14"/>
      <c r="K78" s="15">
        <v>45098</v>
      </c>
      <c r="L78" s="16">
        <v>10.89</v>
      </c>
      <c r="M78" s="16">
        <v>448.38</v>
      </c>
      <c r="N78" s="14"/>
      <c r="O78" s="14"/>
      <c r="P78" s="14"/>
      <c r="T78" s="14"/>
      <c r="U78" s="14"/>
    </row>
    <row r="79" spans="1:21" ht="15" x14ac:dyDescent="0.25">
      <c r="A79" s="15">
        <v>45089</v>
      </c>
      <c r="B79" s="4">
        <v>39</v>
      </c>
      <c r="C79" s="14" t="s">
        <v>647</v>
      </c>
      <c r="D79" s="14" t="s">
        <v>628</v>
      </c>
      <c r="E79" s="16">
        <v>12.73</v>
      </c>
      <c r="F79" s="16">
        <v>450.46</v>
      </c>
      <c r="G79" s="14">
        <v>14.03</v>
      </c>
      <c r="H79" s="14">
        <v>325.61</v>
      </c>
      <c r="I79" s="14"/>
      <c r="J79" s="14"/>
      <c r="K79" s="15">
        <v>45098</v>
      </c>
      <c r="L79" s="16">
        <v>11.42</v>
      </c>
      <c r="M79" s="16">
        <v>327.69</v>
      </c>
      <c r="N79" s="14"/>
      <c r="O79" s="14"/>
      <c r="P79" s="14"/>
      <c r="T79" s="14"/>
      <c r="U79" s="14"/>
    </row>
    <row r="80" spans="1:21" ht="15" x14ac:dyDescent="0.25">
      <c r="A80" s="15">
        <v>45089</v>
      </c>
      <c r="B80" s="4">
        <v>32</v>
      </c>
      <c r="C80" s="14" t="s">
        <v>647</v>
      </c>
      <c r="D80" s="14" t="s">
        <v>629</v>
      </c>
      <c r="E80" s="16">
        <v>13</v>
      </c>
      <c r="F80" s="16">
        <v>446.36</v>
      </c>
      <c r="G80" s="14">
        <v>0</v>
      </c>
      <c r="H80" s="14">
        <v>325.52</v>
      </c>
      <c r="I80" s="14"/>
      <c r="J80" s="14"/>
      <c r="K80" s="15">
        <v>45099</v>
      </c>
      <c r="L80" s="16">
        <v>11.87</v>
      </c>
      <c r="M80" s="16">
        <v>560.6</v>
      </c>
      <c r="N80" s="14"/>
      <c r="O80" s="14"/>
      <c r="P80" s="14"/>
      <c r="T80" s="14"/>
      <c r="U80" s="14"/>
    </row>
    <row r="81" spans="1:21" ht="15" x14ac:dyDescent="0.25">
      <c r="A81" s="15">
        <v>45089</v>
      </c>
      <c r="B81" s="4">
        <v>33</v>
      </c>
      <c r="C81" s="14" t="s">
        <v>647</v>
      </c>
      <c r="D81" s="14" t="s">
        <v>630</v>
      </c>
      <c r="E81" s="16">
        <v>12.81</v>
      </c>
      <c r="F81" s="16">
        <v>449.21</v>
      </c>
      <c r="G81" s="14">
        <v>0</v>
      </c>
      <c r="H81" s="14">
        <v>325.26</v>
      </c>
      <c r="I81" s="14"/>
      <c r="J81" s="14"/>
      <c r="K81" s="15">
        <v>45098</v>
      </c>
      <c r="L81" s="16">
        <v>10.6</v>
      </c>
      <c r="M81" s="16">
        <v>298.58999999999997</v>
      </c>
      <c r="N81" s="14"/>
      <c r="O81" s="14"/>
      <c r="P81" s="14"/>
      <c r="T81" s="14"/>
      <c r="U81" s="14"/>
    </row>
    <row r="82" spans="1:21" ht="15" x14ac:dyDescent="0.25">
      <c r="A82" s="15">
        <v>45089</v>
      </c>
      <c r="B82" s="4">
        <v>31</v>
      </c>
      <c r="C82" s="14" t="s">
        <v>648</v>
      </c>
      <c r="D82" s="14" t="s">
        <v>626</v>
      </c>
      <c r="E82" s="16">
        <v>12.87</v>
      </c>
      <c r="F82" s="16">
        <v>449.72</v>
      </c>
      <c r="G82" s="14">
        <v>0</v>
      </c>
      <c r="H82" s="14">
        <v>325.35000000000002</v>
      </c>
      <c r="I82" s="14"/>
      <c r="J82" s="14"/>
      <c r="K82" s="15">
        <v>45098</v>
      </c>
      <c r="L82" s="16">
        <v>10.07</v>
      </c>
      <c r="M82" s="16">
        <v>400.72</v>
      </c>
      <c r="N82" s="14"/>
      <c r="O82" s="14"/>
      <c r="P82" s="14"/>
      <c r="T82" s="14"/>
      <c r="U82" s="14"/>
    </row>
    <row r="83" spans="1:21" ht="15" x14ac:dyDescent="0.25">
      <c r="A83" s="15">
        <v>45089</v>
      </c>
      <c r="B83" s="4">
        <v>9</v>
      </c>
      <c r="C83" s="14" t="s">
        <v>648</v>
      </c>
      <c r="D83" s="14" t="s">
        <v>627</v>
      </c>
      <c r="E83" s="16">
        <v>12.92</v>
      </c>
      <c r="F83" s="16">
        <v>448.23</v>
      </c>
      <c r="G83" s="14">
        <v>0</v>
      </c>
      <c r="H83" s="14">
        <v>325.31</v>
      </c>
      <c r="I83" s="14"/>
      <c r="J83" s="14"/>
      <c r="K83" s="15">
        <v>45098</v>
      </c>
      <c r="L83" s="16">
        <v>10.24</v>
      </c>
      <c r="M83" s="16">
        <v>390.5</v>
      </c>
      <c r="N83" s="14"/>
      <c r="O83" s="14"/>
      <c r="P83" s="14"/>
      <c r="T83" s="14"/>
      <c r="U83" s="14"/>
    </row>
    <row r="84" spans="1:21" ht="15" x14ac:dyDescent="0.25">
      <c r="A84" s="15">
        <v>45089</v>
      </c>
      <c r="B84" s="4">
        <v>10</v>
      </c>
      <c r="C84" s="14" t="s">
        <v>648</v>
      </c>
      <c r="D84" s="14" t="s">
        <v>628</v>
      </c>
      <c r="E84" s="16">
        <v>12.89</v>
      </c>
      <c r="F84" s="16">
        <v>453.72</v>
      </c>
      <c r="G84" s="14">
        <v>0</v>
      </c>
      <c r="H84" s="14">
        <v>325.60000000000002</v>
      </c>
      <c r="I84" s="14"/>
      <c r="J84" s="14"/>
      <c r="K84" s="15">
        <v>45099</v>
      </c>
      <c r="L84" s="16">
        <v>10.63</v>
      </c>
      <c r="M84" s="16">
        <v>423.21</v>
      </c>
      <c r="N84" s="14"/>
      <c r="O84" s="14"/>
      <c r="P84" s="14"/>
      <c r="T84" s="14"/>
      <c r="U84" s="14"/>
    </row>
    <row r="85" spans="1:21" ht="15" x14ac:dyDescent="0.25">
      <c r="A85" s="15">
        <v>45089</v>
      </c>
      <c r="B85" s="4">
        <v>13</v>
      </c>
      <c r="C85" s="14" t="s">
        <v>648</v>
      </c>
      <c r="D85" s="14" t="s">
        <v>629</v>
      </c>
      <c r="E85" s="16">
        <v>12.87</v>
      </c>
      <c r="F85" s="16">
        <v>449.43</v>
      </c>
      <c r="G85" s="14">
        <v>0</v>
      </c>
      <c r="H85" s="14">
        <v>325.56</v>
      </c>
      <c r="I85" s="14"/>
      <c r="J85" s="14"/>
      <c r="K85" s="15">
        <v>45099</v>
      </c>
      <c r="L85" s="16">
        <v>10.5</v>
      </c>
      <c r="M85" s="16">
        <v>252.08</v>
      </c>
      <c r="N85" s="14"/>
      <c r="O85" s="14"/>
      <c r="P85" s="14"/>
      <c r="T85" s="14"/>
      <c r="U85" s="14"/>
    </row>
    <row r="86" spans="1:21" ht="15" x14ac:dyDescent="0.25">
      <c r="A86" s="15">
        <v>45089</v>
      </c>
      <c r="B86" s="4">
        <v>6</v>
      </c>
      <c r="C86" s="14" t="s">
        <v>648</v>
      </c>
      <c r="D86" s="14" t="s">
        <v>630</v>
      </c>
      <c r="E86" s="16">
        <v>12.83</v>
      </c>
      <c r="F86" s="16">
        <v>448.39</v>
      </c>
      <c r="G86" s="14">
        <v>0</v>
      </c>
      <c r="H86" s="14">
        <v>325.44</v>
      </c>
      <c r="I86" s="14"/>
      <c r="J86" s="14"/>
      <c r="K86" s="15">
        <v>45098</v>
      </c>
      <c r="L86" s="16">
        <v>11</v>
      </c>
      <c r="M86" s="16">
        <v>773.76</v>
      </c>
      <c r="N86" s="14"/>
      <c r="O86" s="14"/>
      <c r="P86" s="14"/>
      <c r="T86" s="14"/>
      <c r="U86" s="14"/>
    </row>
    <row r="87" spans="1:21" ht="15" x14ac:dyDescent="0.25">
      <c r="A87" s="15">
        <v>45089</v>
      </c>
      <c r="B87" s="4">
        <v>35</v>
      </c>
      <c r="C87" s="14" t="s">
        <v>649</v>
      </c>
      <c r="D87" s="14" t="s">
        <v>626</v>
      </c>
      <c r="E87" s="16">
        <v>12.93</v>
      </c>
      <c r="F87" s="16">
        <v>453.09</v>
      </c>
      <c r="G87" s="14">
        <v>0</v>
      </c>
      <c r="H87" s="14">
        <v>325.75</v>
      </c>
      <c r="I87" s="14"/>
      <c r="J87" s="14"/>
      <c r="K87" s="15">
        <v>45099</v>
      </c>
      <c r="L87" s="16">
        <v>10.39</v>
      </c>
      <c r="M87" s="16">
        <v>338.19</v>
      </c>
      <c r="N87" s="14"/>
      <c r="O87" s="14"/>
      <c r="P87" s="14"/>
      <c r="T87" s="14"/>
      <c r="U87" s="14"/>
    </row>
    <row r="88" spans="1:21" ht="15" x14ac:dyDescent="0.25">
      <c r="A88" s="15">
        <v>45089</v>
      </c>
      <c r="B88" s="4">
        <v>14</v>
      </c>
      <c r="C88" s="14" t="s">
        <v>649</v>
      </c>
      <c r="D88" s="14" t="s">
        <v>627</v>
      </c>
      <c r="E88" s="16">
        <v>12.95</v>
      </c>
      <c r="F88" s="16">
        <v>448.76</v>
      </c>
      <c r="G88" s="14">
        <v>0</v>
      </c>
      <c r="H88" s="14">
        <v>325.45</v>
      </c>
      <c r="I88" s="14"/>
      <c r="J88" s="14"/>
      <c r="K88" s="15">
        <v>45098</v>
      </c>
      <c r="L88" s="16">
        <v>10.84</v>
      </c>
      <c r="M88" s="16">
        <v>653.1</v>
      </c>
      <c r="N88" s="14"/>
      <c r="O88" s="14"/>
      <c r="P88" s="14"/>
      <c r="T88" s="14"/>
      <c r="U88" s="14"/>
    </row>
    <row r="89" spans="1:21" ht="15" x14ac:dyDescent="0.25">
      <c r="A89" s="15">
        <v>45089</v>
      </c>
      <c r="B89" s="4">
        <v>15</v>
      </c>
      <c r="C89" s="14" t="s">
        <v>649</v>
      </c>
      <c r="D89" s="14" t="s">
        <v>628</v>
      </c>
      <c r="E89" s="16">
        <v>12.89</v>
      </c>
      <c r="F89" s="16">
        <v>401.35</v>
      </c>
      <c r="G89" s="14">
        <v>0</v>
      </c>
      <c r="H89" s="14">
        <v>325.33999999999997</v>
      </c>
      <c r="I89" s="14"/>
      <c r="J89" s="14"/>
      <c r="K89" s="15">
        <v>45099</v>
      </c>
      <c r="L89" s="16">
        <v>11.16</v>
      </c>
      <c r="M89" s="16">
        <v>1039.33</v>
      </c>
      <c r="N89" s="14"/>
      <c r="O89" s="14"/>
      <c r="P89" s="14"/>
      <c r="T89" s="14"/>
      <c r="U89" s="14"/>
    </row>
    <row r="90" spans="1:21" ht="15" x14ac:dyDescent="0.25">
      <c r="A90" s="15">
        <v>45089</v>
      </c>
      <c r="B90" s="4">
        <v>37</v>
      </c>
      <c r="C90" s="14" t="s">
        <v>649</v>
      </c>
      <c r="D90" s="14" t="s">
        <v>629</v>
      </c>
      <c r="E90" s="16">
        <v>13.06</v>
      </c>
      <c r="F90" s="16">
        <v>455.04</v>
      </c>
      <c r="G90" s="14">
        <v>14.09</v>
      </c>
      <c r="H90" s="14">
        <v>234.93</v>
      </c>
      <c r="I90" s="14"/>
      <c r="J90" s="14"/>
      <c r="K90" s="15">
        <v>45099</v>
      </c>
      <c r="L90" s="16">
        <v>10.54</v>
      </c>
      <c r="M90" s="16">
        <v>674.09</v>
      </c>
      <c r="N90" s="14"/>
      <c r="O90" s="14"/>
      <c r="P90" s="14"/>
      <c r="T90" s="14"/>
      <c r="U90" s="14"/>
    </row>
    <row r="91" spans="1:21" ht="15" x14ac:dyDescent="0.25">
      <c r="A91" s="15">
        <v>45089</v>
      </c>
      <c r="B91" s="4">
        <v>18</v>
      </c>
      <c r="C91" s="14" t="s">
        <v>649</v>
      </c>
      <c r="D91" s="14" t="s">
        <v>630</v>
      </c>
      <c r="E91" s="16">
        <v>12.85</v>
      </c>
      <c r="F91" s="16">
        <v>451.54</v>
      </c>
      <c r="G91" s="14">
        <v>0</v>
      </c>
      <c r="H91" s="14">
        <v>316.73</v>
      </c>
      <c r="I91" s="14"/>
      <c r="J91" s="14"/>
      <c r="K91" s="15">
        <v>45099</v>
      </c>
      <c r="L91" s="16">
        <v>10.62</v>
      </c>
      <c r="M91" s="16">
        <v>808.06</v>
      </c>
      <c r="N91" s="14"/>
      <c r="O91" s="14"/>
      <c r="P91" s="14"/>
      <c r="T91" s="14"/>
      <c r="U91" s="14"/>
    </row>
    <row r="92" spans="1:21" ht="15" x14ac:dyDescent="0.25">
      <c r="A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T92" s="14"/>
      <c r="U92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1"/>
  <sheetViews>
    <sheetView workbookViewId="0"/>
  </sheetViews>
  <sheetFormatPr defaultColWidth="12.7109375" defaultRowHeight="15.75" customHeight="1" x14ac:dyDescent="0.2"/>
  <cols>
    <col min="1" max="1" width="8.28515625" customWidth="1"/>
    <col min="2" max="2" width="6.85546875" customWidth="1"/>
    <col min="3" max="3" width="6.140625" customWidth="1"/>
    <col min="5" max="5" width="8.28515625" customWidth="1"/>
    <col min="6" max="6" width="6.85546875" customWidth="1"/>
    <col min="7" max="7" width="6.140625" customWidth="1"/>
  </cols>
  <sheetData>
    <row r="1" spans="1:7" x14ac:dyDescent="0.2">
      <c r="A1" s="4" t="s">
        <v>613</v>
      </c>
      <c r="B1" s="4" t="s">
        <v>614</v>
      </c>
      <c r="C1" s="4" t="s">
        <v>650</v>
      </c>
      <c r="E1" s="4" t="s">
        <v>613</v>
      </c>
      <c r="F1" s="4" t="s">
        <v>614</v>
      </c>
      <c r="G1" s="4" t="s">
        <v>650</v>
      </c>
    </row>
    <row r="2" spans="1:7" x14ac:dyDescent="0.2">
      <c r="A2" s="4">
        <v>59</v>
      </c>
      <c r="B2" s="4" t="s">
        <v>625</v>
      </c>
      <c r="C2" s="4" t="s">
        <v>626</v>
      </c>
      <c r="E2" s="4">
        <v>1</v>
      </c>
      <c r="F2" s="4" t="s">
        <v>645</v>
      </c>
      <c r="G2" s="4" t="s">
        <v>627</v>
      </c>
    </row>
    <row r="3" spans="1:7" x14ac:dyDescent="0.2">
      <c r="A3" s="4">
        <v>58</v>
      </c>
      <c r="B3" s="4" t="s">
        <v>625</v>
      </c>
      <c r="C3" s="4" t="s">
        <v>627</v>
      </c>
      <c r="E3" s="4">
        <v>2</v>
      </c>
      <c r="F3" s="4" t="s">
        <v>645</v>
      </c>
      <c r="G3" s="4" t="s">
        <v>626</v>
      </c>
    </row>
    <row r="4" spans="1:7" x14ac:dyDescent="0.2">
      <c r="A4" s="4">
        <v>75</v>
      </c>
      <c r="B4" s="4" t="s">
        <v>625</v>
      </c>
      <c r="C4" s="4" t="s">
        <v>628</v>
      </c>
      <c r="E4" s="4">
        <v>3</v>
      </c>
      <c r="F4" s="4" t="s">
        <v>643</v>
      </c>
      <c r="G4" s="4" t="s">
        <v>626</v>
      </c>
    </row>
    <row r="5" spans="1:7" x14ac:dyDescent="0.2">
      <c r="A5" s="4">
        <v>77</v>
      </c>
      <c r="B5" s="4" t="s">
        <v>625</v>
      </c>
      <c r="C5" s="4" t="s">
        <v>629</v>
      </c>
      <c r="E5" s="4">
        <v>4</v>
      </c>
      <c r="F5" s="4" t="s">
        <v>641</v>
      </c>
      <c r="G5" s="4" t="s">
        <v>630</v>
      </c>
    </row>
    <row r="6" spans="1:7" x14ac:dyDescent="0.2">
      <c r="A6" s="4">
        <v>76</v>
      </c>
      <c r="B6" s="4" t="s">
        <v>625</v>
      </c>
      <c r="C6" s="4" t="s">
        <v>630</v>
      </c>
      <c r="E6" s="4">
        <v>5</v>
      </c>
      <c r="F6" s="4" t="s">
        <v>644</v>
      </c>
      <c r="G6" s="4" t="s">
        <v>628</v>
      </c>
    </row>
    <row r="7" spans="1:7" x14ac:dyDescent="0.2">
      <c r="A7" s="4">
        <v>78</v>
      </c>
      <c r="B7" s="4" t="s">
        <v>631</v>
      </c>
      <c r="C7" s="4" t="s">
        <v>626</v>
      </c>
      <c r="E7" s="4">
        <v>6</v>
      </c>
      <c r="F7" s="4" t="s">
        <v>648</v>
      </c>
      <c r="G7" s="4" t="s">
        <v>630</v>
      </c>
    </row>
    <row r="8" spans="1:7" x14ac:dyDescent="0.2">
      <c r="A8" s="4">
        <v>79</v>
      </c>
      <c r="B8" s="4" t="s">
        <v>631</v>
      </c>
      <c r="C8" s="4" t="s">
        <v>627</v>
      </c>
      <c r="E8" s="4">
        <v>7</v>
      </c>
      <c r="F8" s="4" t="s">
        <v>643</v>
      </c>
      <c r="G8" s="4" t="s">
        <v>630</v>
      </c>
    </row>
    <row r="9" spans="1:7" x14ac:dyDescent="0.2">
      <c r="A9" s="4">
        <v>70</v>
      </c>
      <c r="B9" s="4" t="s">
        <v>631</v>
      </c>
      <c r="C9" s="4" t="s">
        <v>628</v>
      </c>
      <c r="E9" s="4">
        <v>8</v>
      </c>
      <c r="F9" s="4" t="s">
        <v>643</v>
      </c>
      <c r="G9" s="4" t="s">
        <v>629</v>
      </c>
    </row>
    <row r="10" spans="1:7" x14ac:dyDescent="0.2">
      <c r="A10" s="4">
        <v>69</v>
      </c>
      <c r="B10" s="4" t="s">
        <v>631</v>
      </c>
      <c r="C10" s="4" t="s">
        <v>629</v>
      </c>
      <c r="E10" s="4">
        <v>9</v>
      </c>
      <c r="F10" s="4" t="s">
        <v>648</v>
      </c>
      <c r="G10" s="4" t="s">
        <v>627</v>
      </c>
    </row>
    <row r="11" spans="1:7" x14ac:dyDescent="0.2">
      <c r="A11" s="4">
        <v>44</v>
      </c>
      <c r="B11" s="4" t="s">
        <v>631</v>
      </c>
      <c r="C11" s="4" t="s">
        <v>630</v>
      </c>
      <c r="E11" s="4">
        <v>10</v>
      </c>
      <c r="F11" s="4" t="s">
        <v>648</v>
      </c>
      <c r="G11" s="4" t="s">
        <v>628</v>
      </c>
    </row>
    <row r="12" spans="1:7" x14ac:dyDescent="0.2">
      <c r="A12" s="4">
        <v>47</v>
      </c>
      <c r="B12" s="4" t="s">
        <v>632</v>
      </c>
      <c r="C12" s="4" t="s">
        <v>626</v>
      </c>
      <c r="E12" s="4">
        <v>11</v>
      </c>
      <c r="F12" s="4" t="s">
        <v>646</v>
      </c>
      <c r="G12" s="4" t="s">
        <v>630</v>
      </c>
    </row>
    <row r="13" spans="1:7" x14ac:dyDescent="0.2">
      <c r="A13" s="4">
        <v>57</v>
      </c>
      <c r="B13" s="4" t="s">
        <v>632</v>
      </c>
      <c r="C13" s="4" t="s">
        <v>627</v>
      </c>
      <c r="E13" s="4">
        <v>12</v>
      </c>
      <c r="F13" s="4" t="s">
        <v>643</v>
      </c>
      <c r="G13" s="4" t="s">
        <v>627</v>
      </c>
    </row>
    <row r="14" spans="1:7" x14ac:dyDescent="0.2">
      <c r="A14" s="4">
        <v>48</v>
      </c>
      <c r="B14" s="4" t="s">
        <v>632</v>
      </c>
      <c r="C14" s="4" t="s">
        <v>628</v>
      </c>
      <c r="E14" s="4">
        <v>13</v>
      </c>
      <c r="F14" s="4" t="s">
        <v>648</v>
      </c>
      <c r="G14" s="4" t="s">
        <v>629</v>
      </c>
    </row>
    <row r="15" spans="1:7" x14ac:dyDescent="0.2">
      <c r="A15" s="4">
        <v>74</v>
      </c>
      <c r="B15" s="4" t="s">
        <v>632</v>
      </c>
      <c r="C15" s="4" t="s">
        <v>629</v>
      </c>
      <c r="E15" s="4">
        <v>14</v>
      </c>
      <c r="F15" s="4" t="s">
        <v>649</v>
      </c>
      <c r="G15" s="4" t="s">
        <v>627</v>
      </c>
    </row>
    <row r="16" spans="1:7" x14ac:dyDescent="0.2">
      <c r="A16" s="4">
        <v>87</v>
      </c>
      <c r="B16" s="4" t="s">
        <v>632</v>
      </c>
      <c r="C16" s="4" t="s">
        <v>630</v>
      </c>
      <c r="E16" s="4">
        <v>15</v>
      </c>
      <c r="F16" s="4" t="s">
        <v>649</v>
      </c>
      <c r="G16" s="4" t="s">
        <v>628</v>
      </c>
    </row>
    <row r="17" spans="1:7" x14ac:dyDescent="0.2">
      <c r="A17" s="4">
        <v>49</v>
      </c>
      <c r="B17" s="4" t="s">
        <v>633</v>
      </c>
      <c r="C17" s="4" t="s">
        <v>626</v>
      </c>
      <c r="E17" s="4">
        <v>16</v>
      </c>
      <c r="F17" s="4" t="s">
        <v>644</v>
      </c>
      <c r="G17" s="4" t="s">
        <v>629</v>
      </c>
    </row>
    <row r="18" spans="1:7" x14ac:dyDescent="0.2">
      <c r="A18" s="4">
        <v>86</v>
      </c>
      <c r="B18" s="4" t="s">
        <v>633</v>
      </c>
      <c r="C18" s="4" t="s">
        <v>627</v>
      </c>
      <c r="E18" s="4">
        <v>17</v>
      </c>
      <c r="F18" s="4" t="s">
        <v>643</v>
      </c>
      <c r="G18" s="4" t="s">
        <v>628</v>
      </c>
    </row>
    <row r="19" spans="1:7" x14ac:dyDescent="0.2">
      <c r="A19" s="4">
        <v>73</v>
      </c>
      <c r="B19" s="4" t="s">
        <v>633</v>
      </c>
      <c r="C19" s="4" t="s">
        <v>628</v>
      </c>
      <c r="E19" s="4">
        <v>18</v>
      </c>
      <c r="F19" s="4" t="s">
        <v>649</v>
      </c>
      <c r="G19" s="4" t="s">
        <v>629</v>
      </c>
    </row>
    <row r="20" spans="1:7" x14ac:dyDescent="0.2">
      <c r="A20" s="4">
        <v>60</v>
      </c>
      <c r="B20" s="4" t="s">
        <v>633</v>
      </c>
      <c r="C20" s="4" t="s">
        <v>629</v>
      </c>
      <c r="E20" s="4">
        <v>19</v>
      </c>
      <c r="F20" s="4" t="s">
        <v>645</v>
      </c>
      <c r="G20" s="4" t="s">
        <v>630</v>
      </c>
    </row>
    <row r="21" spans="1:7" x14ac:dyDescent="0.2">
      <c r="A21" s="4">
        <v>46</v>
      </c>
      <c r="B21" s="4" t="s">
        <v>633</v>
      </c>
      <c r="C21" s="4" t="s">
        <v>630</v>
      </c>
      <c r="E21" s="4">
        <v>20</v>
      </c>
      <c r="F21" s="4" t="s">
        <v>644</v>
      </c>
      <c r="G21" s="4" t="s">
        <v>630</v>
      </c>
    </row>
    <row r="22" spans="1:7" x14ac:dyDescent="0.2">
      <c r="A22" s="4">
        <v>89</v>
      </c>
      <c r="B22" s="4" t="s">
        <v>634</v>
      </c>
      <c r="C22" s="4" t="s">
        <v>626</v>
      </c>
      <c r="E22" s="4">
        <v>21</v>
      </c>
      <c r="F22" s="4" t="s">
        <v>641</v>
      </c>
      <c r="G22" s="4" t="s">
        <v>626</v>
      </c>
    </row>
    <row r="23" spans="1:7" x14ac:dyDescent="0.2">
      <c r="A23" s="4">
        <v>51</v>
      </c>
      <c r="B23" s="4" t="s">
        <v>634</v>
      </c>
      <c r="C23" s="4" t="s">
        <v>627</v>
      </c>
      <c r="E23" s="4">
        <v>22</v>
      </c>
      <c r="F23" s="4" t="s">
        <v>646</v>
      </c>
      <c r="G23" s="4" t="s">
        <v>628</v>
      </c>
    </row>
    <row r="24" spans="1:7" x14ac:dyDescent="0.2">
      <c r="A24" s="4">
        <v>45</v>
      </c>
      <c r="B24" s="4" t="s">
        <v>634</v>
      </c>
      <c r="C24" s="4" t="s">
        <v>628</v>
      </c>
      <c r="E24" s="4">
        <v>23</v>
      </c>
      <c r="F24" s="4" t="s">
        <v>647</v>
      </c>
      <c r="G24" s="4" t="s">
        <v>627</v>
      </c>
    </row>
    <row r="25" spans="1:7" x14ac:dyDescent="0.2">
      <c r="A25" s="4">
        <v>42</v>
      </c>
      <c r="B25" s="4" t="s">
        <v>634</v>
      </c>
      <c r="C25" s="4" t="s">
        <v>629</v>
      </c>
      <c r="E25" s="4">
        <v>24</v>
      </c>
      <c r="F25" s="4" t="s">
        <v>640</v>
      </c>
      <c r="G25" s="4" t="s">
        <v>630</v>
      </c>
    </row>
    <row r="26" spans="1:7" x14ac:dyDescent="0.2">
      <c r="A26" s="4">
        <v>83</v>
      </c>
      <c r="B26" s="4" t="s">
        <v>634</v>
      </c>
      <c r="C26" s="4" t="s">
        <v>630</v>
      </c>
      <c r="E26" s="4">
        <v>25</v>
      </c>
      <c r="F26" s="4" t="s">
        <v>640</v>
      </c>
      <c r="G26" s="4" t="s">
        <v>629</v>
      </c>
    </row>
    <row r="27" spans="1:7" x14ac:dyDescent="0.2">
      <c r="A27" s="4">
        <v>56</v>
      </c>
      <c r="B27" s="4" t="s">
        <v>635</v>
      </c>
      <c r="C27" s="4" t="s">
        <v>626</v>
      </c>
      <c r="E27" s="4">
        <v>26</v>
      </c>
      <c r="F27" s="4" t="s">
        <v>641</v>
      </c>
      <c r="G27" s="4" t="s">
        <v>627</v>
      </c>
    </row>
    <row r="28" spans="1:7" x14ac:dyDescent="0.2">
      <c r="A28" s="4">
        <v>84</v>
      </c>
      <c r="B28" s="4" t="s">
        <v>635</v>
      </c>
      <c r="C28" s="4" t="s">
        <v>627</v>
      </c>
      <c r="E28" s="4">
        <v>27</v>
      </c>
      <c r="F28" s="4" t="s">
        <v>647</v>
      </c>
      <c r="G28" s="4" t="s">
        <v>626</v>
      </c>
    </row>
    <row r="29" spans="1:7" x14ac:dyDescent="0.2">
      <c r="A29" s="4">
        <v>82</v>
      </c>
      <c r="B29" s="4" t="s">
        <v>635</v>
      </c>
      <c r="C29" s="4" t="s">
        <v>628</v>
      </c>
      <c r="E29" s="4">
        <v>28</v>
      </c>
      <c r="F29" s="4" t="s">
        <v>646</v>
      </c>
      <c r="G29" s="4" t="s">
        <v>626</v>
      </c>
    </row>
    <row r="30" spans="1:7" x14ac:dyDescent="0.2">
      <c r="A30" s="4">
        <v>81</v>
      </c>
      <c r="B30" s="4" t="s">
        <v>635</v>
      </c>
      <c r="C30" s="4" t="s">
        <v>629</v>
      </c>
      <c r="E30" s="4">
        <v>29</v>
      </c>
      <c r="F30" s="4" t="s">
        <v>640</v>
      </c>
      <c r="G30" s="4" t="s">
        <v>627</v>
      </c>
    </row>
    <row r="31" spans="1:7" x14ac:dyDescent="0.2">
      <c r="A31" s="4">
        <v>53</v>
      </c>
      <c r="B31" s="4" t="s">
        <v>635</v>
      </c>
      <c r="C31" s="4" t="s">
        <v>630</v>
      </c>
      <c r="E31" s="4">
        <v>30</v>
      </c>
      <c r="F31" s="4" t="s">
        <v>645</v>
      </c>
      <c r="G31" s="4" t="s">
        <v>628</v>
      </c>
    </row>
    <row r="32" spans="1:7" x14ac:dyDescent="0.2">
      <c r="A32" s="4">
        <v>61</v>
      </c>
      <c r="B32" s="4" t="s">
        <v>636</v>
      </c>
      <c r="C32" s="4" t="s">
        <v>626</v>
      </c>
      <c r="E32" s="4">
        <v>31</v>
      </c>
      <c r="F32" s="4" t="s">
        <v>648</v>
      </c>
      <c r="G32" s="4" t="s">
        <v>626</v>
      </c>
    </row>
    <row r="33" spans="1:7" x14ac:dyDescent="0.2">
      <c r="A33" s="4">
        <v>85</v>
      </c>
      <c r="B33" s="4" t="s">
        <v>636</v>
      </c>
      <c r="C33" s="4" t="s">
        <v>627</v>
      </c>
      <c r="E33" s="4">
        <v>32</v>
      </c>
      <c r="F33" s="4" t="s">
        <v>647</v>
      </c>
      <c r="G33" s="4" t="s">
        <v>629</v>
      </c>
    </row>
    <row r="34" spans="1:7" x14ac:dyDescent="0.2">
      <c r="A34" s="4">
        <v>62</v>
      </c>
      <c r="B34" s="4" t="s">
        <v>636</v>
      </c>
      <c r="C34" s="4" t="s">
        <v>628</v>
      </c>
      <c r="E34" s="4">
        <v>33</v>
      </c>
      <c r="F34" s="4" t="s">
        <v>647</v>
      </c>
      <c r="G34" s="4" t="s">
        <v>630</v>
      </c>
    </row>
    <row r="35" spans="1:7" x14ac:dyDescent="0.2">
      <c r="A35" s="4">
        <v>64</v>
      </c>
      <c r="B35" s="4" t="s">
        <v>636</v>
      </c>
      <c r="C35" s="4" t="s">
        <v>629</v>
      </c>
      <c r="E35" s="4">
        <v>34</v>
      </c>
      <c r="F35" s="4" t="s">
        <v>646</v>
      </c>
      <c r="G35" s="4" t="s">
        <v>629</v>
      </c>
    </row>
    <row r="36" spans="1:7" x14ac:dyDescent="0.2">
      <c r="A36" s="4">
        <v>63</v>
      </c>
      <c r="B36" s="4" t="s">
        <v>636</v>
      </c>
      <c r="C36" s="4" t="s">
        <v>630</v>
      </c>
      <c r="E36" s="4">
        <v>35</v>
      </c>
      <c r="F36" s="4" t="s">
        <v>649</v>
      </c>
      <c r="G36" s="4" t="s">
        <v>626</v>
      </c>
    </row>
    <row r="37" spans="1:7" x14ac:dyDescent="0.2">
      <c r="A37" s="4">
        <v>68</v>
      </c>
      <c r="B37" s="4" t="s">
        <v>637</v>
      </c>
      <c r="C37" s="4" t="s">
        <v>626</v>
      </c>
      <c r="E37" s="4">
        <v>36</v>
      </c>
      <c r="F37" s="4" t="s">
        <v>645</v>
      </c>
      <c r="G37" s="4" t="s">
        <v>629</v>
      </c>
    </row>
    <row r="38" spans="1:7" x14ac:dyDescent="0.2">
      <c r="A38" s="4">
        <v>67</v>
      </c>
      <c r="B38" s="4" t="s">
        <v>637</v>
      </c>
      <c r="C38" s="4" t="s">
        <v>627</v>
      </c>
      <c r="E38" s="4">
        <v>37</v>
      </c>
      <c r="F38" s="4" t="s">
        <v>649</v>
      </c>
      <c r="G38" s="4" t="s">
        <v>628</v>
      </c>
    </row>
    <row r="39" spans="1:7" x14ac:dyDescent="0.2">
      <c r="A39" s="4">
        <v>66</v>
      </c>
      <c r="B39" s="4" t="s">
        <v>637</v>
      </c>
      <c r="C39" s="4" t="s">
        <v>628</v>
      </c>
      <c r="E39" s="4">
        <v>38</v>
      </c>
      <c r="F39" s="4" t="s">
        <v>641</v>
      </c>
      <c r="G39" s="4" t="s">
        <v>629</v>
      </c>
    </row>
    <row r="40" spans="1:7" x14ac:dyDescent="0.2">
      <c r="A40" s="4">
        <v>65</v>
      </c>
      <c r="B40" s="4" t="s">
        <v>637</v>
      </c>
      <c r="C40" s="4" t="s">
        <v>629</v>
      </c>
      <c r="E40" s="4">
        <v>39</v>
      </c>
      <c r="F40" s="4" t="s">
        <v>647</v>
      </c>
      <c r="G40" s="4" t="s">
        <v>628</v>
      </c>
    </row>
    <row r="41" spans="1:7" x14ac:dyDescent="0.2">
      <c r="A41" s="4">
        <v>80</v>
      </c>
      <c r="B41" s="4" t="s">
        <v>637</v>
      </c>
      <c r="C41" s="4" t="s">
        <v>630</v>
      </c>
      <c r="E41" s="4">
        <v>40</v>
      </c>
      <c r="F41" s="4" t="s">
        <v>641</v>
      </c>
      <c r="G41" s="4" t="s">
        <v>628</v>
      </c>
    </row>
    <row r="42" spans="1:7" x14ac:dyDescent="0.2">
      <c r="A42" s="4">
        <v>43</v>
      </c>
      <c r="B42" s="4" t="s">
        <v>638</v>
      </c>
      <c r="C42" s="4" t="s">
        <v>626</v>
      </c>
      <c r="E42" s="4">
        <v>41</v>
      </c>
      <c r="F42" s="4" t="s">
        <v>644</v>
      </c>
      <c r="G42" s="4" t="s">
        <v>626</v>
      </c>
    </row>
    <row r="43" spans="1:7" x14ac:dyDescent="0.2">
      <c r="A43" s="4">
        <v>54</v>
      </c>
      <c r="B43" s="4" t="s">
        <v>638</v>
      </c>
      <c r="C43" s="4" t="s">
        <v>627</v>
      </c>
      <c r="E43" s="4">
        <v>42</v>
      </c>
      <c r="F43" s="4" t="s">
        <v>634</v>
      </c>
      <c r="G43" s="4" t="s">
        <v>629</v>
      </c>
    </row>
    <row r="44" spans="1:7" x14ac:dyDescent="0.2">
      <c r="A44" s="4">
        <v>50</v>
      </c>
      <c r="B44" s="4" t="s">
        <v>638</v>
      </c>
      <c r="C44" s="4" t="s">
        <v>628</v>
      </c>
      <c r="E44" s="4">
        <v>43</v>
      </c>
      <c r="F44" s="4" t="s">
        <v>638</v>
      </c>
      <c r="G44" s="4" t="s">
        <v>626</v>
      </c>
    </row>
    <row r="45" spans="1:7" x14ac:dyDescent="0.2">
      <c r="A45" s="4">
        <v>90</v>
      </c>
      <c r="B45" s="4" t="s">
        <v>638</v>
      </c>
      <c r="C45" s="4" t="s">
        <v>629</v>
      </c>
      <c r="E45" s="4">
        <v>44</v>
      </c>
      <c r="F45" s="4" t="s">
        <v>631</v>
      </c>
      <c r="G45" s="4" t="s">
        <v>630</v>
      </c>
    </row>
    <row r="46" spans="1:7" x14ac:dyDescent="0.2">
      <c r="A46" s="4">
        <v>88</v>
      </c>
      <c r="B46" s="4" t="s">
        <v>638</v>
      </c>
      <c r="C46" s="4" t="s">
        <v>630</v>
      </c>
      <c r="E46" s="4">
        <v>45</v>
      </c>
      <c r="F46" s="4" t="s">
        <v>634</v>
      </c>
      <c r="G46" s="4" t="s">
        <v>628</v>
      </c>
    </row>
    <row r="47" spans="1:7" x14ac:dyDescent="0.2">
      <c r="A47" s="4">
        <v>72</v>
      </c>
      <c r="B47" s="4" t="s">
        <v>640</v>
      </c>
      <c r="C47" s="4" t="s">
        <v>626</v>
      </c>
      <c r="E47" s="4">
        <v>46</v>
      </c>
      <c r="F47" s="4" t="s">
        <v>633</v>
      </c>
      <c r="G47" s="4" t="s">
        <v>630</v>
      </c>
    </row>
    <row r="48" spans="1:7" x14ac:dyDescent="0.2">
      <c r="A48" s="4">
        <v>29</v>
      </c>
      <c r="B48" s="4" t="s">
        <v>640</v>
      </c>
      <c r="C48" s="4" t="s">
        <v>627</v>
      </c>
      <c r="E48" s="4">
        <v>47</v>
      </c>
      <c r="F48" s="4" t="s">
        <v>632</v>
      </c>
      <c r="G48" s="4" t="s">
        <v>626</v>
      </c>
    </row>
    <row r="49" spans="1:7" x14ac:dyDescent="0.2">
      <c r="A49" s="4">
        <v>71</v>
      </c>
      <c r="B49" s="4" t="s">
        <v>640</v>
      </c>
      <c r="C49" s="4" t="s">
        <v>628</v>
      </c>
      <c r="E49" s="4">
        <v>48</v>
      </c>
      <c r="F49" s="4" t="s">
        <v>632</v>
      </c>
      <c r="G49" s="4" t="s">
        <v>628</v>
      </c>
    </row>
    <row r="50" spans="1:7" x14ac:dyDescent="0.2">
      <c r="A50" s="4">
        <v>25</v>
      </c>
      <c r="B50" s="4" t="s">
        <v>640</v>
      </c>
      <c r="C50" s="4" t="s">
        <v>629</v>
      </c>
      <c r="E50" s="4">
        <v>49</v>
      </c>
      <c r="F50" s="4" t="s">
        <v>633</v>
      </c>
      <c r="G50" s="4" t="s">
        <v>626</v>
      </c>
    </row>
    <row r="51" spans="1:7" x14ac:dyDescent="0.2">
      <c r="A51" s="4">
        <v>24</v>
      </c>
      <c r="B51" s="4" t="s">
        <v>640</v>
      </c>
      <c r="C51" s="4" t="s">
        <v>630</v>
      </c>
      <c r="E51" s="4">
        <v>50</v>
      </c>
      <c r="F51" s="4" t="s">
        <v>638</v>
      </c>
      <c r="G51" s="4" t="s">
        <v>628</v>
      </c>
    </row>
    <row r="52" spans="1:7" x14ac:dyDescent="0.2">
      <c r="A52" s="4">
        <v>21</v>
      </c>
      <c r="B52" s="4" t="s">
        <v>641</v>
      </c>
      <c r="C52" s="4" t="s">
        <v>626</v>
      </c>
      <c r="E52" s="4">
        <v>51</v>
      </c>
      <c r="F52" s="4" t="s">
        <v>634</v>
      </c>
      <c r="G52" s="4" t="s">
        <v>627</v>
      </c>
    </row>
    <row r="53" spans="1:7" x14ac:dyDescent="0.2">
      <c r="A53" s="4">
        <v>26</v>
      </c>
      <c r="B53" s="4" t="s">
        <v>641</v>
      </c>
      <c r="C53" s="4" t="s">
        <v>627</v>
      </c>
      <c r="E53" s="4">
        <v>52</v>
      </c>
      <c r="F53" s="4" t="s">
        <v>646</v>
      </c>
      <c r="G53" s="4" t="s">
        <v>627</v>
      </c>
    </row>
    <row r="54" spans="1:7" x14ac:dyDescent="0.2">
      <c r="A54" s="4">
        <v>40</v>
      </c>
      <c r="B54" s="4" t="s">
        <v>641</v>
      </c>
      <c r="C54" s="4" t="s">
        <v>628</v>
      </c>
      <c r="E54" s="4">
        <v>53</v>
      </c>
      <c r="F54" s="4" t="s">
        <v>635</v>
      </c>
      <c r="G54" s="4" t="s">
        <v>630</v>
      </c>
    </row>
    <row r="55" spans="1:7" x14ac:dyDescent="0.2">
      <c r="A55" s="4">
        <v>38</v>
      </c>
      <c r="B55" s="4" t="s">
        <v>641</v>
      </c>
      <c r="C55" s="4" t="s">
        <v>629</v>
      </c>
      <c r="E55" s="4">
        <v>54</v>
      </c>
      <c r="F55" s="4" t="s">
        <v>638</v>
      </c>
      <c r="G55" s="4" t="s">
        <v>627</v>
      </c>
    </row>
    <row r="56" spans="1:7" x14ac:dyDescent="0.2">
      <c r="A56" s="4">
        <v>4</v>
      </c>
      <c r="B56" s="4" t="s">
        <v>641</v>
      </c>
      <c r="C56" s="4" t="s">
        <v>630</v>
      </c>
      <c r="E56" s="4">
        <v>55</v>
      </c>
      <c r="F56" s="4" t="s">
        <v>644</v>
      </c>
      <c r="G56" s="4" t="s">
        <v>627</v>
      </c>
    </row>
    <row r="57" spans="1:7" x14ac:dyDescent="0.2">
      <c r="A57" s="4">
        <v>3</v>
      </c>
      <c r="B57" s="4" t="s">
        <v>643</v>
      </c>
      <c r="C57" s="4" t="s">
        <v>626</v>
      </c>
      <c r="E57" s="4">
        <v>56</v>
      </c>
      <c r="F57" s="4" t="s">
        <v>635</v>
      </c>
      <c r="G57" s="4" t="s">
        <v>626</v>
      </c>
    </row>
    <row r="58" spans="1:7" x14ac:dyDescent="0.2">
      <c r="A58" s="4">
        <v>12</v>
      </c>
      <c r="B58" s="4" t="s">
        <v>643</v>
      </c>
      <c r="C58" s="4" t="s">
        <v>627</v>
      </c>
      <c r="E58" s="4">
        <v>57</v>
      </c>
      <c r="F58" s="4" t="s">
        <v>632</v>
      </c>
      <c r="G58" s="4" t="s">
        <v>627</v>
      </c>
    </row>
    <row r="59" spans="1:7" x14ac:dyDescent="0.2">
      <c r="A59" s="4">
        <v>17</v>
      </c>
      <c r="B59" s="4" t="s">
        <v>643</v>
      </c>
      <c r="C59" s="4" t="s">
        <v>628</v>
      </c>
      <c r="E59" s="4">
        <v>58</v>
      </c>
      <c r="F59" s="4" t="s">
        <v>625</v>
      </c>
      <c r="G59" s="4" t="s">
        <v>627</v>
      </c>
    </row>
    <row r="60" spans="1:7" x14ac:dyDescent="0.2">
      <c r="A60" s="4">
        <v>8</v>
      </c>
      <c r="B60" s="4" t="s">
        <v>643</v>
      </c>
      <c r="C60" s="4" t="s">
        <v>629</v>
      </c>
      <c r="E60" s="4">
        <v>59</v>
      </c>
      <c r="F60" s="4" t="s">
        <v>625</v>
      </c>
      <c r="G60" s="4" t="s">
        <v>626</v>
      </c>
    </row>
    <row r="61" spans="1:7" x14ac:dyDescent="0.2">
      <c r="A61" s="4">
        <v>7</v>
      </c>
      <c r="B61" s="4" t="s">
        <v>643</v>
      </c>
      <c r="C61" s="4" t="s">
        <v>630</v>
      </c>
      <c r="E61" s="4">
        <v>60</v>
      </c>
      <c r="F61" s="4" t="s">
        <v>633</v>
      </c>
      <c r="G61" s="4" t="s">
        <v>629</v>
      </c>
    </row>
    <row r="62" spans="1:7" x14ac:dyDescent="0.2">
      <c r="A62" s="4">
        <v>41</v>
      </c>
      <c r="B62" s="4" t="s">
        <v>644</v>
      </c>
      <c r="C62" s="4" t="s">
        <v>626</v>
      </c>
      <c r="E62" s="4">
        <v>61</v>
      </c>
      <c r="F62" s="4" t="s">
        <v>636</v>
      </c>
      <c r="G62" s="4" t="s">
        <v>626</v>
      </c>
    </row>
    <row r="63" spans="1:7" x14ac:dyDescent="0.2">
      <c r="A63" s="4">
        <v>55</v>
      </c>
      <c r="B63" s="4" t="s">
        <v>644</v>
      </c>
      <c r="C63" s="4" t="s">
        <v>627</v>
      </c>
      <c r="E63" s="4">
        <v>62</v>
      </c>
      <c r="F63" s="4" t="s">
        <v>636</v>
      </c>
      <c r="G63" s="4" t="s">
        <v>628</v>
      </c>
    </row>
    <row r="64" spans="1:7" x14ac:dyDescent="0.2">
      <c r="A64" s="4">
        <v>5</v>
      </c>
      <c r="B64" s="4" t="s">
        <v>644</v>
      </c>
      <c r="C64" s="4" t="s">
        <v>628</v>
      </c>
      <c r="E64" s="4">
        <v>63</v>
      </c>
      <c r="F64" s="4" t="s">
        <v>636</v>
      </c>
      <c r="G64" s="4" t="s">
        <v>630</v>
      </c>
    </row>
    <row r="65" spans="1:7" x14ac:dyDescent="0.2">
      <c r="A65" s="4">
        <v>16</v>
      </c>
      <c r="B65" s="4" t="s">
        <v>644</v>
      </c>
      <c r="C65" s="4" t="s">
        <v>629</v>
      </c>
      <c r="E65" s="4">
        <v>64</v>
      </c>
      <c r="F65" s="4" t="s">
        <v>636</v>
      </c>
      <c r="G65" s="4" t="s">
        <v>629</v>
      </c>
    </row>
    <row r="66" spans="1:7" x14ac:dyDescent="0.2">
      <c r="A66" s="4">
        <v>20</v>
      </c>
      <c r="B66" s="4" t="s">
        <v>644</v>
      </c>
      <c r="C66" s="4" t="s">
        <v>630</v>
      </c>
      <c r="E66" s="4">
        <v>65</v>
      </c>
      <c r="F66" s="4" t="s">
        <v>637</v>
      </c>
      <c r="G66" s="4" t="s">
        <v>629</v>
      </c>
    </row>
    <row r="67" spans="1:7" x14ac:dyDescent="0.2">
      <c r="A67" s="4">
        <v>2</v>
      </c>
      <c r="B67" s="4" t="s">
        <v>645</v>
      </c>
      <c r="C67" s="4" t="s">
        <v>626</v>
      </c>
      <c r="E67" s="4">
        <v>66</v>
      </c>
      <c r="F67" s="4" t="s">
        <v>637</v>
      </c>
      <c r="G67" s="4" t="s">
        <v>628</v>
      </c>
    </row>
    <row r="68" spans="1:7" x14ac:dyDescent="0.2">
      <c r="A68" s="4">
        <v>1</v>
      </c>
      <c r="B68" s="4" t="s">
        <v>645</v>
      </c>
      <c r="C68" s="4" t="s">
        <v>627</v>
      </c>
      <c r="E68" s="4">
        <v>67</v>
      </c>
      <c r="F68" s="4" t="s">
        <v>637</v>
      </c>
      <c r="G68" s="4" t="s">
        <v>627</v>
      </c>
    </row>
    <row r="69" spans="1:7" x14ac:dyDescent="0.2">
      <c r="A69" s="4">
        <v>30</v>
      </c>
      <c r="B69" s="4" t="s">
        <v>645</v>
      </c>
      <c r="C69" s="4" t="s">
        <v>628</v>
      </c>
      <c r="E69" s="4">
        <v>68</v>
      </c>
      <c r="F69" s="4" t="s">
        <v>637</v>
      </c>
      <c r="G69" s="4" t="s">
        <v>626</v>
      </c>
    </row>
    <row r="70" spans="1:7" x14ac:dyDescent="0.2">
      <c r="A70" s="4">
        <v>36</v>
      </c>
      <c r="B70" s="4" t="s">
        <v>645</v>
      </c>
      <c r="C70" s="4" t="s">
        <v>629</v>
      </c>
      <c r="E70" s="4">
        <v>69</v>
      </c>
      <c r="F70" s="4" t="s">
        <v>631</v>
      </c>
      <c r="G70" s="4" t="s">
        <v>629</v>
      </c>
    </row>
    <row r="71" spans="1:7" x14ac:dyDescent="0.2">
      <c r="A71" s="4">
        <v>19</v>
      </c>
      <c r="B71" s="4" t="s">
        <v>645</v>
      </c>
      <c r="C71" s="4" t="s">
        <v>630</v>
      </c>
      <c r="E71" s="4">
        <v>70</v>
      </c>
      <c r="F71" s="4" t="s">
        <v>631</v>
      </c>
      <c r="G71" s="4" t="s">
        <v>628</v>
      </c>
    </row>
    <row r="72" spans="1:7" x14ac:dyDescent="0.2">
      <c r="A72" s="4">
        <v>28</v>
      </c>
      <c r="B72" s="4" t="s">
        <v>646</v>
      </c>
      <c r="C72" s="4" t="s">
        <v>626</v>
      </c>
      <c r="E72" s="4">
        <v>71</v>
      </c>
      <c r="F72" s="4" t="s">
        <v>640</v>
      </c>
      <c r="G72" s="4" t="s">
        <v>628</v>
      </c>
    </row>
    <row r="73" spans="1:7" x14ac:dyDescent="0.2">
      <c r="A73" s="4">
        <v>52</v>
      </c>
      <c r="B73" s="4" t="s">
        <v>646</v>
      </c>
      <c r="C73" s="4" t="s">
        <v>627</v>
      </c>
      <c r="E73" s="4">
        <v>72</v>
      </c>
      <c r="F73" s="4" t="s">
        <v>640</v>
      </c>
      <c r="G73" s="4" t="s">
        <v>626</v>
      </c>
    </row>
    <row r="74" spans="1:7" x14ac:dyDescent="0.2">
      <c r="A74" s="4">
        <v>22</v>
      </c>
      <c r="B74" s="4" t="s">
        <v>646</v>
      </c>
      <c r="C74" s="4" t="s">
        <v>628</v>
      </c>
      <c r="E74" s="4">
        <v>73</v>
      </c>
      <c r="F74" s="4" t="s">
        <v>633</v>
      </c>
      <c r="G74" s="4" t="s">
        <v>628</v>
      </c>
    </row>
    <row r="75" spans="1:7" x14ac:dyDescent="0.2">
      <c r="A75" s="4">
        <v>34</v>
      </c>
      <c r="B75" s="4" t="s">
        <v>646</v>
      </c>
      <c r="C75" s="4" t="s">
        <v>629</v>
      </c>
      <c r="E75" s="4">
        <v>74</v>
      </c>
      <c r="F75" s="4" t="s">
        <v>632</v>
      </c>
      <c r="G75" s="4" t="s">
        <v>629</v>
      </c>
    </row>
    <row r="76" spans="1:7" x14ac:dyDescent="0.2">
      <c r="A76" s="4">
        <v>11</v>
      </c>
      <c r="B76" s="4" t="s">
        <v>646</v>
      </c>
      <c r="C76" s="4" t="s">
        <v>630</v>
      </c>
      <c r="E76" s="4">
        <v>75</v>
      </c>
      <c r="F76" s="4" t="s">
        <v>625</v>
      </c>
      <c r="G76" s="4" t="s">
        <v>628</v>
      </c>
    </row>
    <row r="77" spans="1:7" x14ac:dyDescent="0.2">
      <c r="A77" s="4">
        <v>27</v>
      </c>
      <c r="B77" s="4" t="s">
        <v>647</v>
      </c>
      <c r="C77" s="4" t="s">
        <v>626</v>
      </c>
      <c r="E77" s="4">
        <v>76</v>
      </c>
      <c r="F77" s="4" t="s">
        <v>625</v>
      </c>
      <c r="G77" s="4" t="s">
        <v>630</v>
      </c>
    </row>
    <row r="78" spans="1:7" x14ac:dyDescent="0.2">
      <c r="A78" s="4">
        <v>23</v>
      </c>
      <c r="B78" s="4" t="s">
        <v>647</v>
      </c>
      <c r="C78" s="4" t="s">
        <v>627</v>
      </c>
      <c r="E78" s="4">
        <v>77</v>
      </c>
      <c r="F78" s="4" t="s">
        <v>625</v>
      </c>
      <c r="G78" s="4" t="s">
        <v>629</v>
      </c>
    </row>
    <row r="79" spans="1:7" x14ac:dyDescent="0.2">
      <c r="A79" s="4">
        <v>39</v>
      </c>
      <c r="B79" s="4" t="s">
        <v>647</v>
      </c>
      <c r="C79" s="4" t="s">
        <v>628</v>
      </c>
      <c r="E79" s="4">
        <v>78</v>
      </c>
      <c r="F79" s="4" t="s">
        <v>631</v>
      </c>
      <c r="G79" s="4" t="s">
        <v>626</v>
      </c>
    </row>
    <row r="80" spans="1:7" x14ac:dyDescent="0.2">
      <c r="A80" s="4">
        <v>32</v>
      </c>
      <c r="B80" s="4" t="s">
        <v>647</v>
      </c>
      <c r="C80" s="4" t="s">
        <v>629</v>
      </c>
      <c r="E80" s="4">
        <v>79</v>
      </c>
      <c r="F80" s="4" t="s">
        <v>631</v>
      </c>
      <c r="G80" s="4" t="s">
        <v>627</v>
      </c>
    </row>
    <row r="81" spans="1:7" x14ac:dyDescent="0.2">
      <c r="A81" s="4">
        <v>33</v>
      </c>
      <c r="B81" s="4" t="s">
        <v>647</v>
      </c>
      <c r="C81" s="4" t="s">
        <v>630</v>
      </c>
      <c r="E81" s="4">
        <v>80</v>
      </c>
      <c r="F81" s="4" t="s">
        <v>637</v>
      </c>
      <c r="G81" s="4" t="s">
        <v>630</v>
      </c>
    </row>
    <row r="82" spans="1:7" x14ac:dyDescent="0.2">
      <c r="A82" s="4">
        <v>31</v>
      </c>
      <c r="B82" s="4" t="s">
        <v>648</v>
      </c>
      <c r="C82" s="4" t="s">
        <v>626</v>
      </c>
      <c r="E82" s="4">
        <v>81</v>
      </c>
      <c r="F82" s="4" t="s">
        <v>635</v>
      </c>
      <c r="G82" s="4" t="s">
        <v>629</v>
      </c>
    </row>
    <row r="83" spans="1:7" x14ac:dyDescent="0.2">
      <c r="A83" s="4">
        <v>9</v>
      </c>
      <c r="B83" s="4" t="s">
        <v>648</v>
      </c>
      <c r="C83" s="4" t="s">
        <v>627</v>
      </c>
      <c r="E83" s="4">
        <v>82</v>
      </c>
      <c r="F83" s="4" t="s">
        <v>635</v>
      </c>
      <c r="G83" s="4" t="s">
        <v>628</v>
      </c>
    </row>
    <row r="84" spans="1:7" x14ac:dyDescent="0.2">
      <c r="A84" s="4">
        <v>10</v>
      </c>
      <c r="B84" s="4" t="s">
        <v>648</v>
      </c>
      <c r="C84" s="4" t="s">
        <v>628</v>
      </c>
      <c r="E84" s="4">
        <v>83</v>
      </c>
      <c r="F84" s="4" t="s">
        <v>634</v>
      </c>
      <c r="G84" s="4" t="s">
        <v>630</v>
      </c>
    </row>
    <row r="85" spans="1:7" x14ac:dyDescent="0.2">
      <c r="A85" s="4">
        <v>13</v>
      </c>
      <c r="B85" s="4" t="s">
        <v>648</v>
      </c>
      <c r="C85" s="4" t="s">
        <v>629</v>
      </c>
      <c r="E85" s="4">
        <v>84</v>
      </c>
      <c r="F85" s="4" t="s">
        <v>635</v>
      </c>
      <c r="G85" s="4" t="s">
        <v>627</v>
      </c>
    </row>
    <row r="86" spans="1:7" x14ac:dyDescent="0.2">
      <c r="A86" s="4">
        <v>6</v>
      </c>
      <c r="B86" s="4" t="s">
        <v>648</v>
      </c>
      <c r="C86" s="4" t="s">
        <v>630</v>
      </c>
      <c r="E86" s="4">
        <v>85</v>
      </c>
      <c r="F86" s="4" t="s">
        <v>636</v>
      </c>
      <c r="G86" s="4" t="s">
        <v>627</v>
      </c>
    </row>
    <row r="87" spans="1:7" x14ac:dyDescent="0.2">
      <c r="A87" s="4">
        <v>35</v>
      </c>
      <c r="B87" s="4" t="s">
        <v>649</v>
      </c>
      <c r="C87" s="4" t="s">
        <v>626</v>
      </c>
      <c r="E87" s="4">
        <v>86</v>
      </c>
      <c r="F87" s="4" t="s">
        <v>633</v>
      </c>
      <c r="G87" s="4" t="s">
        <v>627</v>
      </c>
    </row>
    <row r="88" spans="1:7" x14ac:dyDescent="0.2">
      <c r="A88" s="4">
        <v>14</v>
      </c>
      <c r="B88" s="4" t="s">
        <v>649</v>
      </c>
      <c r="C88" s="4" t="s">
        <v>627</v>
      </c>
      <c r="E88" s="4">
        <v>87</v>
      </c>
      <c r="F88" s="4" t="s">
        <v>632</v>
      </c>
      <c r="G88" s="4" t="s">
        <v>630</v>
      </c>
    </row>
    <row r="89" spans="1:7" x14ac:dyDescent="0.2">
      <c r="A89" s="4">
        <v>15</v>
      </c>
      <c r="B89" s="4" t="s">
        <v>649</v>
      </c>
      <c r="C89" s="4" t="s">
        <v>628</v>
      </c>
      <c r="E89" s="4">
        <v>88</v>
      </c>
      <c r="F89" s="4" t="s">
        <v>638</v>
      </c>
      <c r="G89" s="4" t="s">
        <v>630</v>
      </c>
    </row>
    <row r="90" spans="1:7" x14ac:dyDescent="0.2">
      <c r="A90" s="4">
        <v>37</v>
      </c>
      <c r="B90" s="4" t="s">
        <v>649</v>
      </c>
      <c r="C90" s="4" t="s">
        <v>628</v>
      </c>
      <c r="E90" s="4">
        <v>89</v>
      </c>
      <c r="F90" s="4" t="s">
        <v>634</v>
      </c>
      <c r="G90" s="4" t="s">
        <v>626</v>
      </c>
    </row>
    <row r="91" spans="1:7" x14ac:dyDescent="0.2">
      <c r="A91" s="4">
        <v>18</v>
      </c>
      <c r="B91" s="4" t="s">
        <v>649</v>
      </c>
      <c r="C91" s="4" t="s">
        <v>629</v>
      </c>
      <c r="E91" s="4">
        <v>90</v>
      </c>
      <c r="F91" s="4" t="s">
        <v>638</v>
      </c>
      <c r="G91" s="4" t="s">
        <v>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1"/>
  <sheetViews>
    <sheetView zoomScale="55" zoomScaleNormal="55" workbookViewId="0">
      <selection sqref="A1:AA1048576"/>
    </sheetView>
  </sheetViews>
  <sheetFormatPr defaultColWidth="12.7109375" defaultRowHeight="15.75" customHeight="1" x14ac:dyDescent="0.2"/>
  <cols>
    <col min="1" max="1" width="6.140625" customWidth="1"/>
    <col min="2" max="2" width="8.7109375" customWidth="1"/>
    <col min="3" max="3" width="7.28515625" customWidth="1"/>
    <col min="4" max="4" width="8.28515625" customWidth="1"/>
    <col min="5" max="5" width="16.7109375" customWidth="1"/>
    <col min="12" max="12" width="13.7109375" customWidth="1"/>
    <col min="13" max="13" width="14.28515625" customWidth="1"/>
    <col min="22" max="22" width="30.28515625" customWidth="1"/>
  </cols>
  <sheetData>
    <row r="1" spans="1:26" ht="12.75" x14ac:dyDescent="0.2">
      <c r="A1" s="4" t="s">
        <v>613</v>
      </c>
      <c r="B1" s="4" t="s">
        <v>614</v>
      </c>
      <c r="C1" s="4" t="s">
        <v>650</v>
      </c>
      <c r="D1" s="4" t="s">
        <v>651</v>
      </c>
      <c r="E1" s="4" t="s">
        <v>652</v>
      </c>
      <c r="F1" s="4" t="s">
        <v>653</v>
      </c>
      <c r="G1" s="4" t="s">
        <v>654</v>
      </c>
      <c r="H1" s="4" t="s">
        <v>655</v>
      </c>
      <c r="I1" s="4" t="s">
        <v>656</v>
      </c>
      <c r="J1" s="4" t="s">
        <v>657</v>
      </c>
      <c r="K1" s="4" t="s">
        <v>658</v>
      </c>
      <c r="L1" s="4" t="s">
        <v>659</v>
      </c>
      <c r="M1" s="4" t="s">
        <v>660</v>
      </c>
      <c r="N1" s="4" t="s">
        <v>661</v>
      </c>
      <c r="O1" s="4" t="s">
        <v>662</v>
      </c>
      <c r="P1" s="4" t="s">
        <v>663</v>
      </c>
      <c r="Q1" s="4" t="s">
        <v>664</v>
      </c>
      <c r="R1" s="4" t="s">
        <v>665</v>
      </c>
      <c r="S1" s="17" t="s">
        <v>756</v>
      </c>
      <c r="T1" s="4" t="s">
        <v>666</v>
      </c>
      <c r="U1" s="4" t="s">
        <v>667</v>
      </c>
      <c r="V1" s="4" t="s">
        <v>668</v>
      </c>
      <c r="W1" s="4" t="s">
        <v>669</v>
      </c>
      <c r="X1" s="4" t="s">
        <v>670</v>
      </c>
      <c r="Y1" t="s">
        <v>671</v>
      </c>
      <c r="Z1" t="s">
        <v>672</v>
      </c>
    </row>
    <row r="2" spans="1:26" ht="12.75" x14ac:dyDescent="0.2">
      <c r="A2" s="4">
        <v>1</v>
      </c>
      <c r="B2" s="4" t="s">
        <v>645</v>
      </c>
      <c r="C2" s="4" t="s">
        <v>627</v>
      </c>
      <c r="D2" s="4">
        <v>43</v>
      </c>
      <c r="E2" s="4">
        <v>42</v>
      </c>
      <c r="F2" s="4">
        <v>15</v>
      </c>
      <c r="G2" s="4" t="s">
        <v>673</v>
      </c>
      <c r="H2" s="4">
        <v>7.7</v>
      </c>
      <c r="I2" s="4">
        <v>121</v>
      </c>
      <c r="J2" s="4">
        <v>76</v>
      </c>
      <c r="K2" s="4">
        <v>6672</v>
      </c>
      <c r="L2" s="4">
        <v>574</v>
      </c>
      <c r="M2" s="4">
        <v>5.7</v>
      </c>
      <c r="N2" s="4">
        <v>158</v>
      </c>
      <c r="O2" s="4">
        <v>8.1</v>
      </c>
      <c r="P2" s="4">
        <v>1</v>
      </c>
      <c r="Q2" s="4">
        <v>38.299999999999997</v>
      </c>
      <c r="R2" s="4">
        <v>0.5</v>
      </c>
      <c r="S2" s="4">
        <v>87.1</v>
      </c>
      <c r="T2" s="18">
        <v>12.5</v>
      </c>
      <c r="U2" s="18">
        <v>0</v>
      </c>
      <c r="V2" s="18">
        <v>0.2</v>
      </c>
      <c r="W2" s="18">
        <v>33.4</v>
      </c>
      <c r="X2">
        <v>4.8</v>
      </c>
      <c r="Y2">
        <v>0</v>
      </c>
    </row>
    <row r="3" spans="1:26" ht="12.75" x14ac:dyDescent="0.2">
      <c r="A3" s="4">
        <v>2</v>
      </c>
      <c r="B3" s="4" t="s">
        <v>645</v>
      </c>
      <c r="C3" s="4" t="s">
        <v>626</v>
      </c>
      <c r="D3" s="4">
        <v>31</v>
      </c>
      <c r="E3" s="4">
        <v>48</v>
      </c>
      <c r="F3" s="4">
        <v>21</v>
      </c>
      <c r="G3" s="4" t="s">
        <v>673</v>
      </c>
      <c r="H3" s="4">
        <v>7.7</v>
      </c>
      <c r="I3" s="4">
        <v>125</v>
      </c>
      <c r="J3" s="4">
        <v>71</v>
      </c>
      <c r="K3" s="4">
        <v>6431</v>
      </c>
      <c r="L3" s="4">
        <v>562</v>
      </c>
      <c r="M3" s="4">
        <v>5.2</v>
      </c>
      <c r="N3" s="4">
        <v>148</v>
      </c>
      <c r="O3" s="4">
        <v>7.2</v>
      </c>
      <c r="P3" s="4">
        <v>1</v>
      </c>
      <c r="Q3" s="4">
        <v>37</v>
      </c>
      <c r="R3" s="4">
        <v>0.5</v>
      </c>
      <c r="S3" s="4">
        <v>86.9</v>
      </c>
      <c r="T3" s="18">
        <v>12.7</v>
      </c>
      <c r="U3" s="18">
        <v>0</v>
      </c>
      <c r="V3" s="18">
        <v>0.2</v>
      </c>
      <c r="W3" s="18">
        <v>32.200000000000003</v>
      </c>
      <c r="X3">
        <v>4.7</v>
      </c>
      <c r="Y3">
        <v>0</v>
      </c>
    </row>
    <row r="4" spans="1:26" ht="12.75" x14ac:dyDescent="0.2">
      <c r="A4" s="4">
        <v>3</v>
      </c>
      <c r="B4" s="4" t="s">
        <v>643</v>
      </c>
      <c r="C4" s="4" t="s">
        <v>626</v>
      </c>
      <c r="D4" s="4">
        <v>45</v>
      </c>
      <c r="E4" s="4">
        <v>38</v>
      </c>
      <c r="F4" s="4">
        <v>17</v>
      </c>
      <c r="G4" s="4" t="s">
        <v>673</v>
      </c>
      <c r="H4" s="4">
        <v>7.7</v>
      </c>
      <c r="I4" s="4">
        <v>117</v>
      </c>
      <c r="J4" s="4">
        <v>90</v>
      </c>
      <c r="K4" s="4">
        <v>7090</v>
      </c>
      <c r="L4" s="4">
        <v>614</v>
      </c>
      <c r="M4" s="4">
        <v>5.7</v>
      </c>
      <c r="N4" s="4">
        <v>158</v>
      </c>
      <c r="O4" s="4">
        <v>9.3000000000000007</v>
      </c>
      <c r="P4" s="4">
        <v>1</v>
      </c>
      <c r="Q4" s="4">
        <v>40.799999999999997</v>
      </c>
      <c r="R4" s="4">
        <v>0.6</v>
      </c>
      <c r="S4" s="4">
        <v>86.9</v>
      </c>
      <c r="T4" s="18">
        <v>12.5</v>
      </c>
      <c r="U4" s="18">
        <v>0</v>
      </c>
      <c r="V4" s="18">
        <v>0.2</v>
      </c>
      <c r="W4" s="18">
        <v>35.5</v>
      </c>
      <c r="X4" s="4">
        <v>5.0999999999999996</v>
      </c>
      <c r="Y4">
        <v>0</v>
      </c>
      <c r="Z4" t="s">
        <v>674</v>
      </c>
    </row>
    <row r="5" spans="1:26" ht="12.75" x14ac:dyDescent="0.2">
      <c r="A5" s="4">
        <v>4</v>
      </c>
      <c r="B5" s="4" t="s">
        <v>641</v>
      </c>
      <c r="C5" s="4" t="s">
        <v>630</v>
      </c>
      <c r="D5" s="4">
        <v>35</v>
      </c>
      <c r="E5" s="4">
        <v>48</v>
      </c>
      <c r="F5" s="4">
        <v>17</v>
      </c>
      <c r="G5" s="4" t="s">
        <v>673</v>
      </c>
      <c r="H5" s="4">
        <v>7.6</v>
      </c>
      <c r="I5" s="4">
        <v>113</v>
      </c>
      <c r="J5" s="4">
        <v>98</v>
      </c>
      <c r="K5" s="4">
        <v>7205</v>
      </c>
      <c r="L5" s="4">
        <v>609</v>
      </c>
      <c r="M5" s="4">
        <v>6.8</v>
      </c>
      <c r="N5" s="4">
        <v>180</v>
      </c>
      <c r="O5" s="4">
        <v>17</v>
      </c>
      <c r="P5" s="4">
        <v>1.6</v>
      </c>
      <c r="Q5" s="4">
        <v>41.4</v>
      </c>
      <c r="R5" s="4">
        <v>0.6</v>
      </c>
      <c r="S5" s="4">
        <v>87</v>
      </c>
      <c r="T5" s="18">
        <v>12.3</v>
      </c>
      <c r="U5" s="18">
        <v>0</v>
      </c>
      <c r="V5" s="18">
        <v>0.3</v>
      </c>
      <c r="W5" s="18">
        <v>36</v>
      </c>
      <c r="X5" s="4">
        <v>5.0999999999999996</v>
      </c>
      <c r="Y5">
        <v>0</v>
      </c>
      <c r="Z5" t="s">
        <v>674</v>
      </c>
    </row>
    <row r="6" spans="1:26" ht="12.75" x14ac:dyDescent="0.2">
      <c r="A6" s="4">
        <v>5</v>
      </c>
      <c r="B6" s="4" t="s">
        <v>644</v>
      </c>
      <c r="C6" s="4" t="s">
        <v>628</v>
      </c>
      <c r="D6" s="4">
        <v>49</v>
      </c>
      <c r="E6" s="4">
        <v>36</v>
      </c>
      <c r="F6" s="4">
        <v>15</v>
      </c>
      <c r="G6" s="4" t="s">
        <v>673</v>
      </c>
      <c r="H6" s="4">
        <v>7.6</v>
      </c>
      <c r="I6" s="4">
        <v>121</v>
      </c>
      <c r="J6" s="4">
        <v>99</v>
      </c>
      <c r="K6" s="4">
        <v>7470</v>
      </c>
      <c r="L6" s="4">
        <v>692</v>
      </c>
      <c r="M6" s="4">
        <v>6.6</v>
      </c>
      <c r="N6" s="4">
        <v>176</v>
      </c>
      <c r="O6" s="4">
        <v>8</v>
      </c>
      <c r="P6" s="4">
        <v>1</v>
      </c>
      <c r="Q6" s="4">
        <v>43.4</v>
      </c>
      <c r="R6" s="4">
        <v>0.6</v>
      </c>
      <c r="S6" s="4">
        <v>86.1</v>
      </c>
      <c r="T6" s="18">
        <v>13.3</v>
      </c>
      <c r="U6" s="18">
        <v>0</v>
      </c>
      <c r="V6" s="18">
        <v>0.3</v>
      </c>
      <c r="W6" s="18">
        <v>37.4</v>
      </c>
      <c r="X6" s="4">
        <v>5.8</v>
      </c>
      <c r="Y6">
        <v>0</v>
      </c>
      <c r="Z6" t="s">
        <v>674</v>
      </c>
    </row>
    <row r="7" spans="1:26" ht="12.75" x14ac:dyDescent="0.2">
      <c r="A7" s="4">
        <v>6</v>
      </c>
      <c r="B7" s="4" t="s">
        <v>648</v>
      </c>
      <c r="C7" s="4" t="s">
        <v>630</v>
      </c>
      <c r="D7" s="4">
        <v>37</v>
      </c>
      <c r="E7" s="4">
        <v>44</v>
      </c>
      <c r="F7" s="4">
        <v>19</v>
      </c>
      <c r="G7" s="4" t="s">
        <v>673</v>
      </c>
      <c r="H7" s="4">
        <v>7.6</v>
      </c>
      <c r="I7" s="4">
        <v>98</v>
      </c>
      <c r="J7" s="4">
        <v>74</v>
      </c>
      <c r="K7" s="4">
        <v>5765</v>
      </c>
      <c r="L7" s="4">
        <v>623</v>
      </c>
      <c r="M7" s="4">
        <v>6.9</v>
      </c>
      <c r="N7" s="4">
        <v>182</v>
      </c>
      <c r="O7" s="4">
        <v>11.5</v>
      </c>
      <c r="P7" s="4">
        <v>1</v>
      </c>
      <c r="Q7" s="4">
        <v>34.200000000000003</v>
      </c>
      <c r="R7" s="4">
        <v>0.6</v>
      </c>
      <c r="S7" s="4">
        <v>84.3</v>
      </c>
      <c r="T7" s="18">
        <v>15.2</v>
      </c>
      <c r="U7" s="18">
        <v>0</v>
      </c>
      <c r="V7" s="18">
        <v>0.2</v>
      </c>
      <c r="W7" s="18">
        <v>28.8</v>
      </c>
      <c r="X7">
        <v>5.2</v>
      </c>
      <c r="Y7">
        <v>0</v>
      </c>
    </row>
    <row r="8" spans="1:26" ht="12.75" x14ac:dyDescent="0.2">
      <c r="A8" s="4">
        <v>7</v>
      </c>
      <c r="B8" s="4" t="s">
        <v>643</v>
      </c>
      <c r="C8" s="4" t="s">
        <v>630</v>
      </c>
      <c r="D8" s="4">
        <v>47</v>
      </c>
      <c r="E8" s="4">
        <v>36</v>
      </c>
      <c r="F8" s="4">
        <v>17</v>
      </c>
      <c r="G8" s="4" t="s">
        <v>673</v>
      </c>
      <c r="H8" s="4">
        <v>7.8</v>
      </c>
      <c r="I8" s="4">
        <v>127</v>
      </c>
      <c r="J8" s="4">
        <v>83</v>
      </c>
      <c r="K8" s="4">
        <v>7184</v>
      </c>
      <c r="L8" s="4">
        <v>644</v>
      </c>
      <c r="M8" s="4">
        <v>5.2</v>
      </c>
      <c r="N8" s="4">
        <v>148</v>
      </c>
      <c r="O8" s="4">
        <v>7.6</v>
      </c>
      <c r="P8" s="4">
        <v>1</v>
      </c>
      <c r="Q8" s="4">
        <v>41.5</v>
      </c>
      <c r="R8" s="4">
        <v>0.5</v>
      </c>
      <c r="S8" s="4">
        <v>86.6</v>
      </c>
      <c r="T8" s="18">
        <v>12.9</v>
      </c>
      <c r="U8" s="18">
        <v>0</v>
      </c>
      <c r="V8" s="18">
        <v>0.2</v>
      </c>
      <c r="W8" s="18">
        <v>35.9</v>
      </c>
      <c r="X8" s="4">
        <v>5.4</v>
      </c>
      <c r="Y8">
        <v>0</v>
      </c>
      <c r="Z8" t="s">
        <v>674</v>
      </c>
    </row>
    <row r="9" spans="1:26" ht="12.75" x14ac:dyDescent="0.2">
      <c r="A9" s="4">
        <v>8</v>
      </c>
      <c r="B9" s="4" t="s">
        <v>643</v>
      </c>
      <c r="C9" s="4" t="s">
        <v>629</v>
      </c>
      <c r="D9" s="4">
        <v>39</v>
      </c>
      <c r="E9" s="4">
        <v>40</v>
      </c>
      <c r="F9" s="4">
        <v>21</v>
      </c>
      <c r="G9" s="4" t="s">
        <v>673</v>
      </c>
      <c r="H9" s="4">
        <v>7.8</v>
      </c>
      <c r="I9" s="4">
        <v>118</v>
      </c>
      <c r="J9" s="4">
        <v>109</v>
      </c>
      <c r="K9" s="4">
        <v>6526</v>
      </c>
      <c r="L9" s="4">
        <v>560</v>
      </c>
      <c r="M9" s="4">
        <v>5.8</v>
      </c>
      <c r="N9" s="4">
        <v>160</v>
      </c>
      <c r="O9" s="4">
        <v>9.4</v>
      </c>
      <c r="P9" s="4">
        <v>1.3</v>
      </c>
      <c r="Q9" s="4">
        <v>37.6</v>
      </c>
      <c r="R9" s="4">
        <v>0.7</v>
      </c>
      <c r="S9" s="4">
        <v>86.8</v>
      </c>
      <c r="T9" s="18">
        <v>12.4</v>
      </c>
      <c r="U9" s="18">
        <v>0</v>
      </c>
      <c r="V9" s="18">
        <v>0.3</v>
      </c>
      <c r="W9" s="18">
        <v>32.6</v>
      </c>
      <c r="X9">
        <v>4.7</v>
      </c>
      <c r="Y9">
        <v>0</v>
      </c>
    </row>
    <row r="10" spans="1:26" ht="12.75" x14ac:dyDescent="0.2">
      <c r="A10" s="4">
        <v>9</v>
      </c>
      <c r="B10" s="4" t="s">
        <v>648</v>
      </c>
      <c r="C10" s="4" t="s">
        <v>627</v>
      </c>
      <c r="D10" s="4">
        <v>45</v>
      </c>
      <c r="E10" s="4">
        <v>40</v>
      </c>
      <c r="F10" s="4">
        <v>15</v>
      </c>
      <c r="G10" s="4" t="s">
        <v>673</v>
      </c>
      <c r="H10" s="4">
        <v>7.8</v>
      </c>
      <c r="I10" s="4">
        <v>83</v>
      </c>
      <c r="J10" s="4">
        <v>52</v>
      </c>
      <c r="K10" s="4">
        <v>6197</v>
      </c>
      <c r="L10" s="4">
        <v>675</v>
      </c>
      <c r="M10" s="4">
        <v>5.7</v>
      </c>
      <c r="N10" s="4">
        <v>158</v>
      </c>
      <c r="O10" s="4">
        <v>9.4</v>
      </c>
      <c r="P10" s="4">
        <v>1</v>
      </c>
      <c r="Q10" s="4">
        <v>36.700000000000003</v>
      </c>
      <c r="R10" s="4">
        <v>0.4</v>
      </c>
      <c r="S10" s="4">
        <v>84.4</v>
      </c>
      <c r="T10" s="18">
        <v>15.3</v>
      </c>
      <c r="U10" s="18">
        <v>0</v>
      </c>
      <c r="V10" s="18">
        <v>0.1</v>
      </c>
      <c r="W10" s="18">
        <v>31</v>
      </c>
      <c r="X10">
        <v>5.6</v>
      </c>
      <c r="Y10">
        <v>0</v>
      </c>
    </row>
    <row r="11" spans="1:26" ht="12.75" x14ac:dyDescent="0.2">
      <c r="A11" s="4">
        <v>10</v>
      </c>
      <c r="B11" s="4" t="s">
        <v>648</v>
      </c>
      <c r="C11" s="4" t="s">
        <v>628</v>
      </c>
      <c r="D11" s="4">
        <v>35</v>
      </c>
      <c r="E11" s="4">
        <v>50</v>
      </c>
      <c r="F11" s="4">
        <v>15</v>
      </c>
      <c r="G11" s="4" t="s">
        <v>675</v>
      </c>
      <c r="H11" s="4">
        <v>7.3</v>
      </c>
      <c r="I11" s="4">
        <v>74</v>
      </c>
      <c r="J11" s="4">
        <v>43</v>
      </c>
      <c r="K11" s="4">
        <v>6859</v>
      </c>
      <c r="L11" s="4">
        <v>570</v>
      </c>
      <c r="M11" s="4">
        <v>6.1</v>
      </c>
      <c r="N11" s="4">
        <v>166</v>
      </c>
      <c r="O11" s="4">
        <v>8.8000000000000007</v>
      </c>
      <c r="P11" s="4">
        <v>1</v>
      </c>
      <c r="Q11" s="4">
        <v>39.299999999999997</v>
      </c>
      <c r="R11" s="4">
        <v>0.3</v>
      </c>
      <c r="S11" s="4">
        <v>87.3</v>
      </c>
      <c r="T11" s="18">
        <v>12.1</v>
      </c>
      <c r="U11" s="18">
        <v>0.3</v>
      </c>
      <c r="V11" s="18">
        <v>0.1</v>
      </c>
      <c r="W11" s="18">
        <v>34.299999999999997</v>
      </c>
      <c r="X11">
        <v>4.8</v>
      </c>
      <c r="Y11">
        <v>0.1</v>
      </c>
    </row>
    <row r="12" spans="1:26" ht="12.75" x14ac:dyDescent="0.2">
      <c r="A12" s="4">
        <v>11</v>
      </c>
      <c r="B12" s="4" t="s">
        <v>646</v>
      </c>
      <c r="C12" s="4" t="s">
        <v>630</v>
      </c>
      <c r="D12" s="4">
        <v>45</v>
      </c>
      <c r="E12" s="4">
        <v>36</v>
      </c>
      <c r="F12" s="4">
        <v>19</v>
      </c>
      <c r="G12" s="4" t="s">
        <v>673</v>
      </c>
      <c r="H12" s="4">
        <v>7.6</v>
      </c>
      <c r="I12" s="4">
        <v>118</v>
      </c>
      <c r="J12" s="4">
        <v>81</v>
      </c>
      <c r="K12" s="4">
        <v>6472</v>
      </c>
      <c r="L12" s="4">
        <v>556</v>
      </c>
      <c r="M12" s="4">
        <v>5.8</v>
      </c>
      <c r="N12" s="4">
        <v>160</v>
      </c>
      <c r="O12" s="4">
        <v>6.6</v>
      </c>
      <c r="P12" s="4">
        <v>1</v>
      </c>
      <c r="Q12" s="4">
        <v>37.200000000000003</v>
      </c>
      <c r="R12" s="4">
        <v>0.6</v>
      </c>
      <c r="S12" s="4">
        <v>87</v>
      </c>
      <c r="T12" s="18">
        <v>12.5</v>
      </c>
      <c r="U12" s="18">
        <v>0</v>
      </c>
      <c r="V12" s="18">
        <v>0.2</v>
      </c>
      <c r="W12" s="18">
        <v>32.4</v>
      </c>
      <c r="X12">
        <v>4.5999999999999996</v>
      </c>
      <c r="Y12">
        <v>0</v>
      </c>
    </row>
    <row r="13" spans="1:26" ht="12.75" x14ac:dyDescent="0.2">
      <c r="A13" s="4">
        <v>12</v>
      </c>
      <c r="B13" s="4" t="s">
        <v>643</v>
      </c>
      <c r="C13" s="4" t="s">
        <v>627</v>
      </c>
      <c r="D13" s="4">
        <v>35</v>
      </c>
      <c r="E13" s="4">
        <v>42</v>
      </c>
      <c r="F13" s="4">
        <v>23</v>
      </c>
      <c r="G13" s="4" t="s">
        <v>673</v>
      </c>
      <c r="H13" s="4">
        <v>7.5</v>
      </c>
      <c r="I13" s="4">
        <v>124</v>
      </c>
      <c r="J13" s="4">
        <v>100</v>
      </c>
      <c r="K13" s="4">
        <v>6705</v>
      </c>
      <c r="L13" s="4">
        <v>518</v>
      </c>
      <c r="M13" s="4">
        <v>5.5</v>
      </c>
      <c r="N13" s="4">
        <v>154</v>
      </c>
      <c r="O13" s="4">
        <v>15.1</v>
      </c>
      <c r="P13" s="4">
        <v>1</v>
      </c>
      <c r="Q13" s="4">
        <v>38.1</v>
      </c>
      <c r="R13" s="4">
        <v>0.7</v>
      </c>
      <c r="S13" s="4">
        <v>88</v>
      </c>
      <c r="T13" s="18">
        <v>11.3</v>
      </c>
      <c r="U13" s="18">
        <v>0</v>
      </c>
      <c r="V13" s="18">
        <v>0.3</v>
      </c>
      <c r="W13" s="18">
        <v>33.5</v>
      </c>
      <c r="X13">
        <v>4.3</v>
      </c>
      <c r="Y13">
        <v>0</v>
      </c>
    </row>
    <row r="14" spans="1:26" ht="12.75" x14ac:dyDescent="0.2">
      <c r="A14" s="4">
        <v>13</v>
      </c>
      <c r="B14" s="4" t="s">
        <v>648</v>
      </c>
      <c r="C14" s="4" t="s">
        <v>629</v>
      </c>
      <c r="D14" s="4">
        <v>45</v>
      </c>
      <c r="E14" s="4">
        <v>40</v>
      </c>
      <c r="F14" s="4">
        <v>15</v>
      </c>
      <c r="G14" s="4" t="s">
        <v>673</v>
      </c>
      <c r="H14" s="4">
        <v>7.4</v>
      </c>
      <c r="I14" s="4">
        <v>68</v>
      </c>
      <c r="J14" s="4">
        <v>47</v>
      </c>
      <c r="K14" s="4">
        <v>7006</v>
      </c>
      <c r="L14" s="4">
        <v>580</v>
      </c>
      <c r="M14" s="4">
        <v>6.5</v>
      </c>
      <c r="N14" s="4">
        <v>174</v>
      </c>
      <c r="O14" s="4">
        <v>11.5</v>
      </c>
      <c r="P14" s="4">
        <v>1</v>
      </c>
      <c r="Q14" s="4">
        <v>40</v>
      </c>
      <c r="R14" s="4">
        <v>0.3</v>
      </c>
      <c r="S14" s="4">
        <v>87.6</v>
      </c>
      <c r="T14" s="18">
        <v>12.1</v>
      </c>
      <c r="U14" s="18">
        <v>0</v>
      </c>
      <c r="V14" s="18">
        <v>0.1</v>
      </c>
      <c r="W14" s="18">
        <v>35</v>
      </c>
      <c r="X14" s="4">
        <v>4.8</v>
      </c>
      <c r="Y14">
        <v>0</v>
      </c>
      <c r="Z14" t="s">
        <v>674</v>
      </c>
    </row>
    <row r="15" spans="1:26" ht="12.75" x14ac:dyDescent="0.2">
      <c r="A15" s="4">
        <v>14</v>
      </c>
      <c r="B15" s="4" t="s">
        <v>649</v>
      </c>
      <c r="C15" s="4" t="s">
        <v>627</v>
      </c>
      <c r="D15" s="4">
        <v>41</v>
      </c>
      <c r="E15" s="4">
        <v>42</v>
      </c>
      <c r="F15" s="4">
        <v>17</v>
      </c>
      <c r="G15" s="4" t="s">
        <v>673</v>
      </c>
      <c r="H15" s="4">
        <v>7.5</v>
      </c>
      <c r="I15" s="4">
        <v>69</v>
      </c>
      <c r="J15" s="4">
        <v>45</v>
      </c>
      <c r="K15" s="4">
        <v>7462</v>
      </c>
      <c r="L15" s="4">
        <v>594</v>
      </c>
      <c r="M15" s="4">
        <v>6.5</v>
      </c>
      <c r="N15" s="4">
        <v>174</v>
      </c>
      <c r="O15" s="4">
        <v>15.1</v>
      </c>
      <c r="P15" s="4">
        <v>1</v>
      </c>
      <c r="Q15" s="4">
        <v>42.4</v>
      </c>
      <c r="R15" s="4">
        <v>0.3</v>
      </c>
      <c r="S15" s="4">
        <v>88</v>
      </c>
      <c r="T15" s="18">
        <v>11.7</v>
      </c>
      <c r="U15" s="18">
        <v>0</v>
      </c>
      <c r="V15" s="18">
        <v>0.1</v>
      </c>
      <c r="W15" s="18">
        <v>37.299999999999997</v>
      </c>
      <c r="X15" s="4">
        <v>5</v>
      </c>
      <c r="Y15">
        <v>0</v>
      </c>
      <c r="Z15" t="s">
        <v>674</v>
      </c>
    </row>
    <row r="16" spans="1:26" ht="12.75" x14ac:dyDescent="0.2">
      <c r="A16" s="4">
        <v>15</v>
      </c>
      <c r="B16" s="4" t="s">
        <v>649</v>
      </c>
      <c r="C16" s="4" t="s">
        <v>628</v>
      </c>
      <c r="D16" s="4">
        <v>55</v>
      </c>
      <c r="E16" s="4">
        <v>28</v>
      </c>
      <c r="F16" s="4">
        <v>17</v>
      </c>
      <c r="G16" s="4" t="s">
        <v>676</v>
      </c>
      <c r="H16" s="4">
        <v>7.3</v>
      </c>
      <c r="I16" s="4">
        <v>88</v>
      </c>
      <c r="J16" s="4">
        <v>89</v>
      </c>
      <c r="K16" s="4">
        <v>5516</v>
      </c>
      <c r="L16" s="4">
        <v>774</v>
      </c>
      <c r="M16" s="4">
        <v>6.1</v>
      </c>
      <c r="N16" s="4">
        <v>166</v>
      </c>
      <c r="O16" s="4">
        <v>7.8</v>
      </c>
      <c r="P16" s="4">
        <v>1</v>
      </c>
      <c r="Q16" s="4">
        <v>34.4</v>
      </c>
      <c r="R16" s="4">
        <v>0.7</v>
      </c>
      <c r="S16" s="4">
        <v>80.2</v>
      </c>
      <c r="T16" s="18">
        <v>18.8</v>
      </c>
      <c r="U16" s="18">
        <v>0.3</v>
      </c>
      <c r="V16" s="18">
        <v>0.2</v>
      </c>
      <c r="W16" s="18">
        <v>27.6</v>
      </c>
      <c r="X16">
        <v>6.5</v>
      </c>
      <c r="Y16">
        <v>0.1</v>
      </c>
    </row>
    <row r="17" spans="1:26" ht="12.75" x14ac:dyDescent="0.2">
      <c r="A17" s="4">
        <v>16</v>
      </c>
      <c r="B17" s="4" t="s">
        <v>644</v>
      </c>
      <c r="C17" s="4" t="s">
        <v>629</v>
      </c>
      <c r="D17" s="4">
        <v>43</v>
      </c>
      <c r="E17" s="4">
        <v>38</v>
      </c>
      <c r="F17" s="4">
        <v>19</v>
      </c>
      <c r="G17" s="4" t="s">
        <v>673</v>
      </c>
      <c r="H17" s="4">
        <v>7.5</v>
      </c>
      <c r="I17" s="4">
        <v>105</v>
      </c>
      <c r="J17" s="4">
        <v>122</v>
      </c>
      <c r="K17" s="4">
        <v>6472</v>
      </c>
      <c r="L17" s="4">
        <v>578</v>
      </c>
      <c r="M17" s="4">
        <v>6.5</v>
      </c>
      <c r="N17" s="4">
        <v>174</v>
      </c>
      <c r="O17" s="4">
        <v>11.9</v>
      </c>
      <c r="P17" s="4">
        <v>1</v>
      </c>
      <c r="Q17" s="4">
        <v>37.5</v>
      </c>
      <c r="R17" s="4">
        <v>0.8</v>
      </c>
      <c r="S17" s="4">
        <v>86.3</v>
      </c>
      <c r="T17" s="18">
        <v>12.8</v>
      </c>
      <c r="U17" s="18">
        <v>0</v>
      </c>
      <c r="V17" s="18">
        <v>0.3</v>
      </c>
      <c r="W17" s="18">
        <v>32.4</v>
      </c>
      <c r="X17">
        <v>4.8</v>
      </c>
      <c r="Y17">
        <v>0</v>
      </c>
    </row>
    <row r="18" spans="1:26" ht="12.75" x14ac:dyDescent="0.2">
      <c r="A18" s="4">
        <v>17</v>
      </c>
      <c r="B18" s="4" t="s">
        <v>643</v>
      </c>
      <c r="C18" s="4" t="s">
        <v>628</v>
      </c>
      <c r="D18" s="4">
        <v>45</v>
      </c>
      <c r="E18" s="4">
        <v>38</v>
      </c>
      <c r="F18" s="4">
        <v>17</v>
      </c>
      <c r="G18" s="4" t="s">
        <v>673</v>
      </c>
      <c r="H18" s="4">
        <v>7.7</v>
      </c>
      <c r="I18" s="4">
        <v>126</v>
      </c>
      <c r="J18" s="4">
        <v>85</v>
      </c>
      <c r="K18" s="4">
        <v>6671</v>
      </c>
      <c r="L18" s="4">
        <v>528</v>
      </c>
      <c r="M18" s="4">
        <v>5.5</v>
      </c>
      <c r="N18" s="4">
        <v>154</v>
      </c>
      <c r="O18" s="4">
        <v>9.4</v>
      </c>
      <c r="P18" s="4">
        <v>1</v>
      </c>
      <c r="Q18" s="4">
        <v>38</v>
      </c>
      <c r="R18" s="4">
        <v>0.6</v>
      </c>
      <c r="S18" s="4">
        <v>87.8</v>
      </c>
      <c r="T18" s="18">
        <v>11.6</v>
      </c>
      <c r="U18" s="18">
        <v>0</v>
      </c>
      <c r="V18" s="18">
        <v>0.2</v>
      </c>
      <c r="W18" s="18">
        <v>33.4</v>
      </c>
      <c r="X18">
        <v>4.4000000000000004</v>
      </c>
      <c r="Y18">
        <v>0</v>
      </c>
    </row>
    <row r="19" spans="1:26" ht="12.75" x14ac:dyDescent="0.2">
      <c r="A19" s="4">
        <v>18</v>
      </c>
      <c r="B19" s="4" t="s">
        <v>649</v>
      </c>
      <c r="C19" s="4" t="s">
        <v>630</v>
      </c>
      <c r="D19" s="4">
        <v>51</v>
      </c>
      <c r="E19" s="4">
        <v>30</v>
      </c>
      <c r="F19" s="4">
        <v>19</v>
      </c>
      <c r="G19" s="4" t="s">
        <v>673</v>
      </c>
      <c r="H19" s="4">
        <v>7.5</v>
      </c>
      <c r="I19" s="4">
        <v>84</v>
      </c>
      <c r="J19" s="4">
        <v>126</v>
      </c>
      <c r="K19" s="4">
        <v>4994</v>
      </c>
      <c r="L19" s="4">
        <v>907</v>
      </c>
      <c r="M19" s="4">
        <v>5.9</v>
      </c>
      <c r="N19" s="4">
        <v>162</v>
      </c>
      <c r="O19" s="4">
        <v>7</v>
      </c>
      <c r="P19" s="4">
        <v>1</v>
      </c>
      <c r="Q19" s="4">
        <v>32.9</v>
      </c>
      <c r="R19" s="4">
        <v>1</v>
      </c>
      <c r="S19" s="4">
        <v>75.900000000000006</v>
      </c>
      <c r="T19" s="18">
        <v>23</v>
      </c>
      <c r="U19" s="18">
        <v>0</v>
      </c>
      <c r="V19" s="18">
        <v>0.3</v>
      </c>
      <c r="W19" s="18">
        <v>25</v>
      </c>
      <c r="X19">
        <v>7.6</v>
      </c>
      <c r="Y19">
        <v>0</v>
      </c>
    </row>
    <row r="20" spans="1:26" ht="12.75" x14ac:dyDescent="0.2">
      <c r="A20" s="4">
        <v>19</v>
      </c>
      <c r="B20" s="4" t="s">
        <v>645</v>
      </c>
      <c r="C20" s="4" t="s">
        <v>630</v>
      </c>
      <c r="D20" s="4">
        <v>47</v>
      </c>
      <c r="E20" s="4">
        <v>38</v>
      </c>
      <c r="F20" s="4">
        <v>15</v>
      </c>
      <c r="G20" s="4" t="s">
        <v>673</v>
      </c>
      <c r="H20" s="4">
        <v>7.5</v>
      </c>
      <c r="I20" s="4">
        <v>93</v>
      </c>
      <c r="J20" s="4">
        <v>63</v>
      </c>
      <c r="K20" s="4">
        <v>7717</v>
      </c>
      <c r="L20" s="4">
        <v>561</v>
      </c>
      <c r="M20" s="4">
        <v>5.8</v>
      </c>
      <c r="N20" s="4">
        <v>160</v>
      </c>
      <c r="O20" s="4">
        <v>14.5</v>
      </c>
      <c r="P20" s="4">
        <v>1</v>
      </c>
      <c r="Q20" s="4">
        <v>43.4</v>
      </c>
      <c r="R20" s="4">
        <v>0.4</v>
      </c>
      <c r="S20" s="4">
        <v>88.9</v>
      </c>
      <c r="T20" s="18">
        <v>10.8</v>
      </c>
      <c r="U20" s="18">
        <v>0</v>
      </c>
      <c r="V20" s="18">
        <v>0.2</v>
      </c>
      <c r="W20" s="18">
        <v>38.6</v>
      </c>
      <c r="X20" s="4">
        <v>4.7</v>
      </c>
      <c r="Y20">
        <v>0</v>
      </c>
      <c r="Z20" t="s">
        <v>674</v>
      </c>
    </row>
    <row r="21" spans="1:26" ht="12.75" x14ac:dyDescent="0.2">
      <c r="A21" s="4">
        <v>20</v>
      </c>
      <c r="B21" s="4" t="s">
        <v>644</v>
      </c>
      <c r="C21" s="4" t="s">
        <v>630</v>
      </c>
      <c r="D21" s="4">
        <v>45</v>
      </c>
      <c r="E21" s="4">
        <v>38</v>
      </c>
      <c r="F21" s="4">
        <v>17</v>
      </c>
      <c r="G21" s="4" t="s">
        <v>673</v>
      </c>
      <c r="H21" s="4">
        <v>7.4</v>
      </c>
      <c r="I21" s="4">
        <v>96</v>
      </c>
      <c r="J21" s="4">
        <v>71</v>
      </c>
      <c r="K21" s="4">
        <v>7406</v>
      </c>
      <c r="L21" s="4">
        <v>562</v>
      </c>
      <c r="M21" s="4">
        <v>7</v>
      </c>
      <c r="N21" s="4">
        <v>184</v>
      </c>
      <c r="O21" s="4">
        <v>11</v>
      </c>
      <c r="P21" s="4">
        <v>1</v>
      </c>
      <c r="Q21" s="4">
        <v>41.9</v>
      </c>
      <c r="R21" s="4">
        <v>0.4</v>
      </c>
      <c r="S21" s="4">
        <v>88.4</v>
      </c>
      <c r="T21" s="18">
        <v>11.2</v>
      </c>
      <c r="U21" s="18">
        <v>0</v>
      </c>
      <c r="V21" s="18">
        <v>0.2</v>
      </c>
      <c r="W21" s="18">
        <v>37</v>
      </c>
      <c r="X21" s="4">
        <v>4.7</v>
      </c>
      <c r="Y21">
        <v>0</v>
      </c>
      <c r="Z21" t="s">
        <v>674</v>
      </c>
    </row>
    <row r="22" spans="1:26" ht="12.75" x14ac:dyDescent="0.2">
      <c r="A22" s="4">
        <v>21</v>
      </c>
      <c r="B22" s="4" t="s">
        <v>641</v>
      </c>
      <c r="C22" s="4" t="s">
        <v>626</v>
      </c>
      <c r="D22" s="4">
        <v>45</v>
      </c>
      <c r="E22" s="4">
        <v>42</v>
      </c>
      <c r="F22" s="4">
        <v>13</v>
      </c>
      <c r="G22" s="4" t="s">
        <v>673</v>
      </c>
      <c r="H22" s="4">
        <v>7.4</v>
      </c>
      <c r="I22" s="4">
        <v>87</v>
      </c>
      <c r="J22" s="4">
        <v>55</v>
      </c>
      <c r="K22" s="4">
        <v>7561</v>
      </c>
      <c r="L22" s="4">
        <v>468</v>
      </c>
      <c r="M22" s="4">
        <v>5.2</v>
      </c>
      <c r="N22" s="4">
        <v>148</v>
      </c>
      <c r="O22" s="4">
        <v>9.5</v>
      </c>
      <c r="P22" s="4">
        <v>1</v>
      </c>
      <c r="Q22" s="4">
        <v>41.8</v>
      </c>
      <c r="R22" s="4">
        <v>0.3</v>
      </c>
      <c r="S22" s="4">
        <v>90.4</v>
      </c>
      <c r="T22" s="18">
        <v>9.3000000000000007</v>
      </c>
      <c r="U22" s="18">
        <v>0</v>
      </c>
      <c r="V22" s="18">
        <v>0.1</v>
      </c>
      <c r="W22" s="18">
        <v>37.799999999999997</v>
      </c>
      <c r="X22" s="4">
        <v>3.9</v>
      </c>
      <c r="Y22">
        <v>0</v>
      </c>
      <c r="Z22" t="s">
        <v>674</v>
      </c>
    </row>
    <row r="23" spans="1:26" ht="12.75" x14ac:dyDescent="0.2">
      <c r="A23" s="4">
        <v>22</v>
      </c>
      <c r="B23" s="4" t="s">
        <v>646</v>
      </c>
      <c r="C23" s="4" t="s">
        <v>628</v>
      </c>
      <c r="D23" s="4">
        <v>37</v>
      </c>
      <c r="E23" s="4">
        <v>44</v>
      </c>
      <c r="F23" s="4">
        <v>19</v>
      </c>
      <c r="G23" s="4" t="s">
        <v>673</v>
      </c>
      <c r="H23" s="4">
        <v>7.6</v>
      </c>
      <c r="I23" s="4">
        <v>113</v>
      </c>
      <c r="J23" s="4">
        <v>75</v>
      </c>
      <c r="K23" s="4">
        <v>6669</v>
      </c>
      <c r="L23" s="4">
        <v>489</v>
      </c>
      <c r="M23" s="4">
        <v>5.9</v>
      </c>
      <c r="N23" s="4">
        <v>162</v>
      </c>
      <c r="O23" s="4">
        <v>7.9</v>
      </c>
      <c r="P23" s="4">
        <v>1</v>
      </c>
      <c r="Q23" s="4">
        <v>37.6</v>
      </c>
      <c r="R23" s="4">
        <v>0.5</v>
      </c>
      <c r="S23" s="4">
        <v>88.7</v>
      </c>
      <c r="T23" s="18">
        <v>10.8</v>
      </c>
      <c r="U23" s="18">
        <v>0</v>
      </c>
      <c r="V23" s="18">
        <v>0.2</v>
      </c>
      <c r="W23" s="18">
        <v>33.299999999999997</v>
      </c>
      <c r="X23">
        <v>4.0999999999999996</v>
      </c>
      <c r="Y23">
        <v>0</v>
      </c>
    </row>
    <row r="24" spans="1:26" ht="12.75" x14ac:dyDescent="0.2">
      <c r="A24" s="4">
        <v>23</v>
      </c>
      <c r="B24" s="4" t="s">
        <v>647</v>
      </c>
      <c r="C24" s="4" t="s">
        <v>627</v>
      </c>
      <c r="D24" s="4">
        <v>51</v>
      </c>
      <c r="E24" s="4">
        <v>36</v>
      </c>
      <c r="F24" s="4">
        <v>13</v>
      </c>
      <c r="G24" s="4" t="s">
        <v>673</v>
      </c>
      <c r="H24" s="4">
        <v>7.6</v>
      </c>
      <c r="I24" s="4">
        <v>75</v>
      </c>
      <c r="J24" s="4">
        <v>46</v>
      </c>
      <c r="K24" s="4">
        <v>6489</v>
      </c>
      <c r="L24" s="4">
        <v>632</v>
      </c>
      <c r="M24" s="4">
        <v>6.6</v>
      </c>
      <c r="N24" s="4">
        <v>176</v>
      </c>
      <c r="O24" s="4">
        <v>11.1</v>
      </c>
      <c r="P24" s="4">
        <v>1</v>
      </c>
      <c r="Q24" s="4">
        <v>37.799999999999997</v>
      </c>
      <c r="R24" s="4">
        <v>0.3</v>
      </c>
      <c r="S24" s="4">
        <v>85.8</v>
      </c>
      <c r="T24" s="18">
        <v>13.9</v>
      </c>
      <c r="U24" s="18">
        <v>0</v>
      </c>
      <c r="V24" s="18">
        <v>0.1</v>
      </c>
      <c r="W24" s="18">
        <v>32.4</v>
      </c>
      <c r="X24">
        <v>5.3</v>
      </c>
      <c r="Y24">
        <v>0</v>
      </c>
    </row>
    <row r="25" spans="1:26" ht="12.75" x14ac:dyDescent="0.2">
      <c r="A25" s="4">
        <v>24</v>
      </c>
      <c r="B25" s="4" t="s">
        <v>640</v>
      </c>
      <c r="C25" s="4" t="s">
        <v>630</v>
      </c>
      <c r="D25" s="4">
        <v>39</v>
      </c>
      <c r="E25" s="4">
        <v>44</v>
      </c>
      <c r="F25" s="4">
        <v>17</v>
      </c>
      <c r="G25" s="4" t="s">
        <v>673</v>
      </c>
      <c r="H25" s="4">
        <v>7.4</v>
      </c>
      <c r="I25" s="4">
        <v>91</v>
      </c>
      <c r="J25" s="4">
        <v>65</v>
      </c>
      <c r="K25" s="4">
        <v>6607</v>
      </c>
      <c r="L25" s="4">
        <v>533</v>
      </c>
      <c r="M25" s="4">
        <v>5</v>
      </c>
      <c r="N25" s="4">
        <v>144</v>
      </c>
      <c r="O25" s="4">
        <v>8.6</v>
      </c>
      <c r="P25" s="4">
        <v>1</v>
      </c>
      <c r="Q25" s="4">
        <v>37.6</v>
      </c>
      <c r="R25" s="4">
        <v>0.4</v>
      </c>
      <c r="S25" s="4">
        <v>87.9</v>
      </c>
      <c r="T25" s="18">
        <v>11.8</v>
      </c>
      <c r="U25" s="18">
        <v>0</v>
      </c>
      <c r="V25" s="18">
        <v>0.2</v>
      </c>
      <c r="W25" s="18">
        <v>33</v>
      </c>
      <c r="X25">
        <v>4.4000000000000004</v>
      </c>
      <c r="Y25">
        <v>0</v>
      </c>
    </row>
    <row r="26" spans="1:26" ht="12.75" x14ac:dyDescent="0.2">
      <c r="A26" s="4">
        <v>25</v>
      </c>
      <c r="B26" s="4" t="s">
        <v>640</v>
      </c>
      <c r="C26" s="4" t="s">
        <v>629</v>
      </c>
      <c r="D26" s="4">
        <v>42</v>
      </c>
      <c r="E26" s="4">
        <v>39</v>
      </c>
      <c r="F26" s="4">
        <v>19</v>
      </c>
      <c r="G26" s="4" t="s">
        <v>673</v>
      </c>
      <c r="H26" s="4">
        <v>7.6</v>
      </c>
      <c r="I26" s="4">
        <v>129</v>
      </c>
      <c r="J26" s="4">
        <v>85</v>
      </c>
      <c r="K26" s="4">
        <v>6794</v>
      </c>
      <c r="L26" s="4">
        <v>543</v>
      </c>
      <c r="M26" s="4">
        <v>5.3</v>
      </c>
      <c r="N26" s="4">
        <v>150</v>
      </c>
      <c r="O26" s="4">
        <v>15.4</v>
      </c>
      <c r="P26" s="4">
        <v>1</v>
      </c>
      <c r="Q26" s="4">
        <v>38.700000000000003</v>
      </c>
      <c r="R26" s="4">
        <v>0.6</v>
      </c>
      <c r="S26" s="4">
        <v>87.8</v>
      </c>
      <c r="T26" s="18">
        <v>11.7</v>
      </c>
      <c r="U26" s="18">
        <v>0</v>
      </c>
      <c r="V26" s="18">
        <v>0.2</v>
      </c>
      <c r="W26" s="18">
        <v>34</v>
      </c>
      <c r="X26">
        <v>4.5</v>
      </c>
      <c r="Y26">
        <v>0</v>
      </c>
    </row>
    <row r="27" spans="1:26" ht="12.75" x14ac:dyDescent="0.2">
      <c r="A27" s="4">
        <v>26</v>
      </c>
      <c r="B27" s="4" t="s">
        <v>641</v>
      </c>
      <c r="C27" s="4" t="s">
        <v>627</v>
      </c>
      <c r="D27" s="4">
        <v>34</v>
      </c>
      <c r="E27" s="4">
        <v>53</v>
      </c>
      <c r="F27" s="4">
        <v>13</v>
      </c>
      <c r="G27" s="4" t="s">
        <v>675</v>
      </c>
      <c r="H27" s="4">
        <v>7.7</v>
      </c>
      <c r="I27" s="4">
        <v>85</v>
      </c>
      <c r="J27" s="4">
        <v>73</v>
      </c>
      <c r="K27" s="4">
        <v>8608</v>
      </c>
      <c r="L27" s="4">
        <v>463</v>
      </c>
      <c r="M27" s="4">
        <v>4.5</v>
      </c>
      <c r="N27" s="4">
        <v>134</v>
      </c>
      <c r="O27" s="4">
        <v>16.2</v>
      </c>
      <c r="P27" s="4">
        <v>1</v>
      </c>
      <c r="Q27" s="4">
        <v>47.1</v>
      </c>
      <c r="R27" s="4">
        <v>0.4</v>
      </c>
      <c r="S27" s="4">
        <v>91.4</v>
      </c>
      <c r="T27" s="18">
        <v>8.1999999999999993</v>
      </c>
      <c r="U27" s="18">
        <v>0</v>
      </c>
      <c r="V27" s="18">
        <v>0.2</v>
      </c>
      <c r="W27" s="18">
        <v>43</v>
      </c>
      <c r="X27" s="4">
        <v>3.9</v>
      </c>
      <c r="Y27">
        <v>0</v>
      </c>
      <c r="Z27" t="s">
        <v>674</v>
      </c>
    </row>
    <row r="28" spans="1:26" ht="12.75" x14ac:dyDescent="0.2">
      <c r="A28" s="4">
        <v>27</v>
      </c>
      <c r="B28" s="4" t="s">
        <v>647</v>
      </c>
      <c r="C28" s="4" t="s">
        <v>626</v>
      </c>
      <c r="D28" s="4">
        <v>42</v>
      </c>
      <c r="E28" s="4">
        <v>45</v>
      </c>
      <c r="F28" s="4">
        <v>13</v>
      </c>
      <c r="G28" s="4" t="s">
        <v>673</v>
      </c>
      <c r="H28" s="4">
        <v>7.5</v>
      </c>
      <c r="I28" s="4">
        <v>80</v>
      </c>
      <c r="J28" s="4">
        <v>58</v>
      </c>
      <c r="K28" s="4">
        <v>5889</v>
      </c>
      <c r="L28" s="4">
        <v>658</v>
      </c>
      <c r="M28" s="4">
        <v>5.4</v>
      </c>
      <c r="N28" s="4">
        <v>152</v>
      </c>
      <c r="O28" s="4">
        <v>11.4</v>
      </c>
      <c r="P28" s="4">
        <v>1</v>
      </c>
      <c r="Q28" s="4">
        <v>35.1</v>
      </c>
      <c r="R28" s="4">
        <v>0.4</v>
      </c>
      <c r="S28" s="4">
        <v>83.9</v>
      </c>
      <c r="T28" s="18">
        <v>15.6</v>
      </c>
      <c r="U28" s="18">
        <v>0</v>
      </c>
      <c r="V28" s="18">
        <v>0.1</v>
      </c>
      <c r="W28" s="18">
        <v>29.4</v>
      </c>
      <c r="X28">
        <v>5.5</v>
      </c>
      <c r="Y28">
        <v>0</v>
      </c>
    </row>
    <row r="29" spans="1:26" ht="12.75" x14ac:dyDescent="0.2">
      <c r="A29" s="4">
        <v>28</v>
      </c>
      <c r="B29" s="4" t="s">
        <v>646</v>
      </c>
      <c r="C29" s="4" t="s">
        <v>626</v>
      </c>
      <c r="D29" s="4">
        <v>36</v>
      </c>
      <c r="E29" s="4">
        <v>49</v>
      </c>
      <c r="F29" s="4">
        <v>15</v>
      </c>
      <c r="G29" s="4" t="s">
        <v>673</v>
      </c>
      <c r="H29" s="4">
        <v>7.6</v>
      </c>
      <c r="I29" s="4">
        <v>102</v>
      </c>
      <c r="J29" s="4">
        <v>75</v>
      </c>
      <c r="K29" s="4">
        <v>6636</v>
      </c>
      <c r="L29" s="4">
        <v>552</v>
      </c>
      <c r="M29" s="4">
        <v>5.9</v>
      </c>
      <c r="N29" s="4">
        <v>162</v>
      </c>
      <c r="O29" s="4">
        <v>10.1</v>
      </c>
      <c r="P29" s="4">
        <v>1</v>
      </c>
      <c r="Q29" s="4">
        <v>38</v>
      </c>
      <c r="R29" s="4">
        <v>0.5</v>
      </c>
      <c r="S29" s="4">
        <v>87.3</v>
      </c>
      <c r="T29" s="18">
        <v>12.1</v>
      </c>
      <c r="U29" s="18">
        <v>0</v>
      </c>
      <c r="V29" s="18">
        <v>0.2</v>
      </c>
      <c r="W29" s="18">
        <v>33.200000000000003</v>
      </c>
      <c r="X29">
        <v>4.5999999999999996</v>
      </c>
      <c r="Y29">
        <v>0</v>
      </c>
    </row>
    <row r="30" spans="1:26" ht="12.75" x14ac:dyDescent="0.2">
      <c r="A30" s="4">
        <v>29</v>
      </c>
      <c r="B30" s="4" t="s">
        <v>640</v>
      </c>
      <c r="C30" s="4" t="s">
        <v>627</v>
      </c>
      <c r="D30" s="4">
        <v>40</v>
      </c>
      <c r="E30" s="4">
        <v>43</v>
      </c>
      <c r="F30" s="4">
        <v>17</v>
      </c>
      <c r="G30" s="4" t="s">
        <v>673</v>
      </c>
      <c r="H30" s="4">
        <v>7.7</v>
      </c>
      <c r="I30" s="4">
        <v>110</v>
      </c>
      <c r="J30" s="4">
        <v>60</v>
      </c>
      <c r="K30" s="4">
        <v>6597</v>
      </c>
      <c r="L30" s="4">
        <v>525</v>
      </c>
      <c r="M30" s="4">
        <v>5</v>
      </c>
      <c r="N30" s="4">
        <v>144</v>
      </c>
      <c r="O30" s="4">
        <v>8.4</v>
      </c>
      <c r="P30" s="4">
        <v>1</v>
      </c>
      <c r="Q30" s="4">
        <v>37.5</v>
      </c>
      <c r="R30" s="4">
        <v>0.4</v>
      </c>
      <c r="S30" s="4">
        <v>88</v>
      </c>
      <c r="T30" s="18">
        <v>11.7</v>
      </c>
      <c r="U30" s="18">
        <v>0</v>
      </c>
      <c r="V30" s="18">
        <v>0.2</v>
      </c>
      <c r="W30" s="18">
        <v>33</v>
      </c>
      <c r="X30">
        <v>4.4000000000000004</v>
      </c>
      <c r="Y30">
        <v>0</v>
      </c>
    </row>
    <row r="31" spans="1:26" ht="12.75" x14ac:dyDescent="0.2">
      <c r="A31" s="4">
        <v>30</v>
      </c>
      <c r="B31" s="4" t="s">
        <v>645</v>
      </c>
      <c r="C31" s="4" t="s">
        <v>628</v>
      </c>
      <c r="D31" s="4">
        <v>38</v>
      </c>
      <c r="E31" s="4">
        <v>45</v>
      </c>
      <c r="F31" s="4">
        <v>17</v>
      </c>
      <c r="G31" s="4" t="s">
        <v>673</v>
      </c>
      <c r="H31" s="4">
        <v>7.5</v>
      </c>
      <c r="I31" s="4">
        <v>102</v>
      </c>
      <c r="J31" s="4">
        <v>59</v>
      </c>
      <c r="K31" s="4">
        <v>7012</v>
      </c>
      <c r="L31" s="4">
        <v>550</v>
      </c>
      <c r="M31" s="4">
        <v>6.3</v>
      </c>
      <c r="N31" s="4">
        <v>170</v>
      </c>
      <c r="O31" s="4">
        <v>7.8</v>
      </c>
      <c r="P31" s="4">
        <v>1</v>
      </c>
      <c r="Q31" s="4">
        <v>39.799999999999997</v>
      </c>
      <c r="R31" s="4">
        <v>0.4</v>
      </c>
      <c r="S31" s="4">
        <v>88.1</v>
      </c>
      <c r="T31" s="18">
        <v>11.5</v>
      </c>
      <c r="U31" s="18">
        <v>0</v>
      </c>
      <c r="V31" s="18">
        <v>0.2</v>
      </c>
      <c r="W31" s="18">
        <v>35.1</v>
      </c>
      <c r="X31" s="4">
        <v>4.5999999999999996</v>
      </c>
      <c r="Y31">
        <v>0</v>
      </c>
      <c r="Z31" t="s">
        <v>674</v>
      </c>
    </row>
    <row r="32" spans="1:26" ht="12.75" x14ac:dyDescent="0.2">
      <c r="A32" s="4">
        <v>31</v>
      </c>
      <c r="B32" s="4" t="s">
        <v>648</v>
      </c>
      <c r="C32" s="4" t="s">
        <v>626</v>
      </c>
      <c r="D32" s="4">
        <v>40</v>
      </c>
      <c r="E32" s="4">
        <v>43</v>
      </c>
      <c r="F32" s="4">
        <v>17</v>
      </c>
      <c r="G32" s="4" t="s">
        <v>673</v>
      </c>
      <c r="H32" s="4">
        <v>7.9</v>
      </c>
      <c r="I32" s="4">
        <v>76</v>
      </c>
      <c r="J32" s="4">
        <v>38</v>
      </c>
      <c r="K32" s="4">
        <v>6012</v>
      </c>
      <c r="L32" s="4">
        <v>622</v>
      </c>
      <c r="M32" s="4">
        <v>6.4</v>
      </c>
      <c r="N32" s="4">
        <v>172</v>
      </c>
      <c r="O32" s="4">
        <v>8</v>
      </c>
      <c r="P32" s="4">
        <v>1</v>
      </c>
      <c r="Q32" s="4">
        <v>35.299999999999997</v>
      </c>
      <c r="R32" s="4">
        <v>0.3</v>
      </c>
      <c r="S32" s="4">
        <v>85.2</v>
      </c>
      <c r="T32" s="18">
        <v>14.7</v>
      </c>
      <c r="U32" s="18">
        <v>0</v>
      </c>
      <c r="V32" s="18">
        <v>0.1</v>
      </c>
      <c r="W32" s="18">
        <v>30.1</v>
      </c>
      <c r="X32">
        <v>5.2</v>
      </c>
      <c r="Y32">
        <v>0</v>
      </c>
    </row>
    <row r="33" spans="1:26" ht="12.75" x14ac:dyDescent="0.2">
      <c r="A33" s="4">
        <v>32</v>
      </c>
      <c r="B33" s="4" t="s">
        <v>647</v>
      </c>
      <c r="C33" s="4" t="s">
        <v>629</v>
      </c>
      <c r="D33" s="4">
        <v>42</v>
      </c>
      <c r="E33" s="4">
        <v>39</v>
      </c>
      <c r="F33" s="4">
        <v>19</v>
      </c>
      <c r="G33" s="4" t="s">
        <v>673</v>
      </c>
      <c r="H33" s="4">
        <v>7.6</v>
      </c>
      <c r="I33" s="4">
        <v>93</v>
      </c>
      <c r="J33" s="4">
        <v>47</v>
      </c>
      <c r="K33" s="4">
        <v>5255</v>
      </c>
      <c r="L33" s="4">
        <v>687</v>
      </c>
      <c r="M33" s="4">
        <v>6.6</v>
      </c>
      <c r="N33" s="4">
        <v>176</v>
      </c>
      <c r="O33" s="4">
        <v>9.1</v>
      </c>
      <c r="P33" s="4">
        <v>1</v>
      </c>
      <c r="Q33" s="4">
        <v>32.1</v>
      </c>
      <c r="R33" s="4">
        <v>0.4</v>
      </c>
      <c r="S33" s="4">
        <v>81.900000000000006</v>
      </c>
      <c r="T33" s="18">
        <v>17.8</v>
      </c>
      <c r="U33" s="18">
        <v>0</v>
      </c>
      <c r="V33" s="18">
        <v>0.1</v>
      </c>
      <c r="W33" s="18">
        <v>26.3</v>
      </c>
      <c r="X33">
        <v>5.7</v>
      </c>
      <c r="Y33">
        <v>0</v>
      </c>
    </row>
    <row r="34" spans="1:26" ht="12.75" x14ac:dyDescent="0.2">
      <c r="A34" s="4">
        <v>33</v>
      </c>
      <c r="B34" s="4" t="s">
        <v>647</v>
      </c>
      <c r="C34" s="4" t="s">
        <v>630</v>
      </c>
      <c r="D34" s="4">
        <v>50</v>
      </c>
      <c r="E34" s="4">
        <v>35</v>
      </c>
      <c r="F34" s="4">
        <v>15</v>
      </c>
      <c r="G34" s="4" t="s">
        <v>673</v>
      </c>
      <c r="H34" s="4">
        <v>7.6</v>
      </c>
      <c r="I34" s="4">
        <v>79</v>
      </c>
      <c r="J34" s="4">
        <v>46</v>
      </c>
      <c r="K34" s="4">
        <v>5747</v>
      </c>
      <c r="L34" s="4">
        <v>626</v>
      </c>
      <c r="M34" s="4">
        <v>6.8</v>
      </c>
      <c r="N34" s="4">
        <v>180</v>
      </c>
      <c r="O34" s="4">
        <v>11.3</v>
      </c>
      <c r="P34" s="4">
        <v>1</v>
      </c>
      <c r="Q34" s="4">
        <v>34.1</v>
      </c>
      <c r="R34" s="4">
        <v>0.3</v>
      </c>
      <c r="S34" s="4">
        <v>84.3</v>
      </c>
      <c r="T34" s="18">
        <v>15.3</v>
      </c>
      <c r="U34" s="18">
        <v>0</v>
      </c>
      <c r="V34" s="18">
        <v>0.1</v>
      </c>
      <c r="W34" s="18">
        <v>28.7</v>
      </c>
      <c r="X34">
        <v>5.2</v>
      </c>
      <c r="Y34">
        <v>0</v>
      </c>
    </row>
    <row r="35" spans="1:26" ht="12.75" x14ac:dyDescent="0.2">
      <c r="A35" s="4">
        <v>34</v>
      </c>
      <c r="B35" s="4" t="s">
        <v>646</v>
      </c>
      <c r="C35" s="4" t="s">
        <v>629</v>
      </c>
      <c r="D35" s="4">
        <v>36</v>
      </c>
      <c r="E35" s="4">
        <v>43</v>
      </c>
      <c r="F35" s="4">
        <v>21</v>
      </c>
      <c r="G35" s="4" t="s">
        <v>673</v>
      </c>
      <c r="H35" s="4">
        <v>7.7</v>
      </c>
      <c r="I35" s="4">
        <v>130</v>
      </c>
      <c r="J35" s="4">
        <v>80</v>
      </c>
      <c r="K35" s="4">
        <v>6067</v>
      </c>
      <c r="L35" s="4">
        <v>510</v>
      </c>
      <c r="M35" s="4">
        <v>5.2</v>
      </c>
      <c r="N35" s="4">
        <v>148</v>
      </c>
      <c r="O35" s="4">
        <v>7.6</v>
      </c>
      <c r="P35" s="4">
        <v>1</v>
      </c>
      <c r="Q35" s="4">
        <v>34.799999999999997</v>
      </c>
      <c r="R35" s="4">
        <v>0.6</v>
      </c>
      <c r="S35" s="4">
        <v>87.2</v>
      </c>
      <c r="T35" s="18">
        <v>12.2</v>
      </c>
      <c r="U35" s="18">
        <v>0</v>
      </c>
      <c r="V35" s="18">
        <v>0.2</v>
      </c>
      <c r="W35" s="18">
        <v>30.3</v>
      </c>
      <c r="X35">
        <v>4.3</v>
      </c>
      <c r="Y35">
        <v>0</v>
      </c>
    </row>
    <row r="36" spans="1:26" ht="12.75" x14ac:dyDescent="0.2">
      <c r="A36" s="4">
        <v>35</v>
      </c>
      <c r="B36" s="4" t="s">
        <v>649</v>
      </c>
      <c r="C36" s="4" t="s">
        <v>626</v>
      </c>
      <c r="D36" s="4">
        <v>48</v>
      </c>
      <c r="E36" s="4">
        <v>35</v>
      </c>
      <c r="F36" s="4">
        <v>17</v>
      </c>
      <c r="G36" s="4" t="s">
        <v>673</v>
      </c>
      <c r="H36" s="4">
        <v>7.7</v>
      </c>
      <c r="I36" s="4">
        <v>90</v>
      </c>
      <c r="J36" s="4">
        <v>48</v>
      </c>
      <c r="K36" s="4">
        <v>5523</v>
      </c>
      <c r="L36" s="4">
        <v>669</v>
      </c>
      <c r="M36" s="4">
        <v>5.0999999999999996</v>
      </c>
      <c r="N36" s="4">
        <v>146</v>
      </c>
      <c r="O36" s="4">
        <v>4.0999999999999996</v>
      </c>
      <c r="P36" s="4">
        <v>1</v>
      </c>
      <c r="Q36" s="4">
        <v>33.299999999999997</v>
      </c>
      <c r="R36" s="4">
        <v>0.4</v>
      </c>
      <c r="S36" s="4">
        <v>82.9</v>
      </c>
      <c r="T36" s="18">
        <v>16.7</v>
      </c>
      <c r="U36" s="18">
        <v>0</v>
      </c>
      <c r="V36" s="18">
        <v>0.1</v>
      </c>
      <c r="W36" s="18">
        <v>27.6</v>
      </c>
      <c r="X36">
        <v>5.6</v>
      </c>
      <c r="Y36">
        <v>0</v>
      </c>
    </row>
    <row r="37" spans="1:26" ht="12.75" x14ac:dyDescent="0.2">
      <c r="A37" s="4">
        <v>36</v>
      </c>
      <c r="B37" s="4" t="s">
        <v>645</v>
      </c>
      <c r="C37" s="4" t="s">
        <v>629</v>
      </c>
      <c r="D37" s="4">
        <v>38</v>
      </c>
      <c r="E37" s="4">
        <v>43</v>
      </c>
      <c r="F37" s="4">
        <v>19</v>
      </c>
      <c r="G37" s="4" t="s">
        <v>673</v>
      </c>
      <c r="H37" s="4">
        <v>7.8</v>
      </c>
      <c r="I37" s="4">
        <v>105</v>
      </c>
      <c r="J37" s="4">
        <v>65</v>
      </c>
      <c r="K37" s="4">
        <v>6950</v>
      </c>
      <c r="L37" s="4">
        <v>523</v>
      </c>
      <c r="M37" s="4">
        <v>5.9</v>
      </c>
      <c r="N37" s="4">
        <v>162</v>
      </c>
      <c r="O37" s="4">
        <v>7.8</v>
      </c>
      <c r="P37" s="4">
        <v>1</v>
      </c>
      <c r="Q37" s="4">
        <v>39.299999999999997</v>
      </c>
      <c r="R37" s="4">
        <v>0.4</v>
      </c>
      <c r="S37" s="4">
        <v>88.4</v>
      </c>
      <c r="T37" s="18">
        <v>11.1</v>
      </c>
      <c r="U37" s="18">
        <v>0</v>
      </c>
      <c r="V37" s="18">
        <v>0.2</v>
      </c>
      <c r="W37" s="18">
        <v>34.799999999999997</v>
      </c>
      <c r="X37">
        <v>4.4000000000000004</v>
      </c>
      <c r="Y37">
        <v>0</v>
      </c>
    </row>
    <row r="38" spans="1:26" ht="12.75" x14ac:dyDescent="0.2">
      <c r="A38" s="4">
        <v>37</v>
      </c>
      <c r="B38" s="4" t="s">
        <v>649</v>
      </c>
      <c r="C38" s="4" t="s">
        <v>629</v>
      </c>
      <c r="D38" s="4">
        <v>54</v>
      </c>
      <c r="E38" s="4">
        <v>29</v>
      </c>
      <c r="F38" s="4">
        <v>17</v>
      </c>
      <c r="G38" s="4" t="s">
        <v>676</v>
      </c>
      <c r="H38" s="4">
        <v>7.4</v>
      </c>
      <c r="I38" s="4">
        <v>89</v>
      </c>
      <c r="J38" s="4">
        <v>132</v>
      </c>
      <c r="K38" s="4">
        <v>5507</v>
      </c>
      <c r="L38" s="4">
        <v>782</v>
      </c>
      <c r="M38" s="4">
        <v>5.9</v>
      </c>
      <c r="N38" s="4">
        <v>162</v>
      </c>
      <c r="O38" s="4">
        <v>13.7</v>
      </c>
      <c r="P38" s="4">
        <v>2.6</v>
      </c>
      <c r="Q38" s="4">
        <v>34.4</v>
      </c>
      <c r="R38" s="4">
        <v>1</v>
      </c>
      <c r="S38" s="4">
        <v>80</v>
      </c>
      <c r="T38" s="18">
        <v>18.899999999999999</v>
      </c>
      <c r="U38" s="18">
        <v>0</v>
      </c>
      <c r="V38" s="18">
        <v>0.3</v>
      </c>
      <c r="W38" s="18">
        <v>27.5</v>
      </c>
      <c r="X38">
        <v>6.5</v>
      </c>
      <c r="Y38">
        <v>0</v>
      </c>
    </row>
    <row r="39" spans="1:26" ht="12.75" x14ac:dyDescent="0.2">
      <c r="A39" s="4">
        <v>38</v>
      </c>
      <c r="B39" s="4" t="s">
        <v>641</v>
      </c>
      <c r="C39" s="4" t="s">
        <v>629</v>
      </c>
      <c r="D39" s="4">
        <v>36</v>
      </c>
      <c r="E39" s="4">
        <v>47</v>
      </c>
      <c r="F39" s="4">
        <v>17</v>
      </c>
      <c r="G39" s="4" t="s">
        <v>673</v>
      </c>
      <c r="H39" s="4">
        <v>7.7</v>
      </c>
      <c r="I39" s="4">
        <v>117</v>
      </c>
      <c r="J39" s="4">
        <v>100</v>
      </c>
      <c r="K39" s="4">
        <v>7207</v>
      </c>
      <c r="L39" s="4">
        <v>586</v>
      </c>
      <c r="M39" s="4">
        <v>5.6</v>
      </c>
      <c r="N39" s="4">
        <v>156</v>
      </c>
      <c r="O39" s="4">
        <v>7.7</v>
      </c>
      <c r="P39" s="4">
        <v>1.5</v>
      </c>
      <c r="Q39" s="4">
        <v>41.2</v>
      </c>
      <c r="R39" s="4">
        <v>0.6</v>
      </c>
      <c r="S39" s="4">
        <v>87.5</v>
      </c>
      <c r="T39" s="18">
        <v>11.9</v>
      </c>
      <c r="U39" s="18">
        <v>0</v>
      </c>
      <c r="V39" s="18">
        <v>0.3</v>
      </c>
      <c r="W39" s="18">
        <v>36</v>
      </c>
      <c r="X39" s="4">
        <v>4.9000000000000004</v>
      </c>
      <c r="Y39">
        <v>0</v>
      </c>
      <c r="Z39" t="s">
        <v>674</v>
      </c>
    </row>
    <row r="40" spans="1:26" ht="12.75" x14ac:dyDescent="0.2">
      <c r="A40" s="4">
        <v>39</v>
      </c>
      <c r="B40" s="4" t="s">
        <v>647</v>
      </c>
      <c r="C40" s="4" t="s">
        <v>628</v>
      </c>
      <c r="D40" s="4">
        <v>48</v>
      </c>
      <c r="E40" s="4">
        <v>37</v>
      </c>
      <c r="F40" s="4">
        <v>15</v>
      </c>
      <c r="G40" s="4" t="s">
        <v>673</v>
      </c>
      <c r="H40" s="4">
        <v>6.8</v>
      </c>
      <c r="I40" s="4">
        <v>76</v>
      </c>
      <c r="J40" s="4">
        <v>54</v>
      </c>
      <c r="K40" s="4">
        <v>6194</v>
      </c>
      <c r="L40" s="4">
        <v>639</v>
      </c>
      <c r="M40" s="4">
        <v>6.9</v>
      </c>
      <c r="N40" s="4">
        <v>182</v>
      </c>
      <c r="O40" s="4">
        <v>11.5</v>
      </c>
      <c r="P40" s="4">
        <v>1</v>
      </c>
      <c r="Q40" s="4">
        <v>37.5</v>
      </c>
      <c r="R40" s="4">
        <v>0.4</v>
      </c>
      <c r="S40" s="4">
        <v>82.6</v>
      </c>
      <c r="T40" s="18">
        <v>14.2</v>
      </c>
      <c r="U40" s="18">
        <v>2.9</v>
      </c>
      <c r="V40" s="18">
        <v>0.1</v>
      </c>
      <c r="W40" s="18">
        <v>31</v>
      </c>
      <c r="X40">
        <v>5.3</v>
      </c>
      <c r="Y40">
        <v>1.1000000000000001</v>
      </c>
    </row>
    <row r="41" spans="1:26" ht="12.75" x14ac:dyDescent="0.2">
      <c r="A41" s="4">
        <v>40</v>
      </c>
      <c r="B41" s="4" t="s">
        <v>641</v>
      </c>
      <c r="C41" s="4" t="s">
        <v>628</v>
      </c>
      <c r="D41" s="4">
        <v>38</v>
      </c>
      <c r="E41" s="4">
        <v>47</v>
      </c>
      <c r="F41" s="4">
        <v>15</v>
      </c>
      <c r="G41" s="4" t="s">
        <v>673</v>
      </c>
      <c r="H41" s="4">
        <v>7.6</v>
      </c>
      <c r="I41" s="4">
        <v>86</v>
      </c>
      <c r="J41" s="4">
        <v>69</v>
      </c>
      <c r="K41" s="4">
        <v>8263</v>
      </c>
      <c r="L41" s="4">
        <v>518</v>
      </c>
      <c r="M41" s="4">
        <v>5.8</v>
      </c>
      <c r="N41" s="4">
        <v>160</v>
      </c>
      <c r="O41" s="4">
        <v>8.3000000000000007</v>
      </c>
      <c r="P41" s="4">
        <v>1</v>
      </c>
      <c r="Q41" s="4">
        <v>45.8</v>
      </c>
      <c r="R41" s="4">
        <v>0.4</v>
      </c>
      <c r="S41" s="4">
        <v>90.2</v>
      </c>
      <c r="T41" s="18">
        <v>9.4</v>
      </c>
      <c r="U41" s="18">
        <v>0</v>
      </c>
      <c r="V41" s="18">
        <v>0.2</v>
      </c>
      <c r="W41" s="18">
        <v>41.3</v>
      </c>
      <c r="X41" s="4">
        <v>4.3</v>
      </c>
      <c r="Y41">
        <v>0</v>
      </c>
      <c r="Z41" t="s">
        <v>674</v>
      </c>
    </row>
    <row r="42" spans="1:26" ht="12.75" x14ac:dyDescent="0.2">
      <c r="A42" s="4">
        <v>41</v>
      </c>
      <c r="B42" s="4" t="s">
        <v>644</v>
      </c>
      <c r="C42" s="4" t="s">
        <v>626</v>
      </c>
      <c r="D42" s="4">
        <v>44</v>
      </c>
      <c r="E42" s="4">
        <v>39</v>
      </c>
      <c r="F42" s="4">
        <v>17</v>
      </c>
      <c r="G42" s="4" t="s">
        <v>673</v>
      </c>
      <c r="H42" s="4">
        <v>7.5</v>
      </c>
      <c r="I42" s="4">
        <v>106</v>
      </c>
      <c r="J42" s="4">
        <v>86</v>
      </c>
      <c r="K42" s="4">
        <v>7171</v>
      </c>
      <c r="L42" s="4">
        <v>584</v>
      </c>
      <c r="M42" s="4">
        <v>6.1</v>
      </c>
      <c r="N42" s="4">
        <v>166</v>
      </c>
      <c r="O42" s="4">
        <v>15</v>
      </c>
      <c r="P42" s="4">
        <v>1</v>
      </c>
      <c r="Q42" s="4">
        <v>40.9</v>
      </c>
      <c r="R42" s="4">
        <v>0.5</v>
      </c>
      <c r="S42" s="4">
        <v>87.7</v>
      </c>
      <c r="T42" s="18">
        <v>11.9</v>
      </c>
      <c r="U42" s="18">
        <v>0</v>
      </c>
      <c r="V42" s="18">
        <v>0.2</v>
      </c>
      <c r="W42" s="18">
        <v>35.9</v>
      </c>
      <c r="X42" s="4">
        <v>4.9000000000000004</v>
      </c>
      <c r="Y42">
        <v>0</v>
      </c>
      <c r="Z42" t="s">
        <v>674</v>
      </c>
    </row>
    <row r="43" spans="1:26" ht="12.75" x14ac:dyDescent="0.2">
      <c r="A43" s="4">
        <v>42</v>
      </c>
      <c r="B43" s="4" t="s">
        <v>634</v>
      </c>
      <c r="C43" s="4" t="s">
        <v>629</v>
      </c>
      <c r="D43" s="4">
        <v>34</v>
      </c>
      <c r="E43" s="4">
        <v>45</v>
      </c>
      <c r="F43" s="4">
        <v>21</v>
      </c>
      <c r="G43" s="4" t="s">
        <v>673</v>
      </c>
      <c r="H43" s="4">
        <v>7.6</v>
      </c>
      <c r="I43" s="4">
        <v>135</v>
      </c>
      <c r="J43" s="4">
        <v>111</v>
      </c>
      <c r="K43" s="4">
        <v>6511</v>
      </c>
      <c r="L43" s="4">
        <v>614</v>
      </c>
      <c r="M43" s="4">
        <v>5.5</v>
      </c>
      <c r="N43" s="4">
        <v>154</v>
      </c>
      <c r="O43" s="4">
        <v>7.3</v>
      </c>
      <c r="P43" s="4">
        <v>2.4</v>
      </c>
      <c r="Q43" s="4">
        <v>38</v>
      </c>
      <c r="R43" s="4">
        <v>0.7</v>
      </c>
      <c r="S43" s="4">
        <v>85.7</v>
      </c>
      <c r="T43" s="18">
        <v>13.5</v>
      </c>
      <c r="U43" s="18">
        <v>0</v>
      </c>
      <c r="V43" s="18">
        <v>0.3</v>
      </c>
      <c r="W43" s="18">
        <v>32.6</v>
      </c>
      <c r="X43">
        <v>5.0999999999999996</v>
      </c>
      <c r="Y43">
        <v>0</v>
      </c>
    </row>
    <row r="44" spans="1:26" ht="12.75" x14ac:dyDescent="0.2">
      <c r="A44" s="4">
        <v>43</v>
      </c>
      <c r="B44" s="4" t="s">
        <v>638</v>
      </c>
      <c r="C44" s="4" t="s">
        <v>626</v>
      </c>
      <c r="D44" s="4">
        <v>36</v>
      </c>
      <c r="E44" s="4">
        <v>43</v>
      </c>
      <c r="F44" s="4">
        <v>21</v>
      </c>
      <c r="G44" s="4" t="s">
        <v>673</v>
      </c>
      <c r="H44" s="4">
        <v>7.7</v>
      </c>
      <c r="I44" s="4">
        <v>125</v>
      </c>
      <c r="J44" s="4">
        <v>65</v>
      </c>
      <c r="K44" s="4">
        <v>6215</v>
      </c>
      <c r="L44" s="4">
        <v>564</v>
      </c>
      <c r="M44" s="4">
        <v>5.4</v>
      </c>
      <c r="N44" s="4">
        <v>152</v>
      </c>
      <c r="O44" s="4">
        <v>6.2</v>
      </c>
      <c r="P44" s="4">
        <v>1</v>
      </c>
      <c r="Q44" s="4">
        <v>35.9</v>
      </c>
      <c r="R44" s="4">
        <v>0.5</v>
      </c>
      <c r="S44" s="4">
        <v>86.6</v>
      </c>
      <c r="T44" s="18">
        <v>13.1</v>
      </c>
      <c r="U44" s="18">
        <v>0</v>
      </c>
      <c r="V44" s="18">
        <v>0.2</v>
      </c>
      <c r="W44" s="18">
        <v>31.1</v>
      </c>
      <c r="X44">
        <v>4.7</v>
      </c>
      <c r="Y44">
        <v>0</v>
      </c>
    </row>
    <row r="45" spans="1:26" ht="12.75" x14ac:dyDescent="0.2">
      <c r="A45" s="4">
        <v>44</v>
      </c>
      <c r="B45" s="4" t="s">
        <v>631</v>
      </c>
      <c r="C45" s="4" t="s">
        <v>630</v>
      </c>
      <c r="D45" s="4">
        <v>36</v>
      </c>
      <c r="E45" s="4">
        <v>45</v>
      </c>
      <c r="F45" s="4">
        <v>19</v>
      </c>
      <c r="G45" s="4" t="s">
        <v>673</v>
      </c>
      <c r="H45" s="4">
        <v>7.7</v>
      </c>
      <c r="I45" s="4">
        <v>101</v>
      </c>
      <c r="J45" s="4">
        <v>67</v>
      </c>
      <c r="K45" s="4">
        <v>7349</v>
      </c>
      <c r="L45" s="4">
        <v>510</v>
      </c>
      <c r="M45" s="4">
        <v>6.6</v>
      </c>
      <c r="N45" s="4">
        <v>176</v>
      </c>
      <c r="O45" s="4">
        <v>11.8</v>
      </c>
      <c r="P45" s="4">
        <v>1</v>
      </c>
      <c r="Q45" s="4">
        <v>41.2</v>
      </c>
      <c r="R45" s="4">
        <v>0.4</v>
      </c>
      <c r="S45" s="4">
        <v>89.2</v>
      </c>
      <c r="T45" s="18">
        <v>10.3</v>
      </c>
      <c r="U45" s="18">
        <v>0</v>
      </c>
      <c r="V45" s="18">
        <v>0.2</v>
      </c>
      <c r="W45" s="18">
        <v>36.700000000000003</v>
      </c>
      <c r="X45" s="4">
        <v>4.3</v>
      </c>
      <c r="Y45">
        <v>0</v>
      </c>
      <c r="Z45" t="s">
        <v>674</v>
      </c>
    </row>
    <row r="46" spans="1:26" ht="12.75" x14ac:dyDescent="0.2">
      <c r="A46" s="4">
        <v>45</v>
      </c>
      <c r="B46" s="4" t="s">
        <v>634</v>
      </c>
      <c r="C46" s="4" t="s">
        <v>628</v>
      </c>
      <c r="D46" s="4">
        <v>40</v>
      </c>
      <c r="E46" s="4">
        <v>41</v>
      </c>
      <c r="F46" s="4">
        <v>19</v>
      </c>
      <c r="G46" s="4" t="s">
        <v>673</v>
      </c>
      <c r="H46" s="4">
        <v>7.7</v>
      </c>
      <c r="I46" s="4">
        <v>118</v>
      </c>
      <c r="J46" s="4">
        <v>78</v>
      </c>
      <c r="K46" s="4">
        <v>5792</v>
      </c>
      <c r="L46" s="4">
        <v>520</v>
      </c>
      <c r="M46" s="4">
        <v>5</v>
      </c>
      <c r="N46" s="4">
        <v>144</v>
      </c>
      <c r="O46" s="4">
        <v>8.9</v>
      </c>
      <c r="P46" s="4">
        <v>1.1000000000000001</v>
      </c>
      <c r="Q46" s="4">
        <v>33.5</v>
      </c>
      <c r="R46" s="4">
        <v>0.6</v>
      </c>
      <c r="S46" s="4">
        <v>86.4</v>
      </c>
      <c r="T46" s="18">
        <v>12.9</v>
      </c>
      <c r="U46" s="18">
        <v>0</v>
      </c>
      <c r="V46" s="18">
        <v>0.2</v>
      </c>
      <c r="W46" s="18">
        <v>29</v>
      </c>
      <c r="X46">
        <v>4.3</v>
      </c>
      <c r="Y46">
        <v>0</v>
      </c>
    </row>
    <row r="47" spans="1:26" ht="12.75" x14ac:dyDescent="0.2">
      <c r="A47" s="4">
        <v>46</v>
      </c>
      <c r="B47" s="4" t="s">
        <v>633</v>
      </c>
      <c r="C47" s="4" t="s">
        <v>630</v>
      </c>
      <c r="D47" s="4">
        <v>38</v>
      </c>
      <c r="E47" s="4">
        <v>43</v>
      </c>
      <c r="F47" s="4">
        <v>19</v>
      </c>
      <c r="G47" s="4" t="s">
        <v>673</v>
      </c>
      <c r="H47" s="4">
        <v>7.7</v>
      </c>
      <c r="I47" s="4">
        <v>145</v>
      </c>
      <c r="J47" s="4">
        <v>119</v>
      </c>
      <c r="K47" s="4">
        <v>8262</v>
      </c>
      <c r="L47" s="4">
        <v>811</v>
      </c>
      <c r="M47" s="4">
        <v>5.4</v>
      </c>
      <c r="N47" s="4">
        <v>152</v>
      </c>
      <c r="O47" s="4">
        <v>8.1</v>
      </c>
      <c r="P47" s="4">
        <v>1</v>
      </c>
      <c r="Q47" s="4">
        <v>48.4</v>
      </c>
      <c r="R47" s="4">
        <v>0.6</v>
      </c>
      <c r="S47" s="4">
        <v>85.4</v>
      </c>
      <c r="T47" s="18">
        <v>14</v>
      </c>
      <c r="U47" s="18">
        <v>0</v>
      </c>
      <c r="V47" s="18">
        <v>0.3</v>
      </c>
      <c r="W47" s="18">
        <v>41.3</v>
      </c>
      <c r="X47" s="4">
        <v>6.8</v>
      </c>
      <c r="Y47">
        <v>0</v>
      </c>
      <c r="Z47" t="s">
        <v>674</v>
      </c>
    </row>
    <row r="48" spans="1:26" ht="12.75" x14ac:dyDescent="0.2">
      <c r="A48" s="4">
        <v>47</v>
      </c>
      <c r="B48" s="4" t="s">
        <v>632</v>
      </c>
      <c r="C48" s="4" t="s">
        <v>626</v>
      </c>
      <c r="D48" s="4">
        <v>44</v>
      </c>
      <c r="E48" s="4">
        <v>39</v>
      </c>
      <c r="F48" s="4">
        <v>17</v>
      </c>
      <c r="G48" s="4" t="s">
        <v>673</v>
      </c>
      <c r="H48" s="4">
        <v>7.8</v>
      </c>
      <c r="I48" s="4">
        <v>108</v>
      </c>
      <c r="J48" s="4">
        <v>68</v>
      </c>
      <c r="K48" s="4">
        <v>6295</v>
      </c>
      <c r="L48" s="4">
        <v>581</v>
      </c>
      <c r="M48" s="4">
        <v>5.4</v>
      </c>
      <c r="N48" s="4">
        <v>152</v>
      </c>
      <c r="O48" s="4">
        <v>8</v>
      </c>
      <c r="P48" s="4">
        <v>1</v>
      </c>
      <c r="Q48" s="4">
        <v>36.5</v>
      </c>
      <c r="R48" s="4">
        <v>0.5</v>
      </c>
      <c r="S48" s="4">
        <v>86.2</v>
      </c>
      <c r="T48" s="18">
        <v>13.3</v>
      </c>
      <c r="U48" s="18">
        <v>0</v>
      </c>
      <c r="V48" s="18">
        <v>0.2</v>
      </c>
      <c r="W48" s="18">
        <v>31.5</v>
      </c>
      <c r="X48">
        <v>4.8</v>
      </c>
      <c r="Y48">
        <v>0</v>
      </c>
    </row>
    <row r="49" spans="1:26" ht="12.75" x14ac:dyDescent="0.2">
      <c r="A49" s="4">
        <v>48</v>
      </c>
      <c r="B49" s="4" t="s">
        <v>632</v>
      </c>
      <c r="C49" s="4" t="s">
        <v>628</v>
      </c>
      <c r="D49" s="4">
        <v>36</v>
      </c>
      <c r="E49" s="4">
        <v>43</v>
      </c>
      <c r="F49" s="4">
        <v>21</v>
      </c>
      <c r="G49" s="4" t="s">
        <v>673</v>
      </c>
      <c r="H49" s="4">
        <v>7.6</v>
      </c>
      <c r="I49" s="4">
        <v>119</v>
      </c>
      <c r="J49" s="4">
        <v>61</v>
      </c>
      <c r="K49" s="4">
        <v>6075</v>
      </c>
      <c r="L49" s="4">
        <v>518</v>
      </c>
      <c r="M49" s="4">
        <v>4.4000000000000004</v>
      </c>
      <c r="N49" s="4">
        <v>132</v>
      </c>
      <c r="O49" s="4">
        <v>6.9</v>
      </c>
      <c r="P49" s="4">
        <v>1</v>
      </c>
      <c r="Q49" s="4">
        <v>34.799999999999997</v>
      </c>
      <c r="R49" s="4">
        <v>0.4</v>
      </c>
      <c r="S49" s="4">
        <v>87.3</v>
      </c>
      <c r="T49" s="18">
        <v>12.4</v>
      </c>
      <c r="U49" s="18">
        <v>0</v>
      </c>
      <c r="V49" s="18">
        <v>0.2</v>
      </c>
      <c r="W49" s="18">
        <v>30.4</v>
      </c>
      <c r="X49">
        <v>4.3</v>
      </c>
      <c r="Y49">
        <v>0</v>
      </c>
    </row>
    <row r="50" spans="1:26" ht="12.75" x14ac:dyDescent="0.2">
      <c r="A50" s="4">
        <v>49</v>
      </c>
      <c r="B50" s="4" t="s">
        <v>633</v>
      </c>
      <c r="C50" s="4" t="s">
        <v>626</v>
      </c>
      <c r="D50" s="4">
        <v>42</v>
      </c>
      <c r="E50" s="4">
        <v>43</v>
      </c>
      <c r="F50" s="4">
        <v>15</v>
      </c>
      <c r="G50" s="4" t="s">
        <v>673</v>
      </c>
      <c r="H50" s="4">
        <v>7.9</v>
      </c>
      <c r="I50" s="4">
        <v>112</v>
      </c>
      <c r="J50" s="4">
        <v>69</v>
      </c>
      <c r="K50" s="4">
        <v>7214</v>
      </c>
      <c r="L50" s="4">
        <v>544</v>
      </c>
      <c r="M50" s="4">
        <v>6</v>
      </c>
      <c r="N50" s="4">
        <v>164</v>
      </c>
      <c r="O50" s="4">
        <v>9.6</v>
      </c>
      <c r="P50" s="4">
        <v>1</v>
      </c>
      <c r="Q50" s="4">
        <v>40.799999999999997</v>
      </c>
      <c r="R50" s="4">
        <v>0.4</v>
      </c>
      <c r="S50" s="4">
        <v>88.4</v>
      </c>
      <c r="T50" s="18">
        <v>11.1</v>
      </c>
      <c r="U50" s="18">
        <v>0</v>
      </c>
      <c r="V50" s="18">
        <v>0.2</v>
      </c>
      <c r="W50" s="18">
        <v>36.1</v>
      </c>
      <c r="X50" s="4">
        <v>4.5</v>
      </c>
      <c r="Y50">
        <v>0</v>
      </c>
      <c r="Z50" t="s">
        <v>674</v>
      </c>
    </row>
    <row r="51" spans="1:26" ht="12.75" x14ac:dyDescent="0.2">
      <c r="A51" s="4">
        <v>50</v>
      </c>
      <c r="B51" s="4" t="s">
        <v>638</v>
      </c>
      <c r="C51" s="4" t="s">
        <v>628</v>
      </c>
      <c r="D51" s="4">
        <v>38</v>
      </c>
      <c r="E51" s="4">
        <v>45</v>
      </c>
      <c r="F51" s="4">
        <v>17</v>
      </c>
      <c r="G51" s="4" t="s">
        <v>673</v>
      </c>
      <c r="H51" s="4">
        <v>7.8</v>
      </c>
      <c r="I51" s="4">
        <v>121</v>
      </c>
      <c r="J51" s="4">
        <v>50</v>
      </c>
      <c r="K51" s="4">
        <v>5829</v>
      </c>
      <c r="L51" s="4">
        <v>558</v>
      </c>
      <c r="M51" s="4">
        <v>5.3</v>
      </c>
      <c r="N51" s="4">
        <v>150</v>
      </c>
      <c r="O51" s="4">
        <v>7.5</v>
      </c>
      <c r="P51" s="4">
        <v>1</v>
      </c>
      <c r="Q51" s="4">
        <v>33.9</v>
      </c>
      <c r="R51" s="4">
        <v>0.4</v>
      </c>
      <c r="S51" s="4">
        <v>86</v>
      </c>
      <c r="T51" s="18">
        <v>13.7</v>
      </c>
      <c r="U51" s="18">
        <v>0</v>
      </c>
      <c r="V51" s="18">
        <v>0.1</v>
      </c>
      <c r="W51" s="18">
        <v>29.1</v>
      </c>
      <c r="X51">
        <v>4.7</v>
      </c>
      <c r="Y51">
        <v>0</v>
      </c>
    </row>
    <row r="52" spans="1:26" ht="12.75" x14ac:dyDescent="0.2">
      <c r="A52" s="4">
        <v>51</v>
      </c>
      <c r="B52" s="4" t="s">
        <v>634</v>
      </c>
      <c r="C52" s="4" t="s">
        <v>627</v>
      </c>
      <c r="D52" s="4">
        <v>40</v>
      </c>
      <c r="E52" s="4">
        <v>43</v>
      </c>
      <c r="F52" s="4">
        <v>17</v>
      </c>
      <c r="G52" s="4" t="s">
        <v>673</v>
      </c>
      <c r="H52" s="4">
        <v>7.7</v>
      </c>
      <c r="I52" s="4">
        <v>113</v>
      </c>
      <c r="J52" s="4">
        <v>55</v>
      </c>
      <c r="K52" s="4">
        <v>6286</v>
      </c>
      <c r="L52" s="4">
        <v>511</v>
      </c>
      <c r="M52" s="4">
        <v>5.5</v>
      </c>
      <c r="N52" s="4">
        <v>154</v>
      </c>
      <c r="O52" s="4">
        <v>7.9</v>
      </c>
      <c r="P52" s="4">
        <v>1</v>
      </c>
      <c r="Q52" s="4">
        <v>35.799999999999997</v>
      </c>
      <c r="R52" s="4">
        <v>0.4</v>
      </c>
      <c r="S52" s="4">
        <v>87.8</v>
      </c>
      <c r="T52" s="18">
        <v>11.9</v>
      </c>
      <c r="U52" s="18">
        <v>0</v>
      </c>
      <c r="V52" s="18">
        <v>0.1</v>
      </c>
      <c r="W52" s="18">
        <v>31.4</v>
      </c>
      <c r="X52">
        <v>4.3</v>
      </c>
      <c r="Y52">
        <v>0</v>
      </c>
    </row>
    <row r="53" spans="1:26" ht="12.75" x14ac:dyDescent="0.2">
      <c r="A53" s="4">
        <v>52</v>
      </c>
      <c r="B53" s="4" t="s">
        <v>646</v>
      </c>
      <c r="C53" s="4" t="s">
        <v>627</v>
      </c>
      <c r="D53" s="4">
        <v>36</v>
      </c>
      <c r="E53" s="4">
        <v>47</v>
      </c>
      <c r="F53" s="4">
        <v>17</v>
      </c>
      <c r="G53" s="4" t="s">
        <v>673</v>
      </c>
      <c r="H53" s="4">
        <v>7.8</v>
      </c>
      <c r="I53" s="4">
        <v>121</v>
      </c>
      <c r="J53" s="4">
        <v>114</v>
      </c>
      <c r="K53" s="4">
        <v>6800</v>
      </c>
      <c r="L53" s="4">
        <v>497</v>
      </c>
      <c r="M53" s="4">
        <v>5.6</v>
      </c>
      <c r="N53" s="4">
        <v>156</v>
      </c>
      <c r="O53" s="4">
        <v>7.9</v>
      </c>
      <c r="P53" s="4">
        <v>1</v>
      </c>
      <c r="Q53" s="4">
        <v>38.4</v>
      </c>
      <c r="R53" s="4">
        <v>0.8</v>
      </c>
      <c r="S53" s="4">
        <v>88.5</v>
      </c>
      <c r="T53" s="18">
        <v>10.8</v>
      </c>
      <c r="U53" s="18">
        <v>0</v>
      </c>
      <c r="V53" s="18">
        <v>0.3</v>
      </c>
      <c r="W53" s="18">
        <v>34</v>
      </c>
      <c r="X53">
        <v>4.0999999999999996</v>
      </c>
      <c r="Y53">
        <v>0</v>
      </c>
    </row>
    <row r="54" spans="1:26" ht="12.75" x14ac:dyDescent="0.2">
      <c r="A54" s="4">
        <v>53</v>
      </c>
      <c r="B54" s="4" t="s">
        <v>635</v>
      </c>
      <c r="C54" s="4" t="s">
        <v>630</v>
      </c>
      <c r="D54" s="4">
        <v>42</v>
      </c>
      <c r="E54" s="4">
        <v>43</v>
      </c>
      <c r="F54" s="4">
        <v>15</v>
      </c>
      <c r="G54" s="4" t="s">
        <v>673</v>
      </c>
      <c r="H54" s="4">
        <v>7.9</v>
      </c>
      <c r="I54" s="4">
        <v>89</v>
      </c>
      <c r="J54" s="4">
        <v>51</v>
      </c>
      <c r="K54" s="4">
        <v>6890</v>
      </c>
      <c r="L54" s="4">
        <v>533</v>
      </c>
      <c r="M54" s="4">
        <v>5.7</v>
      </c>
      <c r="N54" s="4">
        <v>158</v>
      </c>
      <c r="O54" s="4">
        <v>8</v>
      </c>
      <c r="P54" s="4">
        <v>1</v>
      </c>
      <c r="Q54" s="4">
        <v>39</v>
      </c>
      <c r="R54" s="4">
        <v>0.3</v>
      </c>
      <c r="S54" s="4">
        <v>88.3</v>
      </c>
      <c r="T54" s="18">
        <v>11.4</v>
      </c>
      <c r="U54" s="18">
        <v>0</v>
      </c>
      <c r="V54" s="18">
        <v>0.1</v>
      </c>
      <c r="W54" s="18">
        <v>34.5</v>
      </c>
      <c r="X54">
        <v>4.4000000000000004</v>
      </c>
      <c r="Y54">
        <v>0</v>
      </c>
    </row>
    <row r="55" spans="1:26" ht="12.75" x14ac:dyDescent="0.2">
      <c r="A55" s="4">
        <v>54</v>
      </c>
      <c r="B55" s="4" t="s">
        <v>638</v>
      </c>
      <c r="C55" s="4" t="s">
        <v>627</v>
      </c>
      <c r="D55" s="4">
        <v>38</v>
      </c>
      <c r="E55" s="4">
        <v>45</v>
      </c>
      <c r="F55" s="4">
        <v>17</v>
      </c>
      <c r="G55" s="4" t="s">
        <v>673</v>
      </c>
      <c r="H55" s="4">
        <v>7.8</v>
      </c>
      <c r="I55" s="4">
        <v>107</v>
      </c>
      <c r="J55" s="4">
        <v>48</v>
      </c>
      <c r="K55" s="4">
        <v>5473</v>
      </c>
      <c r="L55" s="4">
        <v>544</v>
      </c>
      <c r="M55" s="4">
        <v>5.4</v>
      </c>
      <c r="N55" s="4">
        <v>152</v>
      </c>
      <c r="O55" s="4">
        <v>4.0999999999999996</v>
      </c>
      <c r="P55" s="4">
        <v>1</v>
      </c>
      <c r="Q55" s="4">
        <v>32</v>
      </c>
      <c r="R55" s="4">
        <v>0.4</v>
      </c>
      <c r="S55" s="4">
        <v>85.5</v>
      </c>
      <c r="T55" s="18">
        <v>14.2</v>
      </c>
      <c r="U55" s="18">
        <v>0</v>
      </c>
      <c r="V55" s="18">
        <v>0.1</v>
      </c>
      <c r="W55" s="18">
        <v>27.4</v>
      </c>
      <c r="X55">
        <v>4.5</v>
      </c>
      <c r="Y55">
        <v>0</v>
      </c>
    </row>
    <row r="56" spans="1:26" ht="12.75" x14ac:dyDescent="0.2">
      <c r="A56" s="4">
        <v>55</v>
      </c>
      <c r="B56" s="4" t="s">
        <v>644</v>
      </c>
      <c r="C56" s="4" t="s">
        <v>627</v>
      </c>
      <c r="D56" s="4">
        <v>48</v>
      </c>
      <c r="E56" s="4">
        <v>37</v>
      </c>
      <c r="F56" s="4">
        <v>15</v>
      </c>
      <c r="G56" s="4" t="s">
        <v>673</v>
      </c>
      <c r="H56" s="4">
        <v>7.5</v>
      </c>
      <c r="I56" s="4">
        <v>57</v>
      </c>
      <c r="J56" s="4">
        <v>21</v>
      </c>
      <c r="K56" s="4">
        <v>3610</v>
      </c>
      <c r="L56" s="4">
        <v>128</v>
      </c>
      <c r="M56" s="4">
        <v>5.2</v>
      </c>
      <c r="N56" s="4">
        <v>148</v>
      </c>
      <c r="O56" s="4">
        <v>8.6999999999999993</v>
      </c>
      <c r="P56" s="4">
        <v>1.1000000000000001</v>
      </c>
      <c r="Q56" s="4">
        <v>19.2</v>
      </c>
      <c r="R56" s="4">
        <v>0.3</v>
      </c>
      <c r="S56" s="4">
        <v>94</v>
      </c>
      <c r="T56" s="18">
        <v>5.6</v>
      </c>
      <c r="U56" s="18">
        <v>0</v>
      </c>
      <c r="V56" s="18">
        <v>0.1</v>
      </c>
      <c r="W56" s="18">
        <v>18.100000000000001</v>
      </c>
      <c r="X56">
        <v>1.1000000000000001</v>
      </c>
      <c r="Y56">
        <v>0</v>
      </c>
    </row>
    <row r="57" spans="1:26" ht="12.75" x14ac:dyDescent="0.2">
      <c r="A57" s="4">
        <v>56</v>
      </c>
      <c r="B57" s="4" t="s">
        <v>635</v>
      </c>
      <c r="C57" s="4" t="s">
        <v>626</v>
      </c>
      <c r="D57" s="4">
        <v>34</v>
      </c>
      <c r="E57" s="4">
        <v>49</v>
      </c>
      <c r="F57" s="4">
        <v>17</v>
      </c>
      <c r="G57" s="4" t="s">
        <v>673</v>
      </c>
      <c r="H57" s="4">
        <v>7.7</v>
      </c>
      <c r="I57" s="4">
        <v>102</v>
      </c>
      <c r="J57" s="4">
        <v>57</v>
      </c>
      <c r="K57" s="4">
        <v>6228</v>
      </c>
      <c r="L57" s="4">
        <v>559</v>
      </c>
      <c r="M57" s="4">
        <v>5.3</v>
      </c>
      <c r="N57" s="4">
        <v>150</v>
      </c>
      <c r="O57" s="4">
        <v>7</v>
      </c>
      <c r="P57" s="4">
        <v>1</v>
      </c>
      <c r="Q57" s="4">
        <v>35.9</v>
      </c>
      <c r="R57" s="4">
        <v>0.4</v>
      </c>
      <c r="S57" s="4">
        <v>86.7</v>
      </c>
      <c r="T57" s="18">
        <v>13</v>
      </c>
      <c r="U57" s="18">
        <v>0</v>
      </c>
      <c r="V57" s="18">
        <v>0.1</v>
      </c>
      <c r="W57" s="18">
        <v>31.1</v>
      </c>
      <c r="X57">
        <v>4.7</v>
      </c>
      <c r="Y57">
        <v>0</v>
      </c>
    </row>
    <row r="58" spans="1:26" ht="12.75" x14ac:dyDescent="0.2">
      <c r="A58" s="4">
        <v>57</v>
      </c>
      <c r="B58" s="4" t="s">
        <v>632</v>
      </c>
      <c r="C58" s="4" t="s">
        <v>627</v>
      </c>
      <c r="D58" s="4">
        <v>42</v>
      </c>
      <c r="E58" s="4">
        <v>41</v>
      </c>
      <c r="F58" s="4">
        <v>17</v>
      </c>
      <c r="G58" s="4" t="s">
        <v>673</v>
      </c>
      <c r="H58" s="4">
        <v>7.5</v>
      </c>
      <c r="I58" s="4">
        <v>118</v>
      </c>
      <c r="J58" s="4">
        <v>61</v>
      </c>
      <c r="K58" s="4">
        <v>6083</v>
      </c>
      <c r="L58" s="4">
        <v>524</v>
      </c>
      <c r="M58" s="4">
        <v>4.9000000000000004</v>
      </c>
      <c r="N58" s="4">
        <v>142</v>
      </c>
      <c r="O58" s="4">
        <v>7.3</v>
      </c>
      <c r="P58" s="4">
        <v>1</v>
      </c>
      <c r="Q58" s="4">
        <v>34.9</v>
      </c>
      <c r="R58" s="4">
        <v>0.4</v>
      </c>
      <c r="S58" s="4">
        <v>87.1</v>
      </c>
      <c r="T58" s="18">
        <v>12.5</v>
      </c>
      <c r="U58" s="18">
        <v>0</v>
      </c>
      <c r="V58" s="18">
        <v>0.1</v>
      </c>
      <c r="W58" s="18">
        <v>30.4</v>
      </c>
      <c r="X58">
        <v>4.4000000000000004</v>
      </c>
      <c r="Y58">
        <v>0</v>
      </c>
    </row>
    <row r="59" spans="1:26" ht="12.75" x14ac:dyDescent="0.2">
      <c r="A59" s="4">
        <v>58</v>
      </c>
      <c r="B59" s="4" t="s">
        <v>625</v>
      </c>
      <c r="C59" s="4" t="s">
        <v>627</v>
      </c>
      <c r="D59" s="4">
        <v>40</v>
      </c>
      <c r="E59" s="4">
        <v>45</v>
      </c>
      <c r="F59" s="4">
        <v>15</v>
      </c>
      <c r="G59" s="4" t="s">
        <v>673</v>
      </c>
      <c r="H59" s="4">
        <v>7.6</v>
      </c>
      <c r="I59" s="4">
        <v>94</v>
      </c>
      <c r="J59" s="4">
        <v>47</v>
      </c>
      <c r="K59" s="4">
        <v>7115</v>
      </c>
      <c r="L59" s="4">
        <v>458</v>
      </c>
      <c r="M59" s="4">
        <v>4.4000000000000004</v>
      </c>
      <c r="N59" s="4">
        <v>132</v>
      </c>
      <c r="O59" s="4">
        <v>9.8000000000000007</v>
      </c>
      <c r="P59" s="4">
        <v>1</v>
      </c>
      <c r="Q59" s="4">
        <v>39.5</v>
      </c>
      <c r="R59" s="4">
        <v>0.3</v>
      </c>
      <c r="S59" s="4">
        <v>90.1</v>
      </c>
      <c r="T59" s="18">
        <v>9.6999999999999993</v>
      </c>
      <c r="U59" s="18">
        <v>0</v>
      </c>
      <c r="V59" s="18">
        <v>0.1</v>
      </c>
      <c r="W59" s="18">
        <v>35.6</v>
      </c>
      <c r="X59" s="4">
        <v>3.8</v>
      </c>
      <c r="Y59">
        <v>0</v>
      </c>
      <c r="Z59" t="s">
        <v>674</v>
      </c>
    </row>
    <row r="60" spans="1:26" ht="12.75" x14ac:dyDescent="0.2">
      <c r="A60" s="4">
        <v>59</v>
      </c>
      <c r="B60" s="4" t="s">
        <v>625</v>
      </c>
      <c r="C60" s="4" t="s">
        <v>626</v>
      </c>
      <c r="D60" s="4">
        <v>32</v>
      </c>
      <c r="E60" s="4">
        <v>53</v>
      </c>
      <c r="F60" s="4">
        <v>15</v>
      </c>
      <c r="G60" s="4" t="s">
        <v>675</v>
      </c>
      <c r="H60" s="4">
        <v>7.7</v>
      </c>
      <c r="I60" s="4">
        <v>85</v>
      </c>
      <c r="J60" s="4">
        <v>40</v>
      </c>
      <c r="K60" s="4">
        <v>6986</v>
      </c>
      <c r="L60" s="4">
        <v>380</v>
      </c>
      <c r="M60" s="4">
        <v>4</v>
      </c>
      <c r="N60" s="4">
        <v>124</v>
      </c>
      <c r="O60" s="4">
        <v>10.199999999999999</v>
      </c>
      <c r="P60" s="4">
        <v>1</v>
      </c>
      <c r="Q60" s="4">
        <v>38.200000000000003</v>
      </c>
      <c r="R60" s="4">
        <v>0.3</v>
      </c>
      <c r="S60" s="4">
        <v>91.4</v>
      </c>
      <c r="T60" s="18">
        <v>8.3000000000000007</v>
      </c>
      <c r="U60" s="18">
        <v>0</v>
      </c>
      <c r="V60" s="18">
        <v>0.1</v>
      </c>
      <c r="W60" s="18">
        <v>34.9</v>
      </c>
      <c r="X60">
        <v>3.2</v>
      </c>
      <c r="Y60">
        <v>0</v>
      </c>
    </row>
    <row r="61" spans="1:26" ht="12.75" x14ac:dyDescent="0.2">
      <c r="A61" s="4">
        <v>60</v>
      </c>
      <c r="B61" s="4" t="s">
        <v>633</v>
      </c>
      <c r="C61" s="4" t="s">
        <v>629</v>
      </c>
      <c r="D61" s="4">
        <v>38</v>
      </c>
      <c r="E61" s="4">
        <v>45</v>
      </c>
      <c r="F61" s="4">
        <v>17</v>
      </c>
      <c r="G61" s="4" t="s">
        <v>673</v>
      </c>
      <c r="H61" s="4">
        <v>7.8</v>
      </c>
      <c r="I61" s="4">
        <v>97</v>
      </c>
      <c r="J61" s="4">
        <v>53</v>
      </c>
      <c r="K61" s="4">
        <v>6810</v>
      </c>
      <c r="L61" s="4">
        <v>534</v>
      </c>
      <c r="M61" s="4">
        <v>6.1</v>
      </c>
      <c r="N61" s="4">
        <v>166</v>
      </c>
      <c r="O61" s="4">
        <v>7.7</v>
      </c>
      <c r="P61" s="4">
        <v>1</v>
      </c>
      <c r="Q61" s="4">
        <v>38.6</v>
      </c>
      <c r="R61" s="4">
        <v>0.4</v>
      </c>
      <c r="S61" s="4">
        <v>88.2</v>
      </c>
      <c r="T61" s="18">
        <v>11.5</v>
      </c>
      <c r="U61" s="18">
        <v>0</v>
      </c>
      <c r="V61" s="18">
        <v>0.1</v>
      </c>
      <c r="W61" s="18">
        <v>34.1</v>
      </c>
      <c r="X61">
        <v>4.5</v>
      </c>
      <c r="Y61">
        <v>0</v>
      </c>
    </row>
    <row r="62" spans="1:26" ht="12.75" x14ac:dyDescent="0.2">
      <c r="A62" s="4">
        <v>61</v>
      </c>
      <c r="B62" s="4" t="s">
        <v>636</v>
      </c>
      <c r="C62" s="4" t="s">
        <v>626</v>
      </c>
      <c r="D62" s="4">
        <v>48</v>
      </c>
      <c r="E62" s="4">
        <v>39</v>
      </c>
      <c r="F62" s="4">
        <v>13</v>
      </c>
      <c r="G62" s="4" t="s">
        <v>673</v>
      </c>
      <c r="H62" s="4">
        <v>7.7</v>
      </c>
      <c r="I62" s="4">
        <v>94</v>
      </c>
      <c r="J62" s="4">
        <v>58</v>
      </c>
      <c r="K62" s="4">
        <v>8084</v>
      </c>
      <c r="L62" s="4">
        <v>529</v>
      </c>
      <c r="M62" s="4">
        <v>5.8</v>
      </c>
      <c r="N62" s="4">
        <v>160</v>
      </c>
      <c r="O62" s="4">
        <v>9.1999999999999993</v>
      </c>
      <c r="P62" s="4">
        <v>1</v>
      </c>
      <c r="Q62" s="4">
        <v>45</v>
      </c>
      <c r="R62" s="4">
        <v>0.3</v>
      </c>
      <c r="S62" s="4">
        <v>89.8</v>
      </c>
      <c r="T62" s="18">
        <v>9.8000000000000007</v>
      </c>
      <c r="U62" s="18">
        <v>0</v>
      </c>
      <c r="V62" s="18">
        <v>0.1</v>
      </c>
      <c r="W62" s="18">
        <v>40.4</v>
      </c>
      <c r="X62" s="4">
        <v>4.4000000000000004</v>
      </c>
      <c r="Y62">
        <v>0</v>
      </c>
      <c r="Z62" t="s">
        <v>674</v>
      </c>
    </row>
    <row r="63" spans="1:26" ht="12.75" x14ac:dyDescent="0.2">
      <c r="A63" s="4">
        <v>62</v>
      </c>
      <c r="B63" s="4" t="s">
        <v>636</v>
      </c>
      <c r="C63" s="4" t="s">
        <v>628</v>
      </c>
      <c r="D63" s="4">
        <v>40</v>
      </c>
      <c r="E63" s="4">
        <v>45</v>
      </c>
      <c r="F63" s="4">
        <v>15</v>
      </c>
      <c r="G63" s="4" t="s">
        <v>673</v>
      </c>
      <c r="H63" s="4">
        <v>7.8</v>
      </c>
      <c r="I63" s="4">
        <v>115</v>
      </c>
      <c r="J63" s="4">
        <v>51</v>
      </c>
      <c r="K63" s="4">
        <v>6435</v>
      </c>
      <c r="L63" s="4">
        <v>456</v>
      </c>
      <c r="M63" s="4">
        <v>5.0999999999999996</v>
      </c>
      <c r="N63" s="4">
        <v>146</v>
      </c>
      <c r="O63" s="4">
        <v>10.6</v>
      </c>
      <c r="P63" s="4">
        <v>1</v>
      </c>
      <c r="Q63" s="4">
        <v>36.1</v>
      </c>
      <c r="R63" s="4">
        <v>0.4</v>
      </c>
      <c r="S63" s="4">
        <v>89.1</v>
      </c>
      <c r="T63" s="18">
        <v>10.5</v>
      </c>
      <c r="U63" s="18">
        <v>0</v>
      </c>
      <c r="V63" s="18">
        <v>0.1</v>
      </c>
      <c r="W63" s="18">
        <v>32.200000000000003</v>
      </c>
      <c r="X63">
        <v>3.8</v>
      </c>
      <c r="Y63">
        <v>0</v>
      </c>
    </row>
    <row r="64" spans="1:26" ht="12.75" x14ac:dyDescent="0.2">
      <c r="A64" s="4">
        <v>63</v>
      </c>
      <c r="B64" s="4" t="s">
        <v>636</v>
      </c>
      <c r="C64" s="4" t="s">
        <v>630</v>
      </c>
      <c r="D64" s="4">
        <v>44</v>
      </c>
      <c r="E64" s="4">
        <v>41</v>
      </c>
      <c r="F64" s="4">
        <v>15</v>
      </c>
      <c r="G64" s="4" t="s">
        <v>673</v>
      </c>
      <c r="H64" s="4">
        <v>7.8</v>
      </c>
      <c r="I64" s="4">
        <v>112</v>
      </c>
      <c r="J64" s="4">
        <v>54</v>
      </c>
      <c r="K64" s="4">
        <v>6092</v>
      </c>
      <c r="L64" s="4">
        <v>558</v>
      </c>
      <c r="M64" s="4">
        <v>4.5999999999999996</v>
      </c>
      <c r="N64" s="4">
        <v>136</v>
      </c>
      <c r="O64" s="4">
        <v>6.6</v>
      </c>
      <c r="P64" s="4">
        <v>1</v>
      </c>
      <c r="Q64" s="4">
        <v>35.200000000000003</v>
      </c>
      <c r="R64" s="4">
        <v>0.4</v>
      </c>
      <c r="S64" s="4">
        <v>86.5</v>
      </c>
      <c r="T64" s="18">
        <v>13.2</v>
      </c>
      <c r="U64" s="18">
        <v>0</v>
      </c>
      <c r="V64" s="18">
        <v>0.1</v>
      </c>
      <c r="W64" s="18">
        <v>30.5</v>
      </c>
      <c r="X64">
        <v>4.7</v>
      </c>
      <c r="Y64">
        <v>0</v>
      </c>
    </row>
    <row r="65" spans="1:26" ht="12.75" x14ac:dyDescent="0.2">
      <c r="A65" s="4">
        <v>64</v>
      </c>
      <c r="B65" s="4" t="s">
        <v>636</v>
      </c>
      <c r="C65" s="4" t="s">
        <v>629</v>
      </c>
      <c r="D65" s="4">
        <v>40</v>
      </c>
      <c r="E65" s="4">
        <v>45</v>
      </c>
      <c r="F65" s="4">
        <v>15</v>
      </c>
      <c r="G65" s="4" t="s">
        <v>673</v>
      </c>
      <c r="H65" s="4">
        <v>7.4</v>
      </c>
      <c r="I65" s="4">
        <v>108</v>
      </c>
      <c r="J65" s="4">
        <v>50</v>
      </c>
      <c r="K65" s="4">
        <v>6461</v>
      </c>
      <c r="L65" s="4">
        <v>557</v>
      </c>
      <c r="M65" s="4">
        <v>4.5999999999999996</v>
      </c>
      <c r="N65" s="4">
        <v>136</v>
      </c>
      <c r="O65" s="4">
        <v>8.1</v>
      </c>
      <c r="P65" s="4">
        <v>1</v>
      </c>
      <c r="Q65" s="4">
        <v>37.1</v>
      </c>
      <c r="R65" s="4">
        <v>0.3</v>
      </c>
      <c r="S65" s="4">
        <v>87.1</v>
      </c>
      <c r="T65" s="18">
        <v>12.5</v>
      </c>
      <c r="U65" s="18">
        <v>0</v>
      </c>
      <c r="V65" s="18">
        <v>0.1</v>
      </c>
      <c r="W65" s="18">
        <v>32.299999999999997</v>
      </c>
      <c r="X65">
        <v>4.5999999999999996</v>
      </c>
      <c r="Y65">
        <v>0</v>
      </c>
    </row>
    <row r="66" spans="1:26" ht="12.75" x14ac:dyDescent="0.2">
      <c r="A66" s="4">
        <v>65</v>
      </c>
      <c r="B66" s="4" t="s">
        <v>637</v>
      </c>
      <c r="C66" s="4" t="s">
        <v>629</v>
      </c>
      <c r="D66" s="4">
        <v>40</v>
      </c>
      <c r="E66" s="4">
        <v>43</v>
      </c>
      <c r="F66" s="4">
        <v>17</v>
      </c>
      <c r="G66" s="4" t="s">
        <v>673</v>
      </c>
      <c r="H66" s="4">
        <v>7.8</v>
      </c>
      <c r="I66" s="4">
        <v>118</v>
      </c>
      <c r="J66" s="4">
        <v>50</v>
      </c>
      <c r="K66" s="4">
        <v>6296</v>
      </c>
      <c r="L66" s="4">
        <v>520</v>
      </c>
      <c r="M66" s="4">
        <v>6.3</v>
      </c>
      <c r="N66" s="4">
        <v>170</v>
      </c>
      <c r="O66" s="4">
        <v>6.5</v>
      </c>
      <c r="P66" s="4">
        <v>1</v>
      </c>
      <c r="Q66" s="4">
        <v>35.9</v>
      </c>
      <c r="R66" s="4">
        <v>0.4</v>
      </c>
      <c r="S66" s="4">
        <v>87.7</v>
      </c>
      <c r="T66" s="18">
        <v>12.1</v>
      </c>
      <c r="U66" s="18">
        <v>0</v>
      </c>
      <c r="V66" s="18">
        <v>0.1</v>
      </c>
      <c r="W66" s="18">
        <v>31.5</v>
      </c>
      <c r="X66">
        <v>4.3</v>
      </c>
      <c r="Y66">
        <v>0</v>
      </c>
    </row>
    <row r="67" spans="1:26" ht="12.75" x14ac:dyDescent="0.2">
      <c r="A67" s="4">
        <v>66</v>
      </c>
      <c r="B67" s="4" t="s">
        <v>637</v>
      </c>
      <c r="C67" s="4" t="s">
        <v>628</v>
      </c>
      <c r="D67" s="4">
        <v>30</v>
      </c>
      <c r="E67" s="4">
        <v>51</v>
      </c>
      <c r="F67" s="4">
        <v>19</v>
      </c>
      <c r="G67" s="4" t="s">
        <v>675</v>
      </c>
      <c r="H67" s="4">
        <v>7.6</v>
      </c>
      <c r="I67" s="4">
        <v>127</v>
      </c>
      <c r="J67" s="4">
        <v>47</v>
      </c>
      <c r="K67" s="4">
        <v>5793</v>
      </c>
      <c r="L67" s="4">
        <v>503</v>
      </c>
      <c r="M67" s="4">
        <v>3.9</v>
      </c>
      <c r="N67" s="4">
        <v>122</v>
      </c>
      <c r="O67" s="4">
        <v>5.8</v>
      </c>
      <c r="P67" s="4">
        <v>1</v>
      </c>
      <c r="Q67" s="4">
        <v>33.299999999999997</v>
      </c>
      <c r="R67" s="4">
        <v>0.4</v>
      </c>
      <c r="S67" s="4">
        <v>87</v>
      </c>
      <c r="T67" s="18">
        <v>12.6</v>
      </c>
      <c r="U67" s="18">
        <v>0</v>
      </c>
      <c r="V67" s="18">
        <v>0.1</v>
      </c>
      <c r="W67" s="18">
        <v>29</v>
      </c>
      <c r="X67">
        <v>4.2</v>
      </c>
      <c r="Y67">
        <v>0</v>
      </c>
    </row>
    <row r="68" spans="1:26" ht="12.75" x14ac:dyDescent="0.2">
      <c r="A68" s="4">
        <v>67</v>
      </c>
      <c r="B68" s="4" t="s">
        <v>637</v>
      </c>
      <c r="C68" s="4" t="s">
        <v>627</v>
      </c>
      <c r="D68" s="4">
        <v>42</v>
      </c>
      <c r="E68" s="4">
        <v>41</v>
      </c>
      <c r="F68" s="4">
        <v>17</v>
      </c>
      <c r="G68" s="4" t="s">
        <v>673</v>
      </c>
      <c r="H68" s="4">
        <v>7.5</v>
      </c>
      <c r="I68" s="4">
        <v>109</v>
      </c>
      <c r="J68" s="4">
        <v>46</v>
      </c>
      <c r="K68" s="4">
        <v>6331</v>
      </c>
      <c r="L68" s="4">
        <v>560</v>
      </c>
      <c r="M68" s="4">
        <v>4.7</v>
      </c>
      <c r="N68" s="4">
        <v>138</v>
      </c>
      <c r="O68" s="4">
        <v>9.4</v>
      </c>
      <c r="P68" s="4">
        <v>1</v>
      </c>
      <c r="Q68" s="4">
        <v>36.4</v>
      </c>
      <c r="R68" s="4">
        <v>0.3</v>
      </c>
      <c r="S68" s="4">
        <v>87</v>
      </c>
      <c r="T68" s="18">
        <v>12.8</v>
      </c>
      <c r="U68" s="18">
        <v>0</v>
      </c>
      <c r="V68" s="18">
        <v>0.1</v>
      </c>
      <c r="W68" s="18">
        <v>31.7</v>
      </c>
      <c r="X68">
        <v>4.7</v>
      </c>
      <c r="Y68">
        <v>0</v>
      </c>
    </row>
    <row r="69" spans="1:26" ht="12.75" x14ac:dyDescent="0.2">
      <c r="A69" s="4">
        <v>68</v>
      </c>
      <c r="B69" s="4" t="s">
        <v>637</v>
      </c>
      <c r="C69" s="4" t="s">
        <v>626</v>
      </c>
      <c r="D69" s="4">
        <v>38</v>
      </c>
      <c r="E69" s="4">
        <v>43</v>
      </c>
      <c r="F69" s="4">
        <v>19</v>
      </c>
      <c r="G69" s="4" t="s">
        <v>673</v>
      </c>
      <c r="H69" s="4">
        <v>7.7</v>
      </c>
      <c r="I69" s="4">
        <v>95</v>
      </c>
      <c r="J69" s="4">
        <v>50</v>
      </c>
      <c r="K69" s="4">
        <v>6590</v>
      </c>
      <c r="L69" s="4">
        <v>556</v>
      </c>
      <c r="M69" s="4">
        <v>6.5</v>
      </c>
      <c r="N69" s="4">
        <v>174</v>
      </c>
      <c r="O69" s="4">
        <v>8.4</v>
      </c>
      <c r="P69" s="4">
        <v>1</v>
      </c>
      <c r="Q69" s="4">
        <v>37.700000000000003</v>
      </c>
      <c r="R69" s="4">
        <v>0.3</v>
      </c>
      <c r="S69" s="4">
        <v>87.4</v>
      </c>
      <c r="T69" s="18">
        <v>12.3</v>
      </c>
      <c r="U69" s="18">
        <v>0</v>
      </c>
      <c r="V69" s="18">
        <v>0.1</v>
      </c>
      <c r="W69" s="18">
        <v>33</v>
      </c>
      <c r="X69">
        <v>4.5999999999999996</v>
      </c>
      <c r="Y69">
        <v>0</v>
      </c>
    </row>
    <row r="70" spans="1:26" ht="12.75" x14ac:dyDescent="0.2">
      <c r="A70" s="4">
        <v>69</v>
      </c>
      <c r="B70" s="4" t="s">
        <v>631</v>
      </c>
      <c r="C70" s="4" t="s">
        <v>629</v>
      </c>
      <c r="D70" s="4">
        <v>42</v>
      </c>
      <c r="E70" s="4">
        <v>43</v>
      </c>
      <c r="F70" s="4">
        <v>15</v>
      </c>
      <c r="G70" s="4" t="s">
        <v>673</v>
      </c>
      <c r="H70" s="4">
        <v>7.6</v>
      </c>
      <c r="I70" s="4">
        <v>112</v>
      </c>
      <c r="J70" s="4">
        <v>83</v>
      </c>
      <c r="K70" s="4">
        <v>7323</v>
      </c>
      <c r="L70" s="4">
        <v>597</v>
      </c>
      <c r="M70" s="4">
        <v>5.8</v>
      </c>
      <c r="N70" s="4">
        <v>160</v>
      </c>
      <c r="O70" s="4">
        <v>9.6999999999999993</v>
      </c>
      <c r="P70" s="4">
        <v>1</v>
      </c>
      <c r="Q70" s="4">
        <v>41.8</v>
      </c>
      <c r="R70" s="4">
        <v>0.5</v>
      </c>
      <c r="S70" s="4">
        <v>87.6</v>
      </c>
      <c r="T70" s="18">
        <v>11.9</v>
      </c>
      <c r="U70" s="18">
        <v>0</v>
      </c>
      <c r="V70" s="18">
        <v>0.2</v>
      </c>
      <c r="W70" s="18">
        <v>36.6</v>
      </c>
      <c r="X70" s="4">
        <v>5</v>
      </c>
      <c r="Y70">
        <v>0</v>
      </c>
      <c r="Z70" t="s">
        <v>674</v>
      </c>
    </row>
    <row r="71" spans="1:26" ht="12.75" x14ac:dyDescent="0.2">
      <c r="A71" s="4">
        <v>70</v>
      </c>
      <c r="B71" s="4" t="s">
        <v>631</v>
      </c>
      <c r="C71" s="4" t="s">
        <v>628</v>
      </c>
      <c r="D71" s="4">
        <v>40</v>
      </c>
      <c r="E71" s="4">
        <v>45</v>
      </c>
      <c r="F71" s="4">
        <v>15</v>
      </c>
      <c r="G71" s="4" t="s">
        <v>673</v>
      </c>
      <c r="H71" s="4">
        <v>7.6</v>
      </c>
      <c r="I71" s="4">
        <v>122</v>
      </c>
      <c r="J71" s="4">
        <v>62</v>
      </c>
      <c r="K71" s="4">
        <v>7340</v>
      </c>
      <c r="L71" s="4">
        <v>536</v>
      </c>
      <c r="M71" s="4">
        <v>5</v>
      </c>
      <c r="N71" s="4">
        <v>144</v>
      </c>
      <c r="O71" s="4">
        <v>8.4</v>
      </c>
      <c r="P71" s="4">
        <v>1</v>
      </c>
      <c r="Q71" s="4">
        <v>41.3</v>
      </c>
      <c r="R71" s="4">
        <v>0.4</v>
      </c>
      <c r="S71" s="4">
        <v>88.9</v>
      </c>
      <c r="T71" s="18">
        <v>10.8</v>
      </c>
      <c r="U71" s="18">
        <v>0</v>
      </c>
      <c r="V71" s="18">
        <v>0.2</v>
      </c>
      <c r="W71" s="18">
        <v>36.700000000000003</v>
      </c>
      <c r="X71" s="4">
        <v>4.5</v>
      </c>
      <c r="Y71">
        <v>0</v>
      </c>
      <c r="Z71" t="s">
        <v>674</v>
      </c>
    </row>
    <row r="72" spans="1:26" ht="12.75" x14ac:dyDescent="0.2">
      <c r="A72" s="4">
        <v>71</v>
      </c>
      <c r="B72" s="4" t="s">
        <v>640</v>
      </c>
      <c r="C72" s="4" t="s">
        <v>628</v>
      </c>
      <c r="D72" s="4">
        <v>44</v>
      </c>
      <c r="E72" s="4">
        <v>39</v>
      </c>
      <c r="F72" s="4">
        <v>17</v>
      </c>
      <c r="G72" s="4" t="s">
        <v>673</v>
      </c>
      <c r="H72" s="4">
        <v>7.6</v>
      </c>
      <c r="I72" s="4">
        <v>123</v>
      </c>
      <c r="J72" s="4">
        <v>100</v>
      </c>
      <c r="K72" s="4">
        <v>6824</v>
      </c>
      <c r="L72" s="4">
        <v>528</v>
      </c>
      <c r="M72" s="4">
        <v>6.6</v>
      </c>
      <c r="N72" s="4">
        <v>176</v>
      </c>
      <c r="O72" s="4">
        <v>9.8000000000000007</v>
      </c>
      <c r="P72" s="4">
        <v>1.1000000000000001</v>
      </c>
      <c r="Q72" s="4">
        <v>38.799999999999997</v>
      </c>
      <c r="R72" s="4">
        <v>0.7</v>
      </c>
      <c r="S72" s="4">
        <v>87.9</v>
      </c>
      <c r="T72" s="18">
        <v>11.3</v>
      </c>
      <c r="U72" s="18">
        <v>0</v>
      </c>
      <c r="V72" s="18">
        <v>0.3</v>
      </c>
      <c r="W72" s="18">
        <v>34.1</v>
      </c>
      <c r="X72">
        <v>4.4000000000000004</v>
      </c>
      <c r="Y72">
        <v>0</v>
      </c>
    </row>
    <row r="73" spans="1:26" ht="12.75" x14ac:dyDescent="0.2">
      <c r="A73" s="4">
        <v>72</v>
      </c>
      <c r="B73" s="4" t="s">
        <v>640</v>
      </c>
      <c r="C73" s="4" t="s">
        <v>626</v>
      </c>
      <c r="D73" s="4">
        <v>38</v>
      </c>
      <c r="E73" s="4">
        <v>43</v>
      </c>
      <c r="F73" s="4">
        <v>19</v>
      </c>
      <c r="G73" s="4" t="s">
        <v>673</v>
      </c>
      <c r="H73" s="4">
        <v>7.7</v>
      </c>
      <c r="I73" s="4">
        <v>113</v>
      </c>
      <c r="J73" s="4">
        <v>100</v>
      </c>
      <c r="K73" s="4">
        <v>6436</v>
      </c>
      <c r="L73" s="4">
        <v>614</v>
      </c>
      <c r="M73" s="4">
        <v>5.3</v>
      </c>
      <c r="N73" s="4">
        <v>150</v>
      </c>
      <c r="O73" s="4">
        <v>13</v>
      </c>
      <c r="P73" s="4">
        <v>1</v>
      </c>
      <c r="Q73" s="4">
        <v>37.6</v>
      </c>
      <c r="R73" s="4">
        <v>0.7</v>
      </c>
      <c r="S73" s="4">
        <v>85.6</v>
      </c>
      <c r="T73" s="18">
        <v>13.6</v>
      </c>
      <c r="U73" s="18">
        <v>0</v>
      </c>
      <c r="V73" s="18">
        <v>0.3</v>
      </c>
      <c r="W73" s="18">
        <v>32.200000000000003</v>
      </c>
      <c r="X73">
        <v>5.0999999999999996</v>
      </c>
      <c r="Y73">
        <v>0</v>
      </c>
    </row>
    <row r="74" spans="1:26" ht="12.75" x14ac:dyDescent="0.2">
      <c r="A74" s="4">
        <v>73</v>
      </c>
      <c r="B74" s="4" t="s">
        <v>633</v>
      </c>
      <c r="C74" s="4" t="s">
        <v>628</v>
      </c>
      <c r="D74" s="4">
        <v>43</v>
      </c>
      <c r="E74" s="4">
        <v>40</v>
      </c>
      <c r="F74" s="4">
        <v>17</v>
      </c>
      <c r="G74" s="4" t="s">
        <v>673</v>
      </c>
      <c r="H74" s="4">
        <v>7.8</v>
      </c>
      <c r="I74" s="4">
        <v>103</v>
      </c>
      <c r="J74" s="4">
        <v>60</v>
      </c>
      <c r="K74" s="4">
        <v>5904</v>
      </c>
      <c r="L74" s="4">
        <v>520</v>
      </c>
      <c r="M74" s="4">
        <v>5.9</v>
      </c>
      <c r="N74" s="4">
        <v>162</v>
      </c>
      <c r="O74" s="4">
        <v>8.1</v>
      </c>
      <c r="P74" s="4">
        <v>1</v>
      </c>
      <c r="Q74" s="4">
        <v>34</v>
      </c>
      <c r="R74" s="4">
        <v>0.5</v>
      </c>
      <c r="S74" s="4">
        <v>86.8</v>
      </c>
      <c r="T74" s="18">
        <v>12.7</v>
      </c>
      <c r="U74" s="18">
        <v>0</v>
      </c>
      <c r="V74" s="18">
        <v>0.2</v>
      </c>
      <c r="W74" s="18">
        <v>29.5</v>
      </c>
      <c r="X74">
        <v>4.3</v>
      </c>
      <c r="Y74">
        <v>0</v>
      </c>
    </row>
    <row r="75" spans="1:26" ht="12.75" x14ac:dyDescent="0.2">
      <c r="A75" s="4">
        <v>74</v>
      </c>
      <c r="B75" s="4" t="s">
        <v>632</v>
      </c>
      <c r="C75" s="4" t="s">
        <v>629</v>
      </c>
      <c r="D75" s="4">
        <v>37</v>
      </c>
      <c r="E75" s="4">
        <v>44</v>
      </c>
      <c r="F75" s="4">
        <v>19</v>
      </c>
      <c r="G75" s="4" t="s">
        <v>673</v>
      </c>
      <c r="H75" s="4">
        <v>7.8</v>
      </c>
      <c r="I75" s="4">
        <v>114</v>
      </c>
      <c r="J75" s="4">
        <v>78</v>
      </c>
      <c r="K75" s="4">
        <v>6195</v>
      </c>
      <c r="L75" s="4">
        <v>582</v>
      </c>
      <c r="M75" s="4">
        <v>5.7</v>
      </c>
      <c r="N75" s="4">
        <v>158</v>
      </c>
      <c r="O75" s="4">
        <v>7.3</v>
      </c>
      <c r="P75" s="4">
        <v>2.1</v>
      </c>
      <c r="Q75" s="4">
        <v>36</v>
      </c>
      <c r="R75" s="4">
        <v>0.6</v>
      </c>
      <c r="S75" s="4">
        <v>86</v>
      </c>
      <c r="T75" s="18">
        <v>13.5</v>
      </c>
      <c r="U75" s="18">
        <v>0</v>
      </c>
      <c r="V75" s="18">
        <v>0.2</v>
      </c>
      <c r="W75" s="18">
        <v>31</v>
      </c>
      <c r="X75">
        <v>4.9000000000000004</v>
      </c>
      <c r="Y75">
        <v>0</v>
      </c>
    </row>
    <row r="76" spans="1:26" ht="12.75" x14ac:dyDescent="0.2">
      <c r="A76" s="4">
        <v>75</v>
      </c>
      <c r="B76" s="4" t="s">
        <v>625</v>
      </c>
      <c r="C76" s="4" t="s">
        <v>628</v>
      </c>
      <c r="D76" s="4">
        <v>33</v>
      </c>
      <c r="E76" s="4">
        <v>46</v>
      </c>
      <c r="F76" s="4">
        <v>21</v>
      </c>
      <c r="G76" s="4" t="s">
        <v>673</v>
      </c>
      <c r="H76" s="4">
        <v>7.6</v>
      </c>
      <c r="I76" s="4">
        <v>130</v>
      </c>
      <c r="J76" s="4">
        <v>68</v>
      </c>
      <c r="K76" s="4">
        <v>5960</v>
      </c>
      <c r="L76" s="4">
        <v>513</v>
      </c>
      <c r="M76" s="4">
        <v>5</v>
      </c>
      <c r="N76" s="4">
        <v>144</v>
      </c>
      <c r="O76" s="4">
        <v>10.199999999999999</v>
      </c>
      <c r="P76" s="4">
        <v>1.9</v>
      </c>
      <c r="Q76" s="4">
        <v>34.200000000000003</v>
      </c>
      <c r="R76" s="4">
        <v>0.5</v>
      </c>
      <c r="S76" s="4">
        <v>87.1</v>
      </c>
      <c r="T76" s="18">
        <v>12.5</v>
      </c>
      <c r="U76" s="18">
        <v>0</v>
      </c>
      <c r="V76" s="18">
        <v>0.2</v>
      </c>
      <c r="W76" s="18">
        <v>29.8</v>
      </c>
      <c r="X76">
        <v>4.3</v>
      </c>
      <c r="Y76">
        <v>0</v>
      </c>
    </row>
    <row r="77" spans="1:26" ht="12.75" x14ac:dyDescent="0.2">
      <c r="A77" s="4">
        <v>76</v>
      </c>
      <c r="B77" s="4" t="s">
        <v>625</v>
      </c>
      <c r="C77" s="4" t="s">
        <v>630</v>
      </c>
      <c r="D77" s="4">
        <v>33</v>
      </c>
      <c r="E77" s="4">
        <v>48</v>
      </c>
      <c r="F77" s="4">
        <v>19</v>
      </c>
      <c r="G77" s="4" t="s">
        <v>673</v>
      </c>
      <c r="H77" s="4">
        <v>7.8</v>
      </c>
      <c r="I77" s="4">
        <v>109</v>
      </c>
      <c r="J77" s="4">
        <v>56</v>
      </c>
      <c r="K77" s="4">
        <v>6114</v>
      </c>
      <c r="L77" s="4">
        <v>518</v>
      </c>
      <c r="M77" s="4">
        <v>5.6</v>
      </c>
      <c r="N77" s="4">
        <v>156</v>
      </c>
      <c r="O77" s="4">
        <v>11.8</v>
      </c>
      <c r="P77" s="4">
        <v>1</v>
      </c>
      <c r="Q77" s="4">
        <v>35</v>
      </c>
      <c r="R77" s="4">
        <v>0.4</v>
      </c>
      <c r="S77" s="4">
        <v>87.3</v>
      </c>
      <c r="T77" s="18">
        <v>12.3</v>
      </c>
      <c r="U77" s="18">
        <v>0</v>
      </c>
      <c r="V77" s="18">
        <v>0.1</v>
      </c>
      <c r="W77" s="18">
        <v>30.6</v>
      </c>
      <c r="X77">
        <v>4.3</v>
      </c>
      <c r="Y77">
        <v>0</v>
      </c>
    </row>
    <row r="78" spans="1:26" ht="12.75" x14ac:dyDescent="0.2">
      <c r="A78" s="4">
        <v>77</v>
      </c>
      <c r="B78" s="4" t="s">
        <v>625</v>
      </c>
      <c r="C78" s="4" t="s">
        <v>629</v>
      </c>
      <c r="D78" s="4">
        <v>39</v>
      </c>
      <c r="E78" s="4">
        <v>42</v>
      </c>
      <c r="F78" s="4">
        <v>19</v>
      </c>
      <c r="G78" s="4" t="s">
        <v>673</v>
      </c>
      <c r="H78" s="4">
        <v>7.7</v>
      </c>
      <c r="I78" s="4">
        <v>121</v>
      </c>
      <c r="J78" s="4">
        <v>60</v>
      </c>
      <c r="K78" s="4">
        <v>6077</v>
      </c>
      <c r="L78" s="4">
        <v>505</v>
      </c>
      <c r="M78" s="4">
        <v>4.7</v>
      </c>
      <c r="N78" s="4">
        <v>138</v>
      </c>
      <c r="O78" s="4">
        <v>7.5</v>
      </c>
      <c r="P78" s="4">
        <v>1.2</v>
      </c>
      <c r="Q78" s="4">
        <v>34.700000000000003</v>
      </c>
      <c r="R78" s="4">
        <v>0.4</v>
      </c>
      <c r="S78" s="4">
        <v>87.6</v>
      </c>
      <c r="T78" s="18">
        <v>12.1</v>
      </c>
      <c r="U78" s="18">
        <v>0</v>
      </c>
      <c r="V78" s="18">
        <v>0.2</v>
      </c>
      <c r="W78" s="18">
        <v>30.4</v>
      </c>
      <c r="X78">
        <v>4.2</v>
      </c>
      <c r="Y78">
        <v>0</v>
      </c>
    </row>
    <row r="79" spans="1:26" ht="12.75" x14ac:dyDescent="0.2">
      <c r="A79" s="4">
        <v>78</v>
      </c>
      <c r="B79" s="4" t="s">
        <v>631</v>
      </c>
      <c r="C79" s="4" t="s">
        <v>626</v>
      </c>
      <c r="D79" s="4">
        <v>37</v>
      </c>
      <c r="E79" s="4">
        <v>48</v>
      </c>
      <c r="F79" s="4">
        <v>15</v>
      </c>
      <c r="G79" s="4" t="s">
        <v>673</v>
      </c>
      <c r="H79" s="4">
        <v>7.8</v>
      </c>
      <c r="I79" s="4">
        <v>118</v>
      </c>
      <c r="J79" s="4">
        <v>53</v>
      </c>
      <c r="K79" s="4">
        <v>7652</v>
      </c>
      <c r="L79" s="4">
        <v>505</v>
      </c>
      <c r="M79" s="4">
        <v>5.0999999999999996</v>
      </c>
      <c r="N79" s="4">
        <v>146</v>
      </c>
      <c r="O79" s="4">
        <v>9.6999999999999993</v>
      </c>
      <c r="P79" s="4">
        <v>1</v>
      </c>
      <c r="Q79" s="4">
        <v>42.6</v>
      </c>
      <c r="R79" s="4">
        <v>0.3</v>
      </c>
      <c r="S79" s="4">
        <v>89.8</v>
      </c>
      <c r="T79" s="18">
        <v>9.9</v>
      </c>
      <c r="U79" s="18">
        <v>0</v>
      </c>
      <c r="V79" s="18">
        <v>0.1</v>
      </c>
      <c r="W79" s="18">
        <v>38.299999999999997</v>
      </c>
      <c r="X79" s="4">
        <v>4.2</v>
      </c>
      <c r="Y79">
        <v>0</v>
      </c>
      <c r="Z79" t="s">
        <v>674</v>
      </c>
    </row>
    <row r="80" spans="1:26" ht="12.75" x14ac:dyDescent="0.2">
      <c r="A80" s="4">
        <v>79</v>
      </c>
      <c r="B80" s="4" t="s">
        <v>631</v>
      </c>
      <c r="C80" s="4" t="s">
        <v>627</v>
      </c>
      <c r="D80" s="4">
        <v>41</v>
      </c>
      <c r="E80" s="4">
        <v>42</v>
      </c>
      <c r="F80" s="4">
        <v>17</v>
      </c>
      <c r="G80" s="4" t="s">
        <v>673</v>
      </c>
      <c r="H80" s="4">
        <v>7.7</v>
      </c>
      <c r="I80" s="4">
        <v>101</v>
      </c>
      <c r="J80" s="4">
        <v>76</v>
      </c>
      <c r="K80" s="4">
        <v>7797</v>
      </c>
      <c r="L80" s="4">
        <v>471</v>
      </c>
      <c r="M80" s="4">
        <v>5.0999999999999996</v>
      </c>
      <c r="N80" s="4">
        <v>146</v>
      </c>
      <c r="O80" s="4">
        <v>23.1</v>
      </c>
      <c r="P80" s="4">
        <v>1</v>
      </c>
      <c r="Q80" s="4">
        <v>43.1</v>
      </c>
      <c r="R80" s="4">
        <v>0.5</v>
      </c>
      <c r="S80" s="4">
        <v>90.5</v>
      </c>
      <c r="T80" s="18">
        <v>9.1</v>
      </c>
      <c r="U80" s="18">
        <v>0</v>
      </c>
      <c r="V80" s="18">
        <v>0.2</v>
      </c>
      <c r="W80" s="18">
        <v>39</v>
      </c>
      <c r="X80" s="4">
        <v>3.9</v>
      </c>
      <c r="Y80">
        <v>0</v>
      </c>
      <c r="Z80" t="s">
        <v>674</v>
      </c>
    </row>
    <row r="81" spans="1:25" ht="12.75" x14ac:dyDescent="0.2">
      <c r="A81" s="4">
        <v>80</v>
      </c>
      <c r="B81" s="4" t="s">
        <v>637</v>
      </c>
      <c r="C81" s="4" t="s">
        <v>630</v>
      </c>
      <c r="D81" s="4">
        <v>39</v>
      </c>
      <c r="E81" s="4">
        <v>44</v>
      </c>
      <c r="F81" s="4">
        <v>17</v>
      </c>
      <c r="G81" s="4" t="s">
        <v>673</v>
      </c>
      <c r="H81" s="4">
        <v>7.7</v>
      </c>
      <c r="I81" s="4">
        <v>121</v>
      </c>
      <c r="J81" s="4">
        <v>57</v>
      </c>
      <c r="K81" s="4">
        <v>6301</v>
      </c>
      <c r="L81" s="4">
        <v>558</v>
      </c>
      <c r="M81" s="4">
        <v>5.0999999999999996</v>
      </c>
      <c r="N81" s="4">
        <v>146</v>
      </c>
      <c r="O81" s="4">
        <v>6.3</v>
      </c>
      <c r="P81" s="4">
        <v>1</v>
      </c>
      <c r="Q81" s="4">
        <v>36.299999999999997</v>
      </c>
      <c r="R81" s="4">
        <v>0.4</v>
      </c>
      <c r="S81" s="4">
        <v>86.8</v>
      </c>
      <c r="T81" s="18">
        <v>12.8</v>
      </c>
      <c r="U81" s="18">
        <v>0</v>
      </c>
      <c r="V81" s="18">
        <v>0.1</v>
      </c>
      <c r="W81" s="18">
        <v>31.5</v>
      </c>
      <c r="X81">
        <v>4.7</v>
      </c>
      <c r="Y81">
        <v>0</v>
      </c>
    </row>
    <row r="82" spans="1:25" ht="12.75" x14ac:dyDescent="0.2">
      <c r="A82" s="4">
        <v>81</v>
      </c>
      <c r="B82" s="4" t="s">
        <v>635</v>
      </c>
      <c r="C82" s="4" t="s">
        <v>629</v>
      </c>
      <c r="D82" s="4">
        <v>39</v>
      </c>
      <c r="E82" s="4">
        <v>42</v>
      </c>
      <c r="F82" s="4">
        <v>19</v>
      </c>
      <c r="G82" s="4" t="s">
        <v>673</v>
      </c>
      <c r="H82" s="4">
        <v>7.9</v>
      </c>
      <c r="I82" s="4">
        <v>112</v>
      </c>
      <c r="J82" s="4">
        <v>49</v>
      </c>
      <c r="K82" s="4">
        <v>6004</v>
      </c>
      <c r="L82" s="4">
        <v>525</v>
      </c>
      <c r="M82" s="4">
        <v>6.3</v>
      </c>
      <c r="N82" s="4">
        <v>170</v>
      </c>
      <c r="O82" s="4">
        <v>6.4</v>
      </c>
      <c r="P82" s="4">
        <v>1</v>
      </c>
      <c r="Q82" s="4">
        <v>34.5</v>
      </c>
      <c r="R82" s="4">
        <v>0.4</v>
      </c>
      <c r="S82" s="4">
        <v>87</v>
      </c>
      <c r="T82" s="18">
        <v>12.7</v>
      </c>
      <c r="U82" s="18">
        <v>0</v>
      </c>
      <c r="V82" s="18">
        <v>0.1</v>
      </c>
      <c r="W82" s="18">
        <v>30</v>
      </c>
      <c r="X82">
        <v>4.4000000000000004</v>
      </c>
      <c r="Y82">
        <v>0</v>
      </c>
    </row>
    <row r="83" spans="1:25" ht="12.75" x14ac:dyDescent="0.2">
      <c r="A83" s="4">
        <v>82</v>
      </c>
      <c r="B83" s="4" t="s">
        <v>635</v>
      </c>
      <c r="C83" s="4" t="s">
        <v>628</v>
      </c>
      <c r="D83" s="4">
        <v>39</v>
      </c>
      <c r="E83" s="4">
        <v>40</v>
      </c>
      <c r="F83" s="4">
        <v>21</v>
      </c>
      <c r="G83" s="4" t="s">
        <v>673</v>
      </c>
      <c r="H83" s="4">
        <v>7.6</v>
      </c>
      <c r="I83" s="4">
        <v>115</v>
      </c>
      <c r="J83" s="4">
        <v>53</v>
      </c>
      <c r="K83" s="4">
        <v>5867</v>
      </c>
      <c r="L83" s="4">
        <v>543</v>
      </c>
      <c r="M83" s="4">
        <v>5.6</v>
      </c>
      <c r="N83" s="4">
        <v>156</v>
      </c>
      <c r="O83" s="4">
        <v>6.7</v>
      </c>
      <c r="P83" s="4">
        <v>1</v>
      </c>
      <c r="Q83" s="4">
        <v>34</v>
      </c>
      <c r="R83" s="4">
        <v>0.4</v>
      </c>
      <c r="S83" s="4">
        <v>86.3</v>
      </c>
      <c r="T83" s="18">
        <v>13.3</v>
      </c>
      <c r="U83" s="18">
        <v>0</v>
      </c>
      <c r="V83" s="18">
        <v>0.1</v>
      </c>
      <c r="W83" s="18">
        <v>29.3</v>
      </c>
      <c r="X83">
        <v>4.5</v>
      </c>
      <c r="Y83">
        <v>0</v>
      </c>
    </row>
    <row r="84" spans="1:25" ht="12.75" x14ac:dyDescent="0.2">
      <c r="A84" s="4">
        <v>83</v>
      </c>
      <c r="B84" s="4" t="s">
        <v>634</v>
      </c>
      <c r="C84" s="4" t="s">
        <v>630</v>
      </c>
      <c r="D84" s="4">
        <v>43</v>
      </c>
      <c r="E84" s="4">
        <v>38</v>
      </c>
      <c r="F84" s="4">
        <v>19</v>
      </c>
      <c r="G84" s="4" t="s">
        <v>673</v>
      </c>
      <c r="H84" s="4">
        <v>7.8</v>
      </c>
      <c r="I84" s="4">
        <v>123</v>
      </c>
      <c r="J84" s="4">
        <v>50</v>
      </c>
      <c r="K84" s="4">
        <v>6008</v>
      </c>
      <c r="L84" s="4">
        <v>541</v>
      </c>
      <c r="M84" s="4">
        <v>5.5</v>
      </c>
      <c r="N84" s="4">
        <v>154</v>
      </c>
      <c r="O84" s="4">
        <v>4.5999999999999996</v>
      </c>
      <c r="P84" s="4">
        <v>1</v>
      </c>
      <c r="Q84" s="4">
        <v>34.700000000000003</v>
      </c>
      <c r="R84" s="4">
        <v>0.4</v>
      </c>
      <c r="S84" s="4">
        <v>86.6</v>
      </c>
      <c r="T84" s="18">
        <v>13</v>
      </c>
      <c r="U84" s="18">
        <v>0</v>
      </c>
      <c r="V84" s="18">
        <v>0.1</v>
      </c>
      <c r="W84" s="18">
        <v>30</v>
      </c>
      <c r="X84">
        <v>4.5</v>
      </c>
      <c r="Y84">
        <v>0</v>
      </c>
    </row>
    <row r="85" spans="1:25" ht="12.75" x14ac:dyDescent="0.2">
      <c r="A85" s="4">
        <v>84</v>
      </c>
      <c r="B85" s="4" t="s">
        <v>635</v>
      </c>
      <c r="C85" s="4" t="s">
        <v>627</v>
      </c>
      <c r="D85" s="4">
        <v>39</v>
      </c>
      <c r="E85" s="4">
        <v>44</v>
      </c>
      <c r="F85" s="4">
        <v>17</v>
      </c>
      <c r="G85" s="4" t="s">
        <v>673</v>
      </c>
      <c r="H85" s="4">
        <v>7.5</v>
      </c>
      <c r="I85" s="4">
        <v>129</v>
      </c>
      <c r="J85" s="4">
        <v>66</v>
      </c>
      <c r="K85" s="4">
        <v>6146</v>
      </c>
      <c r="L85" s="4">
        <v>594</v>
      </c>
      <c r="M85" s="4">
        <v>5.3</v>
      </c>
      <c r="N85" s="4">
        <v>150</v>
      </c>
      <c r="O85" s="4">
        <v>6.7</v>
      </c>
      <c r="P85" s="4">
        <v>1.2</v>
      </c>
      <c r="Q85" s="4">
        <v>35.799999999999997</v>
      </c>
      <c r="R85" s="4">
        <v>0.5</v>
      </c>
      <c r="S85" s="4">
        <v>85.8</v>
      </c>
      <c r="T85" s="18">
        <v>13.8</v>
      </c>
      <c r="U85" s="18">
        <v>0</v>
      </c>
      <c r="V85" s="18">
        <v>0.2</v>
      </c>
      <c r="W85" s="18">
        <v>30.7</v>
      </c>
      <c r="X85">
        <v>5</v>
      </c>
      <c r="Y85">
        <v>0</v>
      </c>
    </row>
    <row r="86" spans="1:25" ht="12.75" x14ac:dyDescent="0.2">
      <c r="A86" s="4">
        <v>85</v>
      </c>
      <c r="B86" s="4" t="s">
        <v>636</v>
      </c>
      <c r="C86" s="4" t="s">
        <v>627</v>
      </c>
      <c r="D86" s="4">
        <v>41</v>
      </c>
      <c r="E86" s="4">
        <v>44</v>
      </c>
      <c r="F86" s="4">
        <v>15</v>
      </c>
      <c r="G86" s="4" t="s">
        <v>673</v>
      </c>
      <c r="H86" s="4">
        <v>7.8</v>
      </c>
      <c r="I86" s="4">
        <v>108</v>
      </c>
      <c r="J86" s="4">
        <v>55</v>
      </c>
      <c r="K86" s="4">
        <v>6739</v>
      </c>
      <c r="L86" s="4">
        <v>521</v>
      </c>
      <c r="M86" s="4">
        <v>5.2</v>
      </c>
      <c r="N86" s="4">
        <v>148</v>
      </c>
      <c r="O86" s="4">
        <v>9.1</v>
      </c>
      <c r="P86" s="4">
        <v>1</v>
      </c>
      <c r="Q86" s="4">
        <v>38.200000000000003</v>
      </c>
      <c r="R86" s="4">
        <v>0.4</v>
      </c>
      <c r="S86" s="4">
        <v>88.2</v>
      </c>
      <c r="T86" s="18">
        <v>11.4</v>
      </c>
      <c r="U86" s="18">
        <v>0</v>
      </c>
      <c r="V86" s="18">
        <v>0.1</v>
      </c>
      <c r="W86" s="18">
        <v>33.700000000000003</v>
      </c>
      <c r="X86">
        <v>4.3</v>
      </c>
      <c r="Y86">
        <v>0</v>
      </c>
    </row>
    <row r="87" spans="1:25" ht="12.75" x14ac:dyDescent="0.2">
      <c r="A87" s="4">
        <v>86</v>
      </c>
      <c r="B87" s="4" t="s">
        <v>633</v>
      </c>
      <c r="C87" s="4" t="s">
        <v>627</v>
      </c>
      <c r="D87" s="4">
        <v>37</v>
      </c>
      <c r="E87" s="4">
        <v>46</v>
      </c>
      <c r="F87" s="4">
        <v>17</v>
      </c>
      <c r="G87" s="4" t="s">
        <v>673</v>
      </c>
      <c r="H87" s="4">
        <v>7.7</v>
      </c>
      <c r="I87" s="4">
        <v>103</v>
      </c>
      <c r="J87" s="4">
        <v>52</v>
      </c>
      <c r="K87" s="4">
        <v>6239</v>
      </c>
      <c r="L87" s="4">
        <v>485</v>
      </c>
      <c r="M87" s="4">
        <v>5.3</v>
      </c>
      <c r="N87" s="4">
        <v>150</v>
      </c>
      <c r="O87" s="4">
        <v>8.1</v>
      </c>
      <c r="P87" s="4">
        <v>1</v>
      </c>
      <c r="Q87" s="4">
        <v>35.4</v>
      </c>
      <c r="R87" s="4">
        <v>0.4</v>
      </c>
      <c r="S87" s="4">
        <v>88.1</v>
      </c>
      <c r="T87" s="18">
        <v>11.4</v>
      </c>
      <c r="U87" s="18">
        <v>0</v>
      </c>
      <c r="V87" s="18">
        <v>0.1</v>
      </c>
      <c r="W87" s="18">
        <v>31.2</v>
      </c>
      <c r="X87">
        <v>4</v>
      </c>
      <c r="Y87">
        <v>0</v>
      </c>
    </row>
    <row r="88" spans="1:25" ht="12.75" x14ac:dyDescent="0.2">
      <c r="A88" s="4">
        <v>87</v>
      </c>
      <c r="B88" s="4" t="s">
        <v>632</v>
      </c>
      <c r="C88" s="4" t="s">
        <v>630</v>
      </c>
      <c r="D88" s="4">
        <v>39</v>
      </c>
      <c r="E88" s="4">
        <v>44</v>
      </c>
      <c r="F88" s="4">
        <v>17</v>
      </c>
      <c r="G88" s="4" t="s">
        <v>673</v>
      </c>
      <c r="H88" s="4">
        <v>7.9</v>
      </c>
      <c r="I88" s="4">
        <v>119</v>
      </c>
      <c r="J88" s="4">
        <v>52</v>
      </c>
      <c r="K88" s="4">
        <v>6179</v>
      </c>
      <c r="L88" s="4">
        <v>527</v>
      </c>
      <c r="M88" s="4">
        <v>5.3</v>
      </c>
      <c r="N88" s="4">
        <v>150</v>
      </c>
      <c r="O88" s="4">
        <v>5.6</v>
      </c>
      <c r="P88" s="4">
        <v>1</v>
      </c>
      <c r="Q88" s="4">
        <v>35.4</v>
      </c>
      <c r="R88" s="4">
        <v>0.4</v>
      </c>
      <c r="S88" s="4">
        <v>87.3</v>
      </c>
      <c r="T88" s="18">
        <v>12.4</v>
      </c>
      <c r="U88" s="18">
        <v>0</v>
      </c>
      <c r="V88" s="18">
        <v>0.1</v>
      </c>
      <c r="W88" s="18">
        <v>30.9</v>
      </c>
      <c r="X88">
        <v>4.4000000000000004</v>
      </c>
      <c r="Y88">
        <v>0</v>
      </c>
    </row>
    <row r="89" spans="1:25" ht="12.75" x14ac:dyDescent="0.2">
      <c r="A89" s="4">
        <v>88</v>
      </c>
      <c r="B89" s="4" t="s">
        <v>638</v>
      </c>
      <c r="C89" s="4" t="s">
        <v>630</v>
      </c>
      <c r="D89" s="4">
        <v>41</v>
      </c>
      <c r="E89" s="4">
        <v>40</v>
      </c>
      <c r="F89" s="4">
        <v>19</v>
      </c>
      <c r="G89" s="4" t="s">
        <v>673</v>
      </c>
      <c r="H89" s="4">
        <v>7.5</v>
      </c>
      <c r="I89" s="4">
        <v>111</v>
      </c>
      <c r="J89" s="4">
        <v>57</v>
      </c>
      <c r="K89" s="4">
        <v>6420</v>
      </c>
      <c r="L89" s="4">
        <v>572</v>
      </c>
      <c r="M89" s="4">
        <v>5.6</v>
      </c>
      <c r="N89" s="4">
        <v>156</v>
      </c>
      <c r="O89" s="4">
        <v>10.7</v>
      </c>
      <c r="P89" s="4">
        <v>1</v>
      </c>
      <c r="Q89" s="4">
        <v>37</v>
      </c>
      <c r="R89" s="4">
        <v>0.4</v>
      </c>
      <c r="S89" s="4">
        <v>86.8</v>
      </c>
      <c r="T89" s="18">
        <v>12.9</v>
      </c>
      <c r="U89" s="18">
        <v>0</v>
      </c>
      <c r="V89" s="18">
        <v>0.1</v>
      </c>
      <c r="W89" s="18">
        <v>32.1</v>
      </c>
      <c r="X89">
        <v>4.8</v>
      </c>
      <c r="Y89">
        <v>0</v>
      </c>
    </row>
    <row r="90" spans="1:25" ht="12.75" x14ac:dyDescent="0.2">
      <c r="A90" s="4">
        <v>89</v>
      </c>
      <c r="B90" s="4" t="s">
        <v>634</v>
      </c>
      <c r="C90" s="4" t="s">
        <v>626</v>
      </c>
      <c r="D90" s="4">
        <v>43</v>
      </c>
      <c r="E90" s="4">
        <v>38</v>
      </c>
      <c r="F90" s="4">
        <v>19</v>
      </c>
      <c r="G90" s="4" t="s">
        <v>673</v>
      </c>
      <c r="H90" s="4">
        <v>7.8</v>
      </c>
      <c r="I90" s="4">
        <v>126</v>
      </c>
      <c r="J90" s="4">
        <v>56</v>
      </c>
      <c r="K90" s="4">
        <v>6232</v>
      </c>
      <c r="L90" s="4">
        <v>553</v>
      </c>
      <c r="M90" s="4">
        <v>5.2</v>
      </c>
      <c r="N90" s="4">
        <v>148</v>
      </c>
      <c r="O90" s="4">
        <v>6.6</v>
      </c>
      <c r="P90" s="4">
        <v>1</v>
      </c>
      <c r="Q90" s="4">
        <v>35.9</v>
      </c>
      <c r="R90" s="4">
        <v>0.4</v>
      </c>
      <c r="S90" s="4">
        <v>86.8</v>
      </c>
      <c r="T90" s="18">
        <v>12.8</v>
      </c>
      <c r="U90" s="18">
        <v>0</v>
      </c>
      <c r="V90" s="18">
        <v>0.1</v>
      </c>
      <c r="W90" s="18">
        <v>31.2</v>
      </c>
      <c r="X90">
        <v>4.5999999999999996</v>
      </c>
      <c r="Y90">
        <v>0</v>
      </c>
    </row>
    <row r="91" spans="1:25" ht="12.75" x14ac:dyDescent="0.2">
      <c r="A91" s="4">
        <v>90</v>
      </c>
      <c r="B91" s="4" t="s">
        <v>638</v>
      </c>
      <c r="C91" s="4" t="s">
        <v>629</v>
      </c>
      <c r="D91" s="4">
        <v>47</v>
      </c>
      <c r="E91" s="4">
        <v>38</v>
      </c>
      <c r="F91" s="4">
        <v>15</v>
      </c>
      <c r="G91" s="4" t="s">
        <v>673</v>
      </c>
      <c r="H91" s="4">
        <v>7.2</v>
      </c>
      <c r="I91" s="4">
        <v>94</v>
      </c>
      <c r="J91" s="4">
        <v>73</v>
      </c>
      <c r="K91" s="4">
        <v>6476</v>
      </c>
      <c r="L91" s="4">
        <v>578</v>
      </c>
      <c r="M91" s="4">
        <v>6.5</v>
      </c>
      <c r="N91" s="4">
        <v>174</v>
      </c>
      <c r="O91" s="4">
        <v>14.3</v>
      </c>
      <c r="P91" s="4">
        <v>1.2</v>
      </c>
      <c r="Q91" s="4">
        <v>37.5</v>
      </c>
      <c r="R91" s="4">
        <v>0.5</v>
      </c>
      <c r="S91" s="4">
        <v>86.3</v>
      </c>
      <c r="T91" s="18">
        <v>12.8</v>
      </c>
      <c r="U91" s="18">
        <v>0.3</v>
      </c>
      <c r="V91" s="18">
        <v>0.2</v>
      </c>
      <c r="W91" s="18">
        <v>32.4</v>
      </c>
      <c r="X91">
        <v>4.8</v>
      </c>
      <c r="Y91">
        <v>0.1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90"/>
  <sheetViews>
    <sheetView topLeftCell="A58" zoomScale="70" zoomScaleNormal="70" workbookViewId="0"/>
  </sheetViews>
  <sheetFormatPr defaultColWidth="12.7109375" defaultRowHeight="15.75" customHeight="1" x14ac:dyDescent="0.2"/>
  <cols>
    <col min="1" max="1" width="28.28515625" customWidth="1"/>
    <col min="2" max="2" width="27" customWidth="1"/>
  </cols>
  <sheetData>
    <row r="1" spans="1:7" x14ac:dyDescent="0.2">
      <c r="A1" s="4">
        <v>99116</v>
      </c>
      <c r="B1" s="4">
        <v>1</v>
      </c>
      <c r="C1" s="4">
        <v>43</v>
      </c>
      <c r="D1" s="4">
        <v>42</v>
      </c>
      <c r="E1" s="4">
        <v>15</v>
      </c>
      <c r="F1" s="4" t="s">
        <v>673</v>
      </c>
      <c r="G1" s="4"/>
    </row>
    <row r="2" spans="1:7" x14ac:dyDescent="0.2">
      <c r="A2" s="4">
        <v>99117</v>
      </c>
      <c r="B2" s="4">
        <v>2</v>
      </c>
      <c r="C2" s="4">
        <v>31</v>
      </c>
      <c r="D2" s="4">
        <v>48</v>
      </c>
      <c r="E2" s="4">
        <v>21</v>
      </c>
      <c r="F2" s="4" t="s">
        <v>673</v>
      </c>
      <c r="G2" s="4"/>
    </row>
    <row r="3" spans="1:7" x14ac:dyDescent="0.2">
      <c r="A3" s="4">
        <v>99118</v>
      </c>
      <c r="B3" s="4">
        <v>3</v>
      </c>
      <c r="C3" s="4">
        <v>45</v>
      </c>
      <c r="D3" s="4">
        <v>38</v>
      </c>
      <c r="E3" s="4">
        <v>17</v>
      </c>
      <c r="F3" s="4" t="s">
        <v>673</v>
      </c>
      <c r="G3" s="4"/>
    </row>
    <row r="4" spans="1:7" x14ac:dyDescent="0.2">
      <c r="A4" s="4">
        <v>99119</v>
      </c>
      <c r="B4" s="4">
        <v>4</v>
      </c>
      <c r="C4" s="4">
        <v>35</v>
      </c>
      <c r="D4" s="4">
        <v>48</v>
      </c>
      <c r="E4" s="4">
        <v>17</v>
      </c>
      <c r="F4" s="4" t="s">
        <v>673</v>
      </c>
      <c r="G4" s="4"/>
    </row>
    <row r="5" spans="1:7" x14ac:dyDescent="0.2">
      <c r="A5" s="4">
        <v>99120</v>
      </c>
      <c r="B5" s="4">
        <v>5</v>
      </c>
      <c r="C5" s="4">
        <v>49</v>
      </c>
      <c r="D5" s="4">
        <v>36</v>
      </c>
      <c r="E5" s="4">
        <v>15</v>
      </c>
      <c r="F5" s="4" t="s">
        <v>673</v>
      </c>
      <c r="G5" s="4"/>
    </row>
    <row r="6" spans="1:7" x14ac:dyDescent="0.2">
      <c r="A6" s="4">
        <v>99121</v>
      </c>
      <c r="B6" s="4">
        <v>6</v>
      </c>
      <c r="C6" s="4">
        <v>37</v>
      </c>
      <c r="D6" s="4">
        <v>44</v>
      </c>
      <c r="E6" s="4">
        <v>19</v>
      </c>
      <c r="F6" s="4" t="s">
        <v>673</v>
      </c>
      <c r="G6" s="4"/>
    </row>
    <row r="7" spans="1:7" x14ac:dyDescent="0.2">
      <c r="A7" s="4">
        <v>99122</v>
      </c>
      <c r="B7" s="4">
        <v>7</v>
      </c>
      <c r="C7" s="4">
        <v>47</v>
      </c>
      <c r="D7" s="4">
        <v>36</v>
      </c>
      <c r="E7" s="4">
        <v>17</v>
      </c>
      <c r="F7" s="4" t="s">
        <v>673</v>
      </c>
      <c r="G7" s="4"/>
    </row>
    <row r="8" spans="1:7" x14ac:dyDescent="0.2">
      <c r="A8" s="4">
        <v>99123</v>
      </c>
      <c r="B8" s="4">
        <v>8</v>
      </c>
      <c r="C8" s="4">
        <v>39</v>
      </c>
      <c r="D8" s="4">
        <v>40</v>
      </c>
      <c r="E8" s="4">
        <v>21</v>
      </c>
      <c r="F8" s="4" t="s">
        <v>673</v>
      </c>
      <c r="G8" s="4"/>
    </row>
    <row r="9" spans="1:7" x14ac:dyDescent="0.2">
      <c r="A9" s="4">
        <v>99124</v>
      </c>
      <c r="B9" s="4">
        <v>9</v>
      </c>
      <c r="C9" s="4">
        <v>45</v>
      </c>
      <c r="D9" s="4">
        <v>40</v>
      </c>
      <c r="E9" s="4">
        <v>15</v>
      </c>
      <c r="F9" s="4" t="s">
        <v>673</v>
      </c>
      <c r="G9" s="4"/>
    </row>
    <row r="10" spans="1:7" x14ac:dyDescent="0.2">
      <c r="A10" s="4">
        <v>99125</v>
      </c>
      <c r="B10" s="4">
        <v>10</v>
      </c>
      <c r="C10" s="4">
        <v>35</v>
      </c>
      <c r="D10" s="4">
        <v>50</v>
      </c>
      <c r="E10" s="4">
        <v>15</v>
      </c>
      <c r="F10" s="4" t="s">
        <v>675</v>
      </c>
      <c r="G10" s="4"/>
    </row>
    <row r="11" spans="1:7" x14ac:dyDescent="0.2">
      <c r="A11" s="4">
        <v>99126</v>
      </c>
      <c r="B11" s="4">
        <v>11</v>
      </c>
      <c r="C11" s="4">
        <v>45</v>
      </c>
      <c r="D11" s="4">
        <v>36</v>
      </c>
      <c r="E11" s="4">
        <v>19</v>
      </c>
      <c r="F11" s="4" t="s">
        <v>673</v>
      </c>
      <c r="G11" s="4"/>
    </row>
    <row r="12" spans="1:7" x14ac:dyDescent="0.2">
      <c r="A12" s="4">
        <v>99127</v>
      </c>
      <c r="B12" s="4">
        <v>12</v>
      </c>
      <c r="C12" s="4">
        <v>35</v>
      </c>
      <c r="D12" s="4">
        <v>42</v>
      </c>
      <c r="E12" s="4">
        <v>23</v>
      </c>
      <c r="F12" s="4" t="s">
        <v>673</v>
      </c>
      <c r="G12" s="4"/>
    </row>
    <row r="13" spans="1:7" x14ac:dyDescent="0.2">
      <c r="A13" s="4">
        <v>99128</v>
      </c>
      <c r="B13" s="4">
        <v>13</v>
      </c>
      <c r="C13" s="4">
        <v>45</v>
      </c>
      <c r="D13" s="4">
        <v>40</v>
      </c>
      <c r="E13" s="4">
        <v>15</v>
      </c>
      <c r="F13" s="4" t="s">
        <v>673</v>
      </c>
      <c r="G13" s="4"/>
    </row>
    <row r="14" spans="1:7" x14ac:dyDescent="0.2">
      <c r="A14" s="4">
        <v>99129</v>
      </c>
      <c r="B14" s="4">
        <v>14</v>
      </c>
      <c r="C14" s="4">
        <v>41</v>
      </c>
      <c r="D14" s="4">
        <v>42</v>
      </c>
      <c r="E14" s="4">
        <v>17</v>
      </c>
      <c r="F14" s="4" t="s">
        <v>673</v>
      </c>
      <c r="G14" s="4"/>
    </row>
    <row r="15" spans="1:7" x14ac:dyDescent="0.2">
      <c r="A15" s="4">
        <v>99130</v>
      </c>
      <c r="B15" s="4">
        <v>15</v>
      </c>
      <c r="C15" s="4">
        <v>55</v>
      </c>
      <c r="D15" s="4">
        <v>28</v>
      </c>
      <c r="E15" s="4">
        <v>17</v>
      </c>
      <c r="F15" s="4" t="s">
        <v>676</v>
      </c>
      <c r="G15" s="4"/>
    </row>
    <row r="16" spans="1:7" x14ac:dyDescent="0.2">
      <c r="A16" s="4">
        <v>99131</v>
      </c>
      <c r="B16" s="4">
        <v>16</v>
      </c>
      <c r="C16" s="4">
        <v>43</v>
      </c>
      <c r="D16" s="4">
        <v>38</v>
      </c>
      <c r="E16" s="4">
        <v>19</v>
      </c>
      <c r="F16" s="4" t="s">
        <v>673</v>
      </c>
      <c r="G16" s="4"/>
    </row>
    <row r="17" spans="1:7" x14ac:dyDescent="0.2">
      <c r="A17" s="4">
        <v>99132</v>
      </c>
      <c r="B17" s="4">
        <v>17</v>
      </c>
      <c r="C17" s="4">
        <v>45</v>
      </c>
      <c r="D17" s="4">
        <v>38</v>
      </c>
      <c r="E17" s="4">
        <v>17</v>
      </c>
      <c r="F17" s="4" t="s">
        <v>673</v>
      </c>
      <c r="G17" s="4"/>
    </row>
    <row r="18" spans="1:7" x14ac:dyDescent="0.2">
      <c r="A18" s="4">
        <v>99133</v>
      </c>
      <c r="B18" s="4">
        <v>18</v>
      </c>
      <c r="C18" s="4">
        <v>51</v>
      </c>
      <c r="D18" s="4">
        <v>30</v>
      </c>
      <c r="E18" s="4">
        <v>19</v>
      </c>
      <c r="F18" s="4" t="s">
        <v>673</v>
      </c>
      <c r="G18" s="4"/>
    </row>
    <row r="19" spans="1:7" x14ac:dyDescent="0.2">
      <c r="A19" s="4">
        <v>99134</v>
      </c>
      <c r="B19" s="4">
        <v>19</v>
      </c>
      <c r="C19" s="4">
        <v>47</v>
      </c>
      <c r="D19" s="4">
        <v>38</v>
      </c>
      <c r="E19" s="4">
        <v>15</v>
      </c>
      <c r="F19" s="4" t="s">
        <v>673</v>
      </c>
      <c r="G19" s="4"/>
    </row>
    <row r="20" spans="1:7" x14ac:dyDescent="0.2">
      <c r="A20" s="4">
        <v>99135</v>
      </c>
      <c r="B20" s="4">
        <v>20</v>
      </c>
      <c r="C20" s="4">
        <v>45</v>
      </c>
      <c r="D20" s="4">
        <v>38</v>
      </c>
      <c r="E20" s="4">
        <v>17</v>
      </c>
      <c r="F20" s="4" t="s">
        <v>673</v>
      </c>
      <c r="G20" s="4"/>
    </row>
    <row r="21" spans="1:7" x14ac:dyDescent="0.2">
      <c r="A21" s="4">
        <v>99136</v>
      </c>
      <c r="B21" s="4">
        <v>21</v>
      </c>
      <c r="C21" s="4">
        <v>45</v>
      </c>
      <c r="D21" s="4">
        <v>42</v>
      </c>
      <c r="E21" s="4">
        <v>13</v>
      </c>
      <c r="F21" s="4" t="s">
        <v>673</v>
      </c>
      <c r="G21" s="4"/>
    </row>
    <row r="22" spans="1:7" x14ac:dyDescent="0.2">
      <c r="A22" s="4">
        <v>99137</v>
      </c>
      <c r="B22" s="4">
        <v>22</v>
      </c>
      <c r="C22" s="4">
        <v>37</v>
      </c>
      <c r="D22" s="4">
        <v>44</v>
      </c>
      <c r="E22" s="4">
        <v>19</v>
      </c>
      <c r="F22" s="4" t="s">
        <v>673</v>
      </c>
      <c r="G22" s="4"/>
    </row>
    <row r="23" spans="1:7" x14ac:dyDescent="0.2">
      <c r="A23" s="4">
        <v>99138</v>
      </c>
      <c r="B23" s="4">
        <v>23</v>
      </c>
      <c r="C23" s="4">
        <v>51</v>
      </c>
      <c r="D23" s="4">
        <v>36</v>
      </c>
      <c r="E23" s="4">
        <v>13</v>
      </c>
      <c r="F23" s="4" t="s">
        <v>673</v>
      </c>
      <c r="G23" s="4"/>
    </row>
    <row r="24" spans="1:7" x14ac:dyDescent="0.2">
      <c r="A24" s="4">
        <v>99139</v>
      </c>
      <c r="B24" s="4">
        <v>24</v>
      </c>
      <c r="C24" s="4">
        <v>39</v>
      </c>
      <c r="D24" s="4">
        <v>44</v>
      </c>
      <c r="E24" s="4">
        <v>17</v>
      </c>
      <c r="F24" s="4" t="s">
        <v>673</v>
      </c>
      <c r="G24" s="4"/>
    </row>
    <row r="25" spans="1:7" x14ac:dyDescent="0.2">
      <c r="A25" s="4">
        <v>99140</v>
      </c>
      <c r="B25" s="4">
        <v>25</v>
      </c>
      <c r="C25" s="4">
        <v>42</v>
      </c>
      <c r="D25" s="4">
        <v>39</v>
      </c>
      <c r="E25" s="4">
        <v>19</v>
      </c>
      <c r="F25" s="4" t="s">
        <v>673</v>
      </c>
      <c r="G25" s="4"/>
    </row>
    <row r="26" spans="1:7" x14ac:dyDescent="0.2">
      <c r="A26" s="4">
        <v>99141</v>
      </c>
      <c r="B26" s="4">
        <v>26</v>
      </c>
      <c r="C26" s="4">
        <v>34</v>
      </c>
      <c r="D26" s="4">
        <v>53</v>
      </c>
      <c r="E26" s="4">
        <v>13</v>
      </c>
      <c r="F26" s="4" t="s">
        <v>675</v>
      </c>
      <c r="G26" s="4"/>
    </row>
    <row r="27" spans="1:7" x14ac:dyDescent="0.2">
      <c r="A27" s="4">
        <v>99142</v>
      </c>
      <c r="B27" s="4">
        <v>27</v>
      </c>
      <c r="C27" s="4">
        <v>42</v>
      </c>
      <c r="D27" s="4">
        <v>45</v>
      </c>
      <c r="E27" s="4">
        <v>13</v>
      </c>
      <c r="F27" s="4" t="s">
        <v>673</v>
      </c>
      <c r="G27" s="4"/>
    </row>
    <row r="28" spans="1:7" x14ac:dyDescent="0.2">
      <c r="A28" s="4">
        <v>99143</v>
      </c>
      <c r="B28" s="4">
        <v>28</v>
      </c>
      <c r="C28" s="4">
        <v>36</v>
      </c>
      <c r="D28" s="4">
        <v>49</v>
      </c>
      <c r="E28" s="4">
        <v>15</v>
      </c>
      <c r="F28" s="4" t="s">
        <v>673</v>
      </c>
      <c r="G28" s="4"/>
    </row>
    <row r="29" spans="1:7" x14ac:dyDescent="0.2">
      <c r="A29" s="4">
        <v>99144</v>
      </c>
      <c r="B29" s="4">
        <v>29</v>
      </c>
      <c r="C29" s="4">
        <v>40</v>
      </c>
      <c r="D29" s="4">
        <v>43</v>
      </c>
      <c r="E29" s="4">
        <v>17</v>
      </c>
      <c r="F29" s="4" t="s">
        <v>673</v>
      </c>
      <c r="G29" s="4"/>
    </row>
    <row r="30" spans="1:7" x14ac:dyDescent="0.2">
      <c r="A30" s="4">
        <v>99145</v>
      </c>
      <c r="B30" s="4">
        <v>30</v>
      </c>
      <c r="C30" s="4">
        <v>38</v>
      </c>
      <c r="D30" s="4">
        <v>45</v>
      </c>
      <c r="E30" s="4">
        <v>17</v>
      </c>
      <c r="F30" s="4" t="s">
        <v>673</v>
      </c>
      <c r="G30" s="4"/>
    </row>
    <row r="31" spans="1:7" x14ac:dyDescent="0.2">
      <c r="A31" s="4">
        <v>99146</v>
      </c>
      <c r="B31" s="4">
        <v>31</v>
      </c>
      <c r="C31" s="4">
        <v>40</v>
      </c>
      <c r="D31" s="4">
        <v>43</v>
      </c>
      <c r="E31" s="4">
        <v>17</v>
      </c>
      <c r="F31" s="4" t="s">
        <v>673</v>
      </c>
      <c r="G31" s="4"/>
    </row>
    <row r="32" spans="1:7" x14ac:dyDescent="0.2">
      <c r="A32" s="4">
        <v>99147</v>
      </c>
      <c r="B32" s="4">
        <v>32</v>
      </c>
      <c r="C32" s="4">
        <v>42</v>
      </c>
      <c r="D32" s="4">
        <v>39</v>
      </c>
      <c r="E32" s="4">
        <v>19</v>
      </c>
      <c r="F32" s="4" t="s">
        <v>673</v>
      </c>
      <c r="G32" s="4"/>
    </row>
    <row r="33" spans="1:7" x14ac:dyDescent="0.2">
      <c r="A33" s="4">
        <v>99148</v>
      </c>
      <c r="B33" s="4">
        <v>33</v>
      </c>
      <c r="C33" s="4">
        <v>50</v>
      </c>
      <c r="D33" s="4">
        <v>35</v>
      </c>
      <c r="E33" s="4">
        <v>15</v>
      </c>
      <c r="F33" s="4" t="s">
        <v>673</v>
      </c>
      <c r="G33" s="4"/>
    </row>
    <row r="34" spans="1:7" x14ac:dyDescent="0.2">
      <c r="A34" s="4">
        <v>99149</v>
      </c>
      <c r="B34" s="4">
        <v>34</v>
      </c>
      <c r="C34" s="4">
        <v>36</v>
      </c>
      <c r="D34" s="4">
        <v>43</v>
      </c>
      <c r="E34" s="4">
        <v>21</v>
      </c>
      <c r="F34" s="4" t="s">
        <v>673</v>
      </c>
      <c r="G34" s="4"/>
    </row>
    <row r="35" spans="1:7" x14ac:dyDescent="0.2">
      <c r="A35" s="4">
        <v>99150</v>
      </c>
      <c r="B35" s="4">
        <v>35</v>
      </c>
      <c r="C35" s="4">
        <v>48</v>
      </c>
      <c r="D35" s="4">
        <v>35</v>
      </c>
      <c r="E35" s="4">
        <v>17</v>
      </c>
      <c r="F35" s="4" t="s">
        <v>673</v>
      </c>
      <c r="G35" s="4"/>
    </row>
    <row r="36" spans="1:7" x14ac:dyDescent="0.2">
      <c r="A36" s="4">
        <v>99151</v>
      </c>
      <c r="B36" s="4">
        <v>36</v>
      </c>
      <c r="C36" s="4">
        <v>38</v>
      </c>
      <c r="D36" s="4">
        <v>43</v>
      </c>
      <c r="E36" s="4">
        <v>19</v>
      </c>
      <c r="F36" s="4" t="s">
        <v>673</v>
      </c>
      <c r="G36" s="4"/>
    </row>
    <row r="37" spans="1:7" x14ac:dyDescent="0.2">
      <c r="A37" s="4">
        <v>99152</v>
      </c>
      <c r="B37" s="4">
        <v>37</v>
      </c>
      <c r="C37" s="4">
        <v>54</v>
      </c>
      <c r="D37" s="4">
        <v>29</v>
      </c>
      <c r="E37" s="4">
        <v>17</v>
      </c>
      <c r="F37" s="4" t="s">
        <v>676</v>
      </c>
      <c r="G37" s="4"/>
    </row>
    <row r="38" spans="1:7" x14ac:dyDescent="0.2">
      <c r="A38" s="4">
        <v>99153</v>
      </c>
      <c r="B38" s="4">
        <v>38</v>
      </c>
      <c r="C38" s="4">
        <v>36</v>
      </c>
      <c r="D38" s="4">
        <v>47</v>
      </c>
      <c r="E38" s="4">
        <v>17</v>
      </c>
      <c r="F38" s="4" t="s">
        <v>673</v>
      </c>
      <c r="G38" s="4"/>
    </row>
    <row r="39" spans="1:7" x14ac:dyDescent="0.2">
      <c r="A39" s="4">
        <v>99154</v>
      </c>
      <c r="B39" s="4">
        <v>39</v>
      </c>
      <c r="C39" s="4">
        <v>48</v>
      </c>
      <c r="D39" s="4">
        <v>37</v>
      </c>
      <c r="E39" s="4">
        <v>15</v>
      </c>
      <c r="F39" s="4" t="s">
        <v>673</v>
      </c>
      <c r="G39" s="4"/>
    </row>
    <row r="40" spans="1:7" x14ac:dyDescent="0.2">
      <c r="A40" s="4">
        <v>99155</v>
      </c>
      <c r="B40" s="4">
        <v>40</v>
      </c>
      <c r="C40" s="4">
        <v>38</v>
      </c>
      <c r="D40" s="4">
        <v>47</v>
      </c>
      <c r="E40" s="4">
        <v>15</v>
      </c>
      <c r="F40" s="4" t="s">
        <v>673</v>
      </c>
      <c r="G40" s="4"/>
    </row>
    <row r="41" spans="1:7" x14ac:dyDescent="0.2">
      <c r="A41" s="4">
        <v>99156</v>
      </c>
      <c r="B41" s="4">
        <v>41</v>
      </c>
      <c r="C41" s="4">
        <v>44</v>
      </c>
      <c r="D41" s="4">
        <v>39</v>
      </c>
      <c r="E41" s="4">
        <v>17</v>
      </c>
      <c r="F41" s="4" t="s">
        <v>673</v>
      </c>
      <c r="G41" s="4"/>
    </row>
    <row r="42" spans="1:7" x14ac:dyDescent="0.2">
      <c r="A42" s="4">
        <v>99157</v>
      </c>
      <c r="B42" s="4">
        <v>42</v>
      </c>
      <c r="C42" s="4">
        <v>34</v>
      </c>
      <c r="D42" s="4">
        <v>45</v>
      </c>
      <c r="E42" s="4">
        <v>21</v>
      </c>
      <c r="F42" s="4" t="s">
        <v>673</v>
      </c>
      <c r="G42" s="4"/>
    </row>
    <row r="43" spans="1:7" x14ac:dyDescent="0.2">
      <c r="A43" s="4">
        <v>99158</v>
      </c>
      <c r="B43" s="4">
        <v>43</v>
      </c>
      <c r="C43" s="4">
        <v>36</v>
      </c>
      <c r="D43" s="4">
        <v>43</v>
      </c>
      <c r="E43" s="4">
        <v>21</v>
      </c>
      <c r="F43" s="4" t="s">
        <v>673</v>
      </c>
      <c r="G43" s="4"/>
    </row>
    <row r="44" spans="1:7" x14ac:dyDescent="0.2">
      <c r="A44" s="4">
        <v>99159</v>
      </c>
      <c r="B44" s="4">
        <v>44</v>
      </c>
      <c r="C44" s="4">
        <v>36</v>
      </c>
      <c r="D44" s="4">
        <v>45</v>
      </c>
      <c r="E44" s="4">
        <v>19</v>
      </c>
      <c r="F44" s="4" t="s">
        <v>673</v>
      </c>
      <c r="G44" s="4"/>
    </row>
    <row r="45" spans="1:7" x14ac:dyDescent="0.2">
      <c r="A45" s="4">
        <v>99160</v>
      </c>
      <c r="B45" s="4">
        <v>45</v>
      </c>
      <c r="C45" s="4">
        <v>40</v>
      </c>
      <c r="D45" s="4">
        <v>41</v>
      </c>
      <c r="E45" s="4">
        <v>19</v>
      </c>
      <c r="F45" s="4" t="s">
        <v>673</v>
      </c>
      <c r="G45" s="4"/>
    </row>
    <row r="46" spans="1:7" x14ac:dyDescent="0.2">
      <c r="A46" s="4">
        <v>99161</v>
      </c>
      <c r="B46" s="4">
        <v>46</v>
      </c>
      <c r="C46" s="4">
        <v>38</v>
      </c>
      <c r="D46" s="4">
        <v>43</v>
      </c>
      <c r="E46" s="4">
        <v>19</v>
      </c>
      <c r="F46" s="4" t="s">
        <v>673</v>
      </c>
      <c r="G46" s="4"/>
    </row>
    <row r="47" spans="1:7" x14ac:dyDescent="0.2">
      <c r="A47" s="4">
        <v>99162</v>
      </c>
      <c r="B47" s="4">
        <v>47</v>
      </c>
      <c r="C47" s="4">
        <v>44</v>
      </c>
      <c r="D47" s="4">
        <v>39</v>
      </c>
      <c r="E47" s="4">
        <v>17</v>
      </c>
      <c r="F47" s="4" t="s">
        <v>673</v>
      </c>
      <c r="G47" s="4"/>
    </row>
    <row r="48" spans="1:7" x14ac:dyDescent="0.2">
      <c r="A48" s="4">
        <v>99163</v>
      </c>
      <c r="B48" s="4">
        <v>48</v>
      </c>
      <c r="C48" s="4">
        <v>36</v>
      </c>
      <c r="D48" s="4">
        <v>43</v>
      </c>
      <c r="E48" s="4">
        <v>21</v>
      </c>
      <c r="F48" s="4" t="s">
        <v>673</v>
      </c>
      <c r="G48" s="4"/>
    </row>
    <row r="49" spans="1:7" x14ac:dyDescent="0.2">
      <c r="A49" s="4">
        <v>99164</v>
      </c>
      <c r="B49" s="4">
        <v>49</v>
      </c>
      <c r="C49" s="4">
        <v>42</v>
      </c>
      <c r="D49" s="4">
        <v>43</v>
      </c>
      <c r="E49" s="4">
        <v>15</v>
      </c>
      <c r="F49" s="4" t="s">
        <v>673</v>
      </c>
      <c r="G49" s="4"/>
    </row>
    <row r="50" spans="1:7" x14ac:dyDescent="0.2">
      <c r="A50" s="4">
        <v>99165</v>
      </c>
      <c r="B50" s="4">
        <v>50</v>
      </c>
      <c r="C50" s="4">
        <v>38</v>
      </c>
      <c r="D50" s="4">
        <v>45</v>
      </c>
      <c r="E50" s="4">
        <v>17</v>
      </c>
      <c r="F50" s="4" t="s">
        <v>673</v>
      </c>
      <c r="G50" s="4"/>
    </row>
    <row r="51" spans="1:7" x14ac:dyDescent="0.2">
      <c r="A51" s="4">
        <v>99166</v>
      </c>
      <c r="B51" s="4">
        <v>51</v>
      </c>
      <c r="C51" s="4">
        <v>40</v>
      </c>
      <c r="D51" s="4">
        <v>43</v>
      </c>
      <c r="E51" s="4">
        <v>17</v>
      </c>
      <c r="F51" s="4" t="s">
        <v>673</v>
      </c>
      <c r="G51" s="4"/>
    </row>
    <row r="52" spans="1:7" x14ac:dyDescent="0.2">
      <c r="A52" s="4">
        <v>99167</v>
      </c>
      <c r="B52" s="4">
        <v>52</v>
      </c>
      <c r="C52" s="4">
        <v>36</v>
      </c>
      <c r="D52" s="4">
        <v>47</v>
      </c>
      <c r="E52" s="4">
        <v>17</v>
      </c>
      <c r="F52" s="4" t="s">
        <v>673</v>
      </c>
      <c r="G52" s="4"/>
    </row>
    <row r="53" spans="1:7" x14ac:dyDescent="0.2">
      <c r="A53" s="4">
        <v>99168</v>
      </c>
      <c r="B53" s="4">
        <v>53</v>
      </c>
      <c r="C53" s="4">
        <v>42</v>
      </c>
      <c r="D53" s="4">
        <v>43</v>
      </c>
      <c r="E53" s="4">
        <v>15</v>
      </c>
      <c r="F53" s="4" t="s">
        <v>673</v>
      </c>
      <c r="G53" s="4"/>
    </row>
    <row r="54" spans="1:7" x14ac:dyDescent="0.2">
      <c r="A54" s="4">
        <v>99169</v>
      </c>
      <c r="B54" s="4">
        <v>54</v>
      </c>
      <c r="C54" s="4">
        <v>38</v>
      </c>
      <c r="D54" s="4">
        <v>45</v>
      </c>
      <c r="E54" s="4">
        <v>17</v>
      </c>
      <c r="F54" s="4" t="s">
        <v>673</v>
      </c>
      <c r="G54" s="4"/>
    </row>
    <row r="55" spans="1:7" x14ac:dyDescent="0.2">
      <c r="A55" s="4">
        <v>99170</v>
      </c>
      <c r="B55" s="4">
        <v>55</v>
      </c>
      <c r="C55" s="4">
        <v>48</v>
      </c>
      <c r="D55" s="4">
        <v>37</v>
      </c>
      <c r="E55" s="4">
        <v>15</v>
      </c>
      <c r="F55" s="4" t="s">
        <v>673</v>
      </c>
      <c r="G55" s="4"/>
    </row>
    <row r="56" spans="1:7" x14ac:dyDescent="0.2">
      <c r="A56" s="4">
        <v>99171</v>
      </c>
      <c r="B56" s="4">
        <v>56</v>
      </c>
      <c r="C56" s="4">
        <v>34</v>
      </c>
      <c r="D56" s="4">
        <v>49</v>
      </c>
      <c r="E56" s="4">
        <v>17</v>
      </c>
      <c r="F56" s="4" t="s">
        <v>673</v>
      </c>
      <c r="G56" s="4"/>
    </row>
    <row r="57" spans="1:7" x14ac:dyDescent="0.2">
      <c r="A57" s="4">
        <v>99172</v>
      </c>
      <c r="B57" s="4">
        <v>57</v>
      </c>
      <c r="C57" s="4">
        <v>42</v>
      </c>
      <c r="D57" s="4">
        <v>41</v>
      </c>
      <c r="E57" s="4">
        <v>17</v>
      </c>
      <c r="F57" s="4" t="s">
        <v>673</v>
      </c>
      <c r="G57" s="4"/>
    </row>
    <row r="58" spans="1:7" x14ac:dyDescent="0.2">
      <c r="A58" s="4">
        <v>99173</v>
      </c>
      <c r="B58" s="4">
        <v>58</v>
      </c>
      <c r="C58" s="4">
        <v>40</v>
      </c>
      <c r="D58" s="4">
        <v>45</v>
      </c>
      <c r="E58" s="4">
        <v>15</v>
      </c>
      <c r="F58" s="4" t="s">
        <v>673</v>
      </c>
      <c r="G58" s="4"/>
    </row>
    <row r="59" spans="1:7" x14ac:dyDescent="0.2">
      <c r="A59" s="4">
        <v>99174</v>
      </c>
      <c r="B59" s="4">
        <v>59</v>
      </c>
      <c r="C59" s="4">
        <v>32</v>
      </c>
      <c r="D59" s="4">
        <v>53</v>
      </c>
      <c r="E59" s="4">
        <v>15</v>
      </c>
      <c r="F59" s="4" t="s">
        <v>675</v>
      </c>
      <c r="G59" s="4"/>
    </row>
    <row r="60" spans="1:7" x14ac:dyDescent="0.2">
      <c r="A60" s="4">
        <v>99175</v>
      </c>
      <c r="B60" s="4">
        <v>60</v>
      </c>
      <c r="C60" s="4">
        <v>38</v>
      </c>
      <c r="D60" s="4">
        <v>45</v>
      </c>
      <c r="E60" s="4">
        <v>17</v>
      </c>
      <c r="F60" s="4" t="s">
        <v>673</v>
      </c>
      <c r="G60" s="4"/>
    </row>
    <row r="61" spans="1:7" x14ac:dyDescent="0.2">
      <c r="A61" s="4">
        <v>99176</v>
      </c>
      <c r="B61" s="4">
        <v>61</v>
      </c>
      <c r="C61" s="4">
        <v>48</v>
      </c>
      <c r="D61" s="4">
        <v>39</v>
      </c>
      <c r="E61" s="4">
        <v>13</v>
      </c>
      <c r="F61" s="4" t="s">
        <v>673</v>
      </c>
      <c r="G61" s="4"/>
    </row>
    <row r="62" spans="1:7" x14ac:dyDescent="0.2">
      <c r="A62" s="4">
        <v>99177</v>
      </c>
      <c r="B62" s="4">
        <v>62</v>
      </c>
      <c r="C62" s="4">
        <v>40</v>
      </c>
      <c r="D62" s="4">
        <v>45</v>
      </c>
      <c r="E62" s="4">
        <v>15</v>
      </c>
      <c r="F62" s="4" t="s">
        <v>673</v>
      </c>
      <c r="G62" s="4"/>
    </row>
    <row r="63" spans="1:7" x14ac:dyDescent="0.2">
      <c r="A63" s="4">
        <v>99178</v>
      </c>
      <c r="B63" s="4">
        <v>63</v>
      </c>
      <c r="C63" s="4">
        <v>44</v>
      </c>
      <c r="D63" s="4">
        <v>41</v>
      </c>
      <c r="E63" s="4">
        <v>15</v>
      </c>
      <c r="F63" s="4" t="s">
        <v>673</v>
      </c>
      <c r="G63" s="4"/>
    </row>
    <row r="64" spans="1:7" x14ac:dyDescent="0.2">
      <c r="A64" s="4">
        <v>99179</v>
      </c>
      <c r="B64" s="4">
        <v>64</v>
      </c>
      <c r="C64" s="4">
        <v>40</v>
      </c>
      <c r="D64" s="4">
        <v>45</v>
      </c>
      <c r="E64" s="4">
        <v>15</v>
      </c>
      <c r="F64" s="4" t="s">
        <v>673</v>
      </c>
      <c r="G64" s="4"/>
    </row>
    <row r="65" spans="1:7" x14ac:dyDescent="0.2">
      <c r="A65" s="4">
        <v>99180</v>
      </c>
      <c r="B65" s="4">
        <v>65</v>
      </c>
      <c r="C65" s="4">
        <v>40</v>
      </c>
      <c r="D65" s="4">
        <v>43</v>
      </c>
      <c r="E65" s="4">
        <v>17</v>
      </c>
      <c r="F65" s="4" t="s">
        <v>673</v>
      </c>
      <c r="G65" s="4"/>
    </row>
    <row r="66" spans="1:7" x14ac:dyDescent="0.2">
      <c r="A66" s="4">
        <v>99181</v>
      </c>
      <c r="B66" s="4">
        <v>66</v>
      </c>
      <c r="C66" s="4">
        <v>30</v>
      </c>
      <c r="D66" s="4">
        <v>51</v>
      </c>
      <c r="E66" s="4">
        <v>19</v>
      </c>
      <c r="F66" s="4" t="s">
        <v>675</v>
      </c>
      <c r="G66" s="4"/>
    </row>
    <row r="67" spans="1:7" x14ac:dyDescent="0.2">
      <c r="A67" s="4">
        <v>99182</v>
      </c>
      <c r="B67" s="4">
        <v>67</v>
      </c>
      <c r="C67" s="4">
        <v>42</v>
      </c>
      <c r="D67" s="4">
        <v>41</v>
      </c>
      <c r="E67" s="4">
        <v>17</v>
      </c>
      <c r="F67" s="4" t="s">
        <v>673</v>
      </c>
      <c r="G67" s="4"/>
    </row>
    <row r="68" spans="1:7" x14ac:dyDescent="0.2">
      <c r="A68" s="4">
        <v>99183</v>
      </c>
      <c r="B68" s="4">
        <v>68</v>
      </c>
      <c r="C68" s="4">
        <v>38</v>
      </c>
      <c r="D68" s="4">
        <v>43</v>
      </c>
      <c r="E68" s="4">
        <v>19</v>
      </c>
      <c r="F68" s="4" t="s">
        <v>673</v>
      </c>
      <c r="G68" s="4"/>
    </row>
    <row r="69" spans="1:7" x14ac:dyDescent="0.2">
      <c r="A69" s="4">
        <v>99184</v>
      </c>
      <c r="B69" s="4">
        <v>69</v>
      </c>
      <c r="C69" s="4">
        <v>42</v>
      </c>
      <c r="D69" s="4">
        <v>43</v>
      </c>
      <c r="E69" s="4">
        <v>15</v>
      </c>
      <c r="F69" s="4" t="s">
        <v>673</v>
      </c>
      <c r="G69" s="4"/>
    </row>
    <row r="70" spans="1:7" x14ac:dyDescent="0.2">
      <c r="A70" s="4">
        <v>99185</v>
      </c>
      <c r="B70" s="4">
        <v>70</v>
      </c>
      <c r="C70" s="4">
        <v>40</v>
      </c>
      <c r="D70" s="4">
        <v>45</v>
      </c>
      <c r="E70" s="4">
        <v>15</v>
      </c>
      <c r="F70" s="4" t="s">
        <v>673</v>
      </c>
      <c r="G70" s="4"/>
    </row>
    <row r="71" spans="1:7" x14ac:dyDescent="0.2">
      <c r="A71" s="4">
        <v>99186</v>
      </c>
      <c r="B71" s="4">
        <v>71</v>
      </c>
      <c r="C71" s="4">
        <v>44</v>
      </c>
      <c r="D71" s="4">
        <v>39</v>
      </c>
      <c r="E71" s="4">
        <v>17</v>
      </c>
      <c r="F71" s="4" t="s">
        <v>673</v>
      </c>
      <c r="G71" s="4"/>
    </row>
    <row r="72" spans="1:7" x14ac:dyDescent="0.2">
      <c r="A72" s="4">
        <v>99187</v>
      </c>
      <c r="B72" s="4">
        <v>72</v>
      </c>
      <c r="C72" s="4">
        <v>38</v>
      </c>
      <c r="D72" s="4">
        <v>43</v>
      </c>
      <c r="E72" s="4">
        <v>19</v>
      </c>
      <c r="F72" s="4" t="s">
        <v>673</v>
      </c>
      <c r="G72" s="4"/>
    </row>
    <row r="73" spans="1:7" x14ac:dyDescent="0.2">
      <c r="A73" s="4">
        <v>99188</v>
      </c>
      <c r="B73" s="4">
        <v>73</v>
      </c>
      <c r="C73" s="4">
        <v>43</v>
      </c>
      <c r="D73" s="4">
        <v>40</v>
      </c>
      <c r="E73" s="4">
        <v>17</v>
      </c>
      <c r="F73" s="4" t="s">
        <v>673</v>
      </c>
      <c r="G73" s="4"/>
    </row>
    <row r="74" spans="1:7" x14ac:dyDescent="0.2">
      <c r="A74" s="4">
        <v>99189</v>
      </c>
      <c r="B74" s="4">
        <v>74</v>
      </c>
      <c r="C74" s="4">
        <v>37</v>
      </c>
      <c r="D74" s="4">
        <v>44</v>
      </c>
      <c r="E74" s="4">
        <v>19</v>
      </c>
      <c r="F74" s="4" t="s">
        <v>673</v>
      </c>
      <c r="G74" s="4"/>
    </row>
    <row r="75" spans="1:7" x14ac:dyDescent="0.2">
      <c r="A75" s="4">
        <v>99190</v>
      </c>
      <c r="B75" s="4">
        <v>75</v>
      </c>
      <c r="C75" s="4">
        <v>33</v>
      </c>
      <c r="D75" s="4">
        <v>46</v>
      </c>
      <c r="E75" s="4">
        <v>21</v>
      </c>
      <c r="F75" s="4" t="s">
        <v>673</v>
      </c>
      <c r="G75" s="4"/>
    </row>
    <row r="76" spans="1:7" x14ac:dyDescent="0.2">
      <c r="A76" s="4">
        <v>99191</v>
      </c>
      <c r="B76" s="4">
        <v>76</v>
      </c>
      <c r="C76" s="4">
        <v>33</v>
      </c>
      <c r="D76" s="4">
        <v>48</v>
      </c>
      <c r="E76" s="4">
        <v>19</v>
      </c>
      <c r="F76" s="4" t="s">
        <v>673</v>
      </c>
      <c r="G76" s="4"/>
    </row>
    <row r="77" spans="1:7" x14ac:dyDescent="0.2">
      <c r="A77" s="4">
        <v>99192</v>
      </c>
      <c r="B77" s="4">
        <v>77</v>
      </c>
      <c r="C77" s="4">
        <v>39</v>
      </c>
      <c r="D77" s="4">
        <v>42</v>
      </c>
      <c r="E77" s="4">
        <v>19</v>
      </c>
      <c r="F77" s="4" t="s">
        <v>673</v>
      </c>
      <c r="G77" s="4"/>
    </row>
    <row r="78" spans="1:7" x14ac:dyDescent="0.2">
      <c r="A78" s="4">
        <v>99193</v>
      </c>
      <c r="B78" s="4">
        <v>78</v>
      </c>
      <c r="C78" s="4">
        <v>37</v>
      </c>
      <c r="D78" s="4">
        <v>48</v>
      </c>
      <c r="E78" s="4">
        <v>15</v>
      </c>
      <c r="F78" s="4" t="s">
        <v>673</v>
      </c>
      <c r="G78" s="4"/>
    </row>
    <row r="79" spans="1:7" x14ac:dyDescent="0.2">
      <c r="A79" s="4">
        <v>99194</v>
      </c>
      <c r="B79" s="4">
        <v>79</v>
      </c>
      <c r="C79" s="4">
        <v>41</v>
      </c>
      <c r="D79" s="4">
        <v>42</v>
      </c>
      <c r="E79" s="4">
        <v>17</v>
      </c>
      <c r="F79" s="4" t="s">
        <v>673</v>
      </c>
      <c r="G79" s="4"/>
    </row>
    <row r="80" spans="1:7" x14ac:dyDescent="0.2">
      <c r="A80" s="4">
        <v>99195</v>
      </c>
      <c r="B80" s="4">
        <v>80</v>
      </c>
      <c r="C80" s="4">
        <v>39</v>
      </c>
      <c r="D80" s="4">
        <v>44</v>
      </c>
      <c r="E80" s="4">
        <v>17</v>
      </c>
      <c r="F80" s="4" t="s">
        <v>673</v>
      </c>
      <c r="G80" s="4"/>
    </row>
    <row r="81" spans="1:7" x14ac:dyDescent="0.2">
      <c r="A81" s="4">
        <v>99196</v>
      </c>
      <c r="B81" s="4">
        <v>81</v>
      </c>
      <c r="C81" s="4">
        <v>39</v>
      </c>
      <c r="D81" s="4">
        <v>42</v>
      </c>
      <c r="E81" s="4">
        <v>19</v>
      </c>
      <c r="F81" s="4" t="s">
        <v>673</v>
      </c>
      <c r="G81" s="4"/>
    </row>
    <row r="82" spans="1:7" x14ac:dyDescent="0.2">
      <c r="A82" s="4">
        <v>99197</v>
      </c>
      <c r="B82" s="4">
        <v>82</v>
      </c>
      <c r="C82" s="4">
        <v>39</v>
      </c>
      <c r="D82" s="4">
        <v>40</v>
      </c>
      <c r="E82" s="4">
        <v>21</v>
      </c>
      <c r="F82" s="4" t="s">
        <v>673</v>
      </c>
      <c r="G82" s="4"/>
    </row>
    <row r="83" spans="1:7" x14ac:dyDescent="0.2">
      <c r="A83" s="4">
        <v>99198</v>
      </c>
      <c r="B83" s="4">
        <v>83</v>
      </c>
      <c r="C83" s="4">
        <v>43</v>
      </c>
      <c r="D83" s="4">
        <v>38</v>
      </c>
      <c r="E83" s="4">
        <v>19</v>
      </c>
      <c r="F83" s="4" t="s">
        <v>673</v>
      </c>
      <c r="G83" s="4"/>
    </row>
    <row r="84" spans="1:7" x14ac:dyDescent="0.2">
      <c r="A84" s="4">
        <v>99199</v>
      </c>
      <c r="B84" s="4">
        <v>84</v>
      </c>
      <c r="C84" s="4">
        <v>39</v>
      </c>
      <c r="D84" s="4">
        <v>44</v>
      </c>
      <c r="E84" s="4">
        <v>17</v>
      </c>
      <c r="F84" s="4" t="s">
        <v>673</v>
      </c>
      <c r="G84" s="4"/>
    </row>
    <row r="85" spans="1:7" x14ac:dyDescent="0.2">
      <c r="A85" s="4">
        <v>99200</v>
      </c>
      <c r="B85" s="4">
        <v>85</v>
      </c>
      <c r="C85" s="4">
        <v>41</v>
      </c>
      <c r="D85" s="4">
        <v>44</v>
      </c>
      <c r="E85" s="4">
        <v>15</v>
      </c>
      <c r="F85" s="4" t="s">
        <v>673</v>
      </c>
      <c r="G85" s="4"/>
    </row>
    <row r="86" spans="1:7" x14ac:dyDescent="0.2">
      <c r="A86" s="4">
        <v>99201</v>
      </c>
      <c r="B86" s="4">
        <v>86</v>
      </c>
      <c r="C86" s="4">
        <v>37</v>
      </c>
      <c r="D86" s="4">
        <v>46</v>
      </c>
      <c r="E86" s="4">
        <v>17</v>
      </c>
      <c r="F86" s="4" t="s">
        <v>673</v>
      </c>
      <c r="G86" s="4"/>
    </row>
    <row r="87" spans="1:7" x14ac:dyDescent="0.2">
      <c r="A87" s="4">
        <v>99202</v>
      </c>
      <c r="B87" s="4">
        <v>87</v>
      </c>
      <c r="C87" s="4">
        <v>39</v>
      </c>
      <c r="D87" s="4">
        <v>44</v>
      </c>
      <c r="E87" s="4">
        <v>17</v>
      </c>
      <c r="F87" s="4" t="s">
        <v>673</v>
      </c>
      <c r="G87" s="4"/>
    </row>
    <row r="88" spans="1:7" x14ac:dyDescent="0.2">
      <c r="A88" s="4">
        <v>99203</v>
      </c>
      <c r="B88" s="4">
        <v>88</v>
      </c>
      <c r="C88" s="4">
        <v>41</v>
      </c>
      <c r="D88" s="4">
        <v>40</v>
      </c>
      <c r="E88" s="4">
        <v>19</v>
      </c>
      <c r="F88" s="4" t="s">
        <v>673</v>
      </c>
      <c r="G88" s="4"/>
    </row>
    <row r="89" spans="1:7" x14ac:dyDescent="0.2">
      <c r="A89" s="4">
        <v>99204</v>
      </c>
      <c r="B89" s="4">
        <v>89</v>
      </c>
      <c r="C89" s="4">
        <v>43</v>
      </c>
      <c r="D89" s="4">
        <v>38</v>
      </c>
      <c r="E89" s="4">
        <v>19</v>
      </c>
      <c r="F89" s="4" t="s">
        <v>673</v>
      </c>
      <c r="G89" s="4"/>
    </row>
    <row r="90" spans="1:7" x14ac:dyDescent="0.2">
      <c r="A90" s="4">
        <v>99205</v>
      </c>
      <c r="B90" s="4">
        <v>90</v>
      </c>
      <c r="C90" s="4">
        <v>47</v>
      </c>
      <c r="D90" s="4">
        <v>38</v>
      </c>
      <c r="E90" s="4">
        <v>15</v>
      </c>
      <c r="F90" s="4" t="s">
        <v>673</v>
      </c>
      <c r="G90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1000"/>
  <sheetViews>
    <sheetView topLeftCell="H1" zoomScaleNormal="100" workbookViewId="0">
      <pane ySplit="1" topLeftCell="A28" activePane="bottomLeft" state="frozen"/>
      <selection pane="bottomLeft" activeCell="A32" sqref="A32:XFD33"/>
    </sheetView>
  </sheetViews>
  <sheetFormatPr defaultColWidth="12.7109375" defaultRowHeight="15.75" customHeight="1" x14ac:dyDescent="0.2"/>
  <cols>
    <col min="1" max="1" width="5.42578125" customWidth="1"/>
    <col min="2" max="2" width="4.5703125" bestFit="1" customWidth="1"/>
    <col min="3" max="3" width="8.140625" bestFit="1" customWidth="1"/>
    <col min="4" max="4" width="16.42578125" bestFit="1" customWidth="1"/>
    <col min="5" max="5" width="15.28515625" bestFit="1" customWidth="1"/>
    <col min="6" max="6" width="43.140625" bestFit="1" customWidth="1"/>
    <col min="7" max="7" width="43" customWidth="1"/>
    <col min="8" max="8" width="16.42578125" bestFit="1" customWidth="1"/>
    <col min="9" max="9" width="36" customWidth="1"/>
    <col min="10" max="10" width="13.7109375" bestFit="1" customWidth="1"/>
    <col min="11" max="11" width="32.28515625" bestFit="1" customWidth="1"/>
    <col min="12" max="12" width="27.85546875" bestFit="1" customWidth="1"/>
    <col min="13" max="13" width="21.7109375" customWidth="1"/>
  </cols>
  <sheetData>
    <row r="1" spans="1:21" ht="15.75" customHeight="1" x14ac:dyDescent="0.25">
      <c r="A1" s="13" t="s">
        <v>612</v>
      </c>
      <c r="B1" s="13" t="s">
        <v>614</v>
      </c>
      <c r="C1" s="13" t="s">
        <v>615</v>
      </c>
      <c r="D1" s="13" t="s">
        <v>677</v>
      </c>
      <c r="E1" s="13" t="s">
        <v>3</v>
      </c>
      <c r="F1" s="13" t="s">
        <v>678</v>
      </c>
      <c r="G1" s="13" t="s">
        <v>679</v>
      </c>
      <c r="H1" s="13" t="s">
        <v>680</v>
      </c>
      <c r="I1" s="13" t="s">
        <v>681</v>
      </c>
      <c r="J1" s="13" t="s">
        <v>7</v>
      </c>
      <c r="K1" s="13" t="s">
        <v>750</v>
      </c>
      <c r="L1" s="13" t="s">
        <v>682</v>
      </c>
      <c r="M1" s="13" t="s">
        <v>683</v>
      </c>
      <c r="N1" s="13" t="s">
        <v>684</v>
      </c>
      <c r="O1" s="13" t="s">
        <v>685</v>
      </c>
      <c r="P1" s="13" t="s">
        <v>686</v>
      </c>
      <c r="Q1" s="13" t="s">
        <v>687</v>
      </c>
      <c r="R1" s="13" t="s">
        <v>688</v>
      </c>
      <c r="S1" s="13" t="s">
        <v>689</v>
      </c>
      <c r="T1" s="13" t="s">
        <v>690</v>
      </c>
      <c r="U1" s="13" t="s">
        <v>691</v>
      </c>
    </row>
    <row r="2" spans="1:21" ht="15.75" customHeight="1" x14ac:dyDescent="0.25">
      <c r="A2" s="15">
        <v>45090</v>
      </c>
      <c r="B2" s="14" t="s">
        <v>625</v>
      </c>
      <c r="C2" s="14" t="s">
        <v>626</v>
      </c>
      <c r="D2" s="14" t="s">
        <v>692</v>
      </c>
      <c r="E2" s="16">
        <v>12.85</v>
      </c>
      <c r="F2" s="16">
        <v>332.83</v>
      </c>
      <c r="G2" s="16">
        <v>263.43</v>
      </c>
      <c r="H2" s="16">
        <v>69.400000000000006</v>
      </c>
      <c r="I2" s="16">
        <v>250.58</v>
      </c>
      <c r="J2" s="16"/>
      <c r="K2" s="16"/>
      <c r="L2" s="16">
        <v>0</v>
      </c>
      <c r="M2" s="16">
        <v>250.58</v>
      </c>
      <c r="N2" s="14"/>
      <c r="O2" s="14"/>
      <c r="P2" s="16">
        <v>0</v>
      </c>
      <c r="Q2" s="16">
        <v>294.52</v>
      </c>
      <c r="R2" s="16">
        <v>294.52</v>
      </c>
      <c r="S2" s="16">
        <v>0.27700000000000002</v>
      </c>
      <c r="T2" s="16">
        <v>0.23599999999999999</v>
      </c>
      <c r="U2" s="16">
        <v>0.85099999999999998</v>
      </c>
    </row>
    <row r="3" spans="1:21" ht="15.75" customHeight="1" x14ac:dyDescent="0.25">
      <c r="A3" s="15">
        <v>41438</v>
      </c>
      <c r="B3" s="14" t="s">
        <v>625</v>
      </c>
      <c r="C3" s="14" t="s">
        <v>626</v>
      </c>
      <c r="D3" s="14" t="s">
        <v>693</v>
      </c>
      <c r="E3" s="16">
        <v>12.85</v>
      </c>
      <c r="F3" s="16">
        <v>496.09</v>
      </c>
      <c r="G3" s="16">
        <v>385.36</v>
      </c>
      <c r="H3" s="16">
        <v>110.73</v>
      </c>
      <c r="I3" s="16">
        <v>372.51</v>
      </c>
      <c r="J3" s="16">
        <v>2.2162000000000002</v>
      </c>
      <c r="K3" s="16">
        <v>2.4706999999999999</v>
      </c>
      <c r="L3" s="16">
        <v>0.2545</v>
      </c>
      <c r="M3" s="16">
        <v>372.26</v>
      </c>
      <c r="N3" s="16">
        <v>15</v>
      </c>
      <c r="O3" s="16">
        <v>15.8</v>
      </c>
      <c r="P3" s="16">
        <v>0.8</v>
      </c>
      <c r="Q3" s="16">
        <v>294.52</v>
      </c>
      <c r="R3" s="16">
        <v>293.72000000000003</v>
      </c>
      <c r="S3" s="16">
        <v>0.29699999999999999</v>
      </c>
      <c r="T3" s="16">
        <v>0.377</v>
      </c>
      <c r="U3" s="16">
        <v>1.2669999999999999</v>
      </c>
    </row>
    <row r="4" spans="1:21" ht="15.75" customHeight="1" x14ac:dyDescent="0.25">
      <c r="A4" s="15">
        <v>45090</v>
      </c>
      <c r="B4" s="14" t="s">
        <v>625</v>
      </c>
      <c r="C4" s="14" t="s">
        <v>627</v>
      </c>
      <c r="D4" s="14" t="s">
        <v>692</v>
      </c>
      <c r="E4" s="16">
        <v>12.8</v>
      </c>
      <c r="F4" s="16">
        <v>360.78</v>
      </c>
      <c r="G4" s="16">
        <v>277.99</v>
      </c>
      <c r="H4" s="16">
        <v>82.79</v>
      </c>
      <c r="I4" s="16">
        <v>265.19</v>
      </c>
      <c r="J4" s="16">
        <v>2.2162000000000002</v>
      </c>
      <c r="K4" s="16">
        <v>10.8893</v>
      </c>
      <c r="L4" s="16">
        <v>8.6730999999999998</v>
      </c>
      <c r="M4" s="16">
        <v>256.52</v>
      </c>
      <c r="N4" s="16">
        <v>80</v>
      </c>
      <c r="O4" s="16">
        <v>83.5</v>
      </c>
      <c r="P4" s="16">
        <v>3.5</v>
      </c>
      <c r="Q4" s="16">
        <v>294.52</v>
      </c>
      <c r="R4" s="16">
        <v>291.02</v>
      </c>
      <c r="S4" s="16">
        <v>0.32300000000000001</v>
      </c>
      <c r="T4" s="16">
        <v>0.28399999999999997</v>
      </c>
      <c r="U4" s="16">
        <v>0.88100000000000001</v>
      </c>
    </row>
    <row r="5" spans="1:21" ht="15.75" customHeight="1" x14ac:dyDescent="0.25">
      <c r="A5" s="15">
        <v>45090</v>
      </c>
      <c r="B5" s="14" t="s">
        <v>625</v>
      </c>
      <c r="C5" s="14" t="s">
        <v>627</v>
      </c>
      <c r="D5" s="14" t="s">
        <v>693</v>
      </c>
      <c r="E5" s="16">
        <v>12.83</v>
      </c>
      <c r="F5" s="16">
        <v>495.84</v>
      </c>
      <c r="G5" s="16">
        <v>387.02</v>
      </c>
      <c r="H5" s="16">
        <v>108.82</v>
      </c>
      <c r="I5" s="16">
        <v>374.19</v>
      </c>
      <c r="J5" s="16">
        <v>2.2162000000000002</v>
      </c>
      <c r="K5" s="16">
        <v>2.2412999999999998</v>
      </c>
      <c r="L5" s="16">
        <v>2.5100000000000001E-2</v>
      </c>
      <c r="M5" s="16">
        <v>374.16</v>
      </c>
      <c r="N5" s="16">
        <v>15</v>
      </c>
      <c r="O5" s="16">
        <v>15.2</v>
      </c>
      <c r="P5" s="16">
        <v>0.2</v>
      </c>
      <c r="Q5" s="16">
        <v>294.52</v>
      </c>
      <c r="R5" s="16">
        <v>294.32</v>
      </c>
      <c r="S5" s="16">
        <v>0.29099999999999998</v>
      </c>
      <c r="T5" s="16">
        <v>0.37</v>
      </c>
      <c r="U5" s="16">
        <v>1.2709999999999999</v>
      </c>
    </row>
    <row r="6" spans="1:21" ht="15.75" customHeight="1" x14ac:dyDescent="0.25">
      <c r="A6" s="15">
        <v>45090</v>
      </c>
      <c r="B6" s="14" t="s">
        <v>625</v>
      </c>
      <c r="C6" s="14" t="s">
        <v>628</v>
      </c>
      <c r="D6" s="14" t="s">
        <v>692</v>
      </c>
      <c r="E6" s="16">
        <v>12.85</v>
      </c>
      <c r="F6" s="16">
        <v>362.05</v>
      </c>
      <c r="G6" s="16">
        <v>281.13</v>
      </c>
      <c r="H6" s="16">
        <v>80.92</v>
      </c>
      <c r="I6" s="16">
        <v>268.27999999999997</v>
      </c>
      <c r="J6" s="16">
        <v>2.2162000000000002</v>
      </c>
      <c r="K6" s="16">
        <v>3.0034999999999998</v>
      </c>
      <c r="L6" s="16">
        <v>0.7873</v>
      </c>
      <c r="M6" s="16">
        <v>267.49</v>
      </c>
      <c r="N6" s="16">
        <v>80</v>
      </c>
      <c r="O6" s="16">
        <v>81.5</v>
      </c>
      <c r="P6" s="16">
        <v>1.5</v>
      </c>
      <c r="Q6" s="16">
        <v>294.52</v>
      </c>
      <c r="R6" s="16">
        <v>293.02</v>
      </c>
      <c r="S6" s="16">
        <v>0.30299999999999999</v>
      </c>
      <c r="T6" s="16">
        <v>0.27600000000000002</v>
      </c>
      <c r="U6" s="16">
        <v>0.91300000000000003</v>
      </c>
    </row>
    <row r="7" spans="1:21" ht="15.75" customHeight="1" x14ac:dyDescent="0.25">
      <c r="A7" s="15">
        <v>45090</v>
      </c>
      <c r="B7" s="14" t="s">
        <v>625</v>
      </c>
      <c r="C7" s="14" t="s">
        <v>628</v>
      </c>
      <c r="D7" s="14" t="s">
        <v>693</v>
      </c>
      <c r="E7" s="16">
        <v>12.91</v>
      </c>
      <c r="F7" s="16">
        <v>475.4</v>
      </c>
      <c r="G7" s="16">
        <v>376.66</v>
      </c>
      <c r="H7" s="16">
        <v>98.74</v>
      </c>
      <c r="I7" s="16">
        <v>363.75</v>
      </c>
      <c r="J7" s="16">
        <v>2.2162000000000002</v>
      </c>
      <c r="K7" s="16">
        <v>2.2408000000000001</v>
      </c>
      <c r="L7" s="16">
        <v>2.46E-2</v>
      </c>
      <c r="M7" s="16">
        <v>363.73</v>
      </c>
      <c r="N7" s="16">
        <v>15</v>
      </c>
      <c r="O7" s="16">
        <v>15.1</v>
      </c>
      <c r="P7" s="16">
        <v>0.1</v>
      </c>
      <c r="Q7" s="16">
        <v>294.52</v>
      </c>
      <c r="R7" s="16">
        <v>294.42</v>
      </c>
      <c r="S7" s="16">
        <v>0.27100000000000002</v>
      </c>
      <c r="T7" s="16">
        <v>0.33500000000000002</v>
      </c>
      <c r="U7" s="16">
        <v>1.2350000000000001</v>
      </c>
    </row>
    <row r="8" spans="1:21" ht="15.75" customHeight="1" x14ac:dyDescent="0.25">
      <c r="A8" s="15">
        <v>45090</v>
      </c>
      <c r="B8" s="14" t="s">
        <v>625</v>
      </c>
      <c r="C8" s="14" t="s">
        <v>629</v>
      </c>
      <c r="D8" s="14" t="s">
        <v>692</v>
      </c>
      <c r="E8" s="16">
        <v>13.39</v>
      </c>
      <c r="F8" s="16">
        <v>367.11</v>
      </c>
      <c r="G8" s="16">
        <v>282.58</v>
      </c>
      <c r="H8" s="16">
        <v>84.53</v>
      </c>
      <c r="I8" s="16">
        <v>269.19</v>
      </c>
      <c r="J8" s="16">
        <v>2.2162000000000002</v>
      </c>
      <c r="K8" s="16">
        <v>2.2321</v>
      </c>
      <c r="L8" s="16">
        <v>1.5900000000000001E-2</v>
      </c>
      <c r="M8" s="16">
        <v>269.17</v>
      </c>
      <c r="N8" s="16">
        <v>15</v>
      </c>
      <c r="O8" s="16">
        <v>15.1</v>
      </c>
      <c r="P8" s="16">
        <v>0.1</v>
      </c>
      <c r="Q8" s="16">
        <v>294.52</v>
      </c>
      <c r="R8" s="16">
        <v>294.42</v>
      </c>
      <c r="S8" s="16">
        <v>0.314</v>
      </c>
      <c r="T8" s="16">
        <v>0.28699999999999998</v>
      </c>
      <c r="U8" s="16">
        <v>0.91400000000000003</v>
      </c>
    </row>
    <row r="9" spans="1:21" ht="15.75" customHeight="1" x14ac:dyDescent="0.25">
      <c r="A9" s="15">
        <v>45090</v>
      </c>
      <c r="B9" s="14" t="s">
        <v>625</v>
      </c>
      <c r="C9" s="14" t="s">
        <v>629</v>
      </c>
      <c r="D9" s="14" t="s">
        <v>693</v>
      </c>
      <c r="E9" s="16">
        <v>12.94</v>
      </c>
      <c r="F9" s="16">
        <v>438.26</v>
      </c>
      <c r="G9" s="16">
        <v>349.94</v>
      </c>
      <c r="H9" s="16">
        <v>88.32</v>
      </c>
      <c r="I9" s="16">
        <v>337</v>
      </c>
      <c r="J9" s="16">
        <v>2.2162000000000002</v>
      </c>
      <c r="K9" s="16">
        <v>2.2315999999999998</v>
      </c>
      <c r="L9" s="16">
        <v>1.54E-2</v>
      </c>
      <c r="M9" s="16">
        <v>336.98</v>
      </c>
      <c r="N9" s="16">
        <v>15</v>
      </c>
      <c r="O9" s="16">
        <v>15.1</v>
      </c>
      <c r="P9" s="16">
        <v>0.1</v>
      </c>
      <c r="Q9" s="16">
        <v>294.52</v>
      </c>
      <c r="R9" s="16">
        <v>294.42</v>
      </c>
      <c r="S9" s="16">
        <v>0.26200000000000001</v>
      </c>
      <c r="T9" s="16">
        <v>0.3</v>
      </c>
      <c r="U9" s="16">
        <v>1.145</v>
      </c>
    </row>
    <row r="10" spans="1:21" ht="15.75" customHeight="1" x14ac:dyDescent="0.25">
      <c r="A10" s="15">
        <v>45090</v>
      </c>
      <c r="B10" s="14" t="s">
        <v>625</v>
      </c>
      <c r="C10" s="14" t="s">
        <v>630</v>
      </c>
      <c r="D10" s="14" t="s">
        <v>692</v>
      </c>
      <c r="E10" s="16">
        <v>12.89</v>
      </c>
      <c r="F10" s="16">
        <v>334</v>
      </c>
      <c r="G10" s="16">
        <v>271.14999999999998</v>
      </c>
      <c r="H10" s="16">
        <v>62.85</v>
      </c>
      <c r="I10" s="16">
        <v>258.26</v>
      </c>
      <c r="J10" s="16">
        <v>2.2162000000000002</v>
      </c>
      <c r="K10" s="16">
        <v>2.6246999999999998</v>
      </c>
      <c r="L10" s="16">
        <v>0.40849999999999997</v>
      </c>
      <c r="M10" s="16">
        <v>257.85000000000002</v>
      </c>
      <c r="N10" s="16">
        <v>80</v>
      </c>
      <c r="O10" s="16">
        <v>81</v>
      </c>
      <c r="P10" s="16">
        <v>1</v>
      </c>
      <c r="Q10" s="16">
        <v>294.52</v>
      </c>
      <c r="R10" s="16">
        <v>293.52</v>
      </c>
      <c r="S10" s="16">
        <v>0.24399999999999999</v>
      </c>
      <c r="T10" s="16">
        <v>0.214</v>
      </c>
      <c r="U10" s="16">
        <v>0.878</v>
      </c>
    </row>
    <row r="11" spans="1:21" ht="15.75" customHeight="1" x14ac:dyDescent="0.25">
      <c r="A11" s="15">
        <v>45090</v>
      </c>
      <c r="B11" s="14" t="s">
        <v>625</v>
      </c>
      <c r="C11" s="14" t="s">
        <v>630</v>
      </c>
      <c r="D11" s="14" t="s">
        <v>693</v>
      </c>
      <c r="E11" s="16">
        <v>12.77</v>
      </c>
      <c r="F11" s="16">
        <v>351.67</v>
      </c>
      <c r="G11" s="16">
        <v>283.73</v>
      </c>
      <c r="H11" s="16">
        <v>67.94</v>
      </c>
      <c r="I11" s="16">
        <v>270.95999999999998</v>
      </c>
      <c r="J11" s="16">
        <v>2.2162000000000002</v>
      </c>
      <c r="K11" s="16">
        <v>11.950200000000001</v>
      </c>
      <c r="L11" s="16">
        <v>9.734</v>
      </c>
      <c r="M11" s="16">
        <v>261.23</v>
      </c>
      <c r="N11" s="16">
        <v>180</v>
      </c>
      <c r="O11" s="16">
        <v>195</v>
      </c>
      <c r="P11" s="16">
        <v>15</v>
      </c>
      <c r="Q11" s="16">
        <v>294.52</v>
      </c>
      <c r="R11" s="16">
        <v>279.52</v>
      </c>
      <c r="S11" s="16">
        <v>0.26</v>
      </c>
      <c r="T11" s="16">
        <v>0.24299999999999999</v>
      </c>
      <c r="U11" s="16">
        <v>0.93500000000000005</v>
      </c>
    </row>
    <row r="12" spans="1:21" ht="15.75" customHeight="1" x14ac:dyDescent="0.25">
      <c r="A12" s="15">
        <v>45090</v>
      </c>
      <c r="B12" s="14" t="s">
        <v>631</v>
      </c>
      <c r="C12" s="14" t="s">
        <v>626</v>
      </c>
      <c r="D12" s="14" t="s">
        <v>692</v>
      </c>
      <c r="E12" s="16">
        <v>13.16</v>
      </c>
      <c r="F12" s="16">
        <v>382.64</v>
      </c>
      <c r="G12" s="16">
        <v>315.82</v>
      </c>
      <c r="H12" s="16">
        <v>66.819999999999993</v>
      </c>
      <c r="I12" s="16">
        <v>302.66000000000003</v>
      </c>
      <c r="J12" s="16"/>
      <c r="K12" s="16"/>
      <c r="L12" s="16">
        <v>0</v>
      </c>
      <c r="M12" s="16">
        <v>302.66000000000003</v>
      </c>
      <c r="N12" s="14"/>
      <c r="O12" s="14"/>
      <c r="P12" s="16">
        <v>0</v>
      </c>
      <c r="Q12" s="16">
        <v>294.52</v>
      </c>
      <c r="R12" s="16">
        <v>294.52</v>
      </c>
      <c r="S12" s="16">
        <v>0.221</v>
      </c>
      <c r="T12" s="16">
        <v>0.22700000000000001</v>
      </c>
      <c r="U12" s="16">
        <v>1.028</v>
      </c>
    </row>
    <row r="13" spans="1:21" ht="15.75" customHeight="1" x14ac:dyDescent="0.25">
      <c r="A13" s="15">
        <v>45090</v>
      </c>
      <c r="B13" s="14" t="s">
        <v>631</v>
      </c>
      <c r="C13" s="14" t="s">
        <v>626</v>
      </c>
      <c r="D13" s="14" t="s">
        <v>693</v>
      </c>
      <c r="E13" s="16">
        <v>12.87</v>
      </c>
      <c r="F13" s="16">
        <v>494.31</v>
      </c>
      <c r="G13" s="16">
        <v>397.95</v>
      </c>
      <c r="H13" s="16">
        <v>96.36</v>
      </c>
      <c r="I13" s="16">
        <v>385.08</v>
      </c>
      <c r="J13" s="16">
        <v>2.2162000000000002</v>
      </c>
      <c r="K13" s="16">
        <v>2.7753999999999999</v>
      </c>
      <c r="L13" s="16">
        <v>0.55920000000000003</v>
      </c>
      <c r="M13" s="16">
        <v>384.52</v>
      </c>
      <c r="N13" s="16">
        <v>80</v>
      </c>
      <c r="O13" s="16">
        <v>81.2</v>
      </c>
      <c r="P13" s="16">
        <v>1.2</v>
      </c>
      <c r="Q13" s="16">
        <v>294.52</v>
      </c>
      <c r="R13" s="16">
        <v>293.32</v>
      </c>
      <c r="S13" s="16">
        <v>0.251</v>
      </c>
      <c r="T13" s="16">
        <v>0.32900000000000001</v>
      </c>
      <c r="U13" s="16">
        <v>1.3109999999999999</v>
      </c>
    </row>
    <row r="14" spans="1:21" ht="15.75" customHeight="1" x14ac:dyDescent="0.25">
      <c r="A14" s="15">
        <v>45090</v>
      </c>
      <c r="B14" s="14" t="s">
        <v>631</v>
      </c>
      <c r="C14" s="14" t="s">
        <v>627</v>
      </c>
      <c r="D14" s="14" t="s">
        <v>692</v>
      </c>
      <c r="E14" s="16">
        <v>12.91</v>
      </c>
      <c r="F14" s="16">
        <v>291.97000000000003</v>
      </c>
      <c r="G14" s="16">
        <v>221.38</v>
      </c>
      <c r="H14" s="16">
        <v>70.59</v>
      </c>
      <c r="I14" s="16">
        <v>208.47</v>
      </c>
      <c r="J14" s="16">
        <v>2.2162000000000002</v>
      </c>
      <c r="K14" s="16">
        <v>2.6642000000000001</v>
      </c>
      <c r="L14" s="16">
        <v>0.44800000000000001</v>
      </c>
      <c r="M14" s="16">
        <v>208.02</v>
      </c>
      <c r="N14" s="16">
        <v>80</v>
      </c>
      <c r="O14" s="16">
        <v>81</v>
      </c>
      <c r="P14" s="16">
        <v>1</v>
      </c>
      <c r="Q14" s="16">
        <v>294.52</v>
      </c>
      <c r="R14" s="16">
        <v>293.52</v>
      </c>
      <c r="S14" s="16">
        <v>0.33900000000000002</v>
      </c>
      <c r="T14" s="16">
        <v>0.24</v>
      </c>
      <c r="U14" s="16">
        <v>0.70899999999999996</v>
      </c>
    </row>
    <row r="15" spans="1:21" ht="15.75" customHeight="1" x14ac:dyDescent="0.25">
      <c r="A15" s="15">
        <v>45090</v>
      </c>
      <c r="B15" s="14" t="s">
        <v>631</v>
      </c>
      <c r="C15" s="14" t="s">
        <v>627</v>
      </c>
      <c r="D15" s="14" t="s">
        <v>693</v>
      </c>
      <c r="E15" s="16">
        <v>13.11</v>
      </c>
      <c r="F15" s="16">
        <v>411.72</v>
      </c>
      <c r="G15" s="16">
        <v>308.52999999999997</v>
      </c>
      <c r="H15" s="16">
        <v>103.19</v>
      </c>
      <c r="I15" s="16">
        <v>295.42</v>
      </c>
      <c r="J15" s="16">
        <v>2.2162000000000002</v>
      </c>
      <c r="K15" s="16">
        <v>2.3443000000000001</v>
      </c>
      <c r="L15" s="16">
        <v>0.12809999999999999</v>
      </c>
      <c r="M15" s="16">
        <v>295.29000000000002</v>
      </c>
      <c r="N15" s="16">
        <v>15</v>
      </c>
      <c r="O15" s="16">
        <v>15.6</v>
      </c>
      <c r="P15" s="16">
        <v>0.6</v>
      </c>
      <c r="Q15" s="16">
        <v>294.52</v>
      </c>
      <c r="R15" s="16">
        <v>293.92</v>
      </c>
      <c r="S15" s="16">
        <v>0.34899999999999998</v>
      </c>
      <c r="T15" s="16">
        <v>0.35099999999999998</v>
      </c>
      <c r="U15" s="16">
        <v>1.0049999999999999</v>
      </c>
    </row>
    <row r="16" spans="1:21" ht="15.75" customHeight="1" x14ac:dyDescent="0.25">
      <c r="A16" s="15">
        <v>45090</v>
      </c>
      <c r="B16" s="14" t="s">
        <v>631</v>
      </c>
      <c r="C16" s="14" t="s">
        <v>628</v>
      </c>
      <c r="D16" s="14" t="s">
        <v>692</v>
      </c>
      <c r="E16" s="16">
        <v>13.48</v>
      </c>
      <c r="F16" s="16">
        <v>355.86</v>
      </c>
      <c r="G16" s="16">
        <v>285.62</v>
      </c>
      <c r="H16" s="16">
        <v>70.239999999999995</v>
      </c>
      <c r="I16" s="16">
        <v>272.14</v>
      </c>
      <c r="J16" s="16">
        <v>2.2162000000000002</v>
      </c>
      <c r="K16" s="16">
        <v>2.2433999999999998</v>
      </c>
      <c r="L16" s="16">
        <v>2.7199999999999998E-2</v>
      </c>
      <c r="M16" s="16">
        <v>272.11</v>
      </c>
      <c r="N16" s="16">
        <v>15</v>
      </c>
      <c r="O16" s="16">
        <v>15.1</v>
      </c>
      <c r="P16" s="16">
        <v>0.1</v>
      </c>
      <c r="Q16" s="16">
        <v>294.52</v>
      </c>
      <c r="R16" s="16">
        <v>294.42</v>
      </c>
      <c r="S16" s="16">
        <v>0.25800000000000001</v>
      </c>
      <c r="T16" s="16">
        <v>0.23899999999999999</v>
      </c>
      <c r="U16" s="16">
        <v>0.92400000000000004</v>
      </c>
    </row>
    <row r="17" spans="1:21" ht="15.75" customHeight="1" x14ac:dyDescent="0.25">
      <c r="A17" s="15">
        <v>45090</v>
      </c>
      <c r="B17" s="14" t="s">
        <v>631</v>
      </c>
      <c r="C17" s="14" t="s">
        <v>628</v>
      </c>
      <c r="D17" s="14" t="s">
        <v>693</v>
      </c>
      <c r="E17" s="16">
        <v>12.87</v>
      </c>
      <c r="F17" s="16">
        <v>462.07</v>
      </c>
      <c r="G17" s="16">
        <v>367.67</v>
      </c>
      <c r="H17" s="16">
        <v>94.4</v>
      </c>
      <c r="I17" s="16">
        <v>354.8</v>
      </c>
      <c r="J17" s="16">
        <v>2.2162000000000002</v>
      </c>
      <c r="K17" s="16">
        <v>2.3166000000000002</v>
      </c>
      <c r="L17" s="16">
        <v>0.1004</v>
      </c>
      <c r="M17" s="16">
        <v>354.7</v>
      </c>
      <c r="N17" s="16">
        <v>80</v>
      </c>
      <c r="O17" s="16">
        <v>80.2</v>
      </c>
      <c r="P17" s="16">
        <v>0.2</v>
      </c>
      <c r="Q17" s="16">
        <v>294.52</v>
      </c>
      <c r="R17" s="16">
        <v>294.32</v>
      </c>
      <c r="S17" s="16">
        <v>0.26600000000000001</v>
      </c>
      <c r="T17" s="16">
        <v>0.32100000000000001</v>
      </c>
      <c r="U17" s="16">
        <v>1.2050000000000001</v>
      </c>
    </row>
    <row r="18" spans="1:21" ht="15" x14ac:dyDescent="0.25">
      <c r="A18" s="15">
        <v>45090</v>
      </c>
      <c r="B18" s="14" t="s">
        <v>631</v>
      </c>
      <c r="C18" s="14" t="s">
        <v>629</v>
      </c>
      <c r="D18" s="14" t="s">
        <v>692</v>
      </c>
      <c r="E18" s="16">
        <v>12.83</v>
      </c>
      <c r="F18" s="16">
        <v>357.73</v>
      </c>
      <c r="G18" s="16">
        <v>293.64999999999998</v>
      </c>
      <c r="H18" s="16">
        <v>64.08</v>
      </c>
      <c r="I18" s="16">
        <v>280.82</v>
      </c>
      <c r="J18" s="16">
        <v>2.2162000000000002</v>
      </c>
      <c r="K18" s="16">
        <v>2.3549000000000002</v>
      </c>
      <c r="L18" s="16">
        <v>0.13869999999999999</v>
      </c>
      <c r="M18" s="16">
        <v>280.68</v>
      </c>
      <c r="N18" s="16">
        <v>15</v>
      </c>
      <c r="O18" s="16">
        <v>15.4</v>
      </c>
      <c r="P18" s="16">
        <v>0.4</v>
      </c>
      <c r="Q18" s="16">
        <v>294.52</v>
      </c>
      <c r="R18" s="16">
        <v>294.12</v>
      </c>
      <c r="S18" s="16">
        <v>0.22800000000000001</v>
      </c>
      <c r="T18" s="16">
        <v>0.218</v>
      </c>
      <c r="U18" s="16">
        <v>0.95399999999999996</v>
      </c>
    </row>
    <row r="19" spans="1:21" ht="15" x14ac:dyDescent="0.25">
      <c r="A19" s="15">
        <v>45090</v>
      </c>
      <c r="B19" s="14" t="s">
        <v>631</v>
      </c>
      <c r="C19" s="14" t="s">
        <v>629</v>
      </c>
      <c r="D19" s="14" t="s">
        <v>693</v>
      </c>
      <c r="E19" s="16">
        <v>13.11</v>
      </c>
      <c r="F19" s="16">
        <v>393.47</v>
      </c>
      <c r="G19" s="16">
        <v>312.56</v>
      </c>
      <c r="H19" s="16">
        <v>80.91</v>
      </c>
      <c r="I19" s="16">
        <v>299.45</v>
      </c>
      <c r="J19" s="16">
        <v>2.2162000000000002</v>
      </c>
      <c r="K19" s="16">
        <v>2.2858999999999998</v>
      </c>
      <c r="L19" s="16">
        <v>6.9699999999999998E-2</v>
      </c>
      <c r="M19" s="16">
        <v>299.38</v>
      </c>
      <c r="N19" s="16">
        <v>15</v>
      </c>
      <c r="O19" s="16">
        <v>15.2</v>
      </c>
      <c r="P19" s="16">
        <v>0.2</v>
      </c>
      <c r="Q19" s="16">
        <v>294.52</v>
      </c>
      <c r="R19" s="16">
        <v>294.32</v>
      </c>
      <c r="S19" s="16">
        <v>0.27</v>
      </c>
      <c r="T19" s="16">
        <v>0.27500000000000002</v>
      </c>
      <c r="U19" s="16">
        <v>1.0169999999999999</v>
      </c>
    </row>
    <row r="20" spans="1:21" ht="15" x14ac:dyDescent="0.25">
      <c r="A20" s="15">
        <v>45090</v>
      </c>
      <c r="B20" s="14" t="s">
        <v>631</v>
      </c>
      <c r="C20" s="14" t="s">
        <v>630</v>
      </c>
      <c r="D20" s="14" t="s">
        <v>692</v>
      </c>
      <c r="E20" s="16">
        <v>12.98</v>
      </c>
      <c r="F20" s="16">
        <v>364.86</v>
      </c>
      <c r="G20" s="16">
        <v>288.89</v>
      </c>
      <c r="H20" s="16">
        <v>75.97</v>
      </c>
      <c r="I20" s="16">
        <v>275.91000000000003</v>
      </c>
      <c r="J20" s="16">
        <v>2.2162000000000002</v>
      </c>
      <c r="K20" s="16">
        <v>2.6568999999999998</v>
      </c>
      <c r="L20" s="16">
        <v>0.44069999999999998</v>
      </c>
      <c r="M20" s="16">
        <v>275.47000000000003</v>
      </c>
      <c r="N20" s="16">
        <v>80</v>
      </c>
      <c r="O20" s="16">
        <v>81</v>
      </c>
      <c r="P20" s="16">
        <v>1</v>
      </c>
      <c r="Q20" s="16">
        <v>294.52</v>
      </c>
      <c r="R20" s="16">
        <v>293.52</v>
      </c>
      <c r="S20" s="16">
        <v>0.27600000000000002</v>
      </c>
      <c r="T20" s="16">
        <v>0.25900000000000001</v>
      </c>
      <c r="U20" s="16">
        <v>0.93799999999999994</v>
      </c>
    </row>
    <row r="21" spans="1:21" ht="15" x14ac:dyDescent="0.25">
      <c r="A21" s="15">
        <v>45090</v>
      </c>
      <c r="B21" s="14" t="s">
        <v>631</v>
      </c>
      <c r="C21" s="14" t="s">
        <v>630</v>
      </c>
      <c r="D21" s="14" t="s">
        <v>693</v>
      </c>
      <c r="E21" s="16">
        <v>13.09</v>
      </c>
      <c r="F21" s="16">
        <v>416.66</v>
      </c>
      <c r="G21" s="16">
        <v>324.54000000000002</v>
      </c>
      <c r="H21" s="16">
        <v>92.12</v>
      </c>
      <c r="I21" s="16">
        <v>311.45</v>
      </c>
      <c r="J21" s="16"/>
      <c r="K21" s="16"/>
      <c r="L21" s="16">
        <v>0</v>
      </c>
      <c r="M21" s="16">
        <v>311.45</v>
      </c>
      <c r="N21" s="14"/>
      <c r="O21" s="14"/>
      <c r="P21" s="16">
        <v>0</v>
      </c>
      <c r="Q21" s="16">
        <v>294.52</v>
      </c>
      <c r="R21" s="16">
        <v>294.52</v>
      </c>
      <c r="S21" s="16">
        <v>0.29599999999999999</v>
      </c>
      <c r="T21" s="16">
        <v>0.313</v>
      </c>
      <c r="U21" s="16">
        <v>1.0569999999999999</v>
      </c>
    </row>
    <row r="22" spans="1:21" ht="15" x14ac:dyDescent="0.25">
      <c r="A22" s="15">
        <v>45090</v>
      </c>
      <c r="B22" s="14" t="s">
        <v>632</v>
      </c>
      <c r="C22" s="14" t="s">
        <v>626</v>
      </c>
      <c r="D22" s="14" t="s">
        <v>692</v>
      </c>
      <c r="E22" s="16">
        <v>13.32</v>
      </c>
      <c r="F22" s="16">
        <v>385.36</v>
      </c>
      <c r="G22" s="16">
        <v>313.33999999999997</v>
      </c>
      <c r="H22" s="16">
        <v>72.02</v>
      </c>
      <c r="I22" s="16">
        <v>300.02</v>
      </c>
      <c r="J22" s="16"/>
      <c r="K22" s="16"/>
      <c r="L22" s="16">
        <v>0</v>
      </c>
      <c r="M22" s="16">
        <v>300.02</v>
      </c>
      <c r="N22" s="14"/>
      <c r="O22" s="14"/>
      <c r="P22" s="16">
        <v>0</v>
      </c>
      <c r="Q22" s="16">
        <v>294.52</v>
      </c>
      <c r="R22" s="16">
        <v>294.52</v>
      </c>
      <c r="S22" s="16">
        <v>0.24</v>
      </c>
      <c r="T22" s="16">
        <v>0.245</v>
      </c>
      <c r="U22" s="16">
        <v>1.0189999999999999</v>
      </c>
    </row>
    <row r="23" spans="1:21" ht="15" x14ac:dyDescent="0.25">
      <c r="A23" s="15">
        <v>45090</v>
      </c>
      <c r="B23" s="14" t="s">
        <v>632</v>
      </c>
      <c r="C23" s="14" t="s">
        <v>626</v>
      </c>
      <c r="D23" s="14" t="s">
        <v>693</v>
      </c>
      <c r="E23" s="16">
        <v>13.06</v>
      </c>
      <c r="F23" s="16">
        <v>469.62</v>
      </c>
      <c r="G23" s="16">
        <v>385</v>
      </c>
      <c r="H23" s="16">
        <v>84.62</v>
      </c>
      <c r="I23" s="16">
        <v>371.94</v>
      </c>
      <c r="J23" s="16">
        <v>2.2162000000000002</v>
      </c>
      <c r="K23" s="16">
        <v>2.59</v>
      </c>
      <c r="L23" s="16">
        <v>0.37380000000000002</v>
      </c>
      <c r="M23" s="16">
        <v>371.57</v>
      </c>
      <c r="N23" s="16">
        <v>80</v>
      </c>
      <c r="O23" s="16">
        <v>80.8</v>
      </c>
      <c r="P23" s="16">
        <v>0.8</v>
      </c>
      <c r="Q23" s="16">
        <v>294.52</v>
      </c>
      <c r="R23" s="16">
        <v>293.72000000000003</v>
      </c>
      <c r="S23" s="16">
        <v>0.22800000000000001</v>
      </c>
      <c r="T23" s="16">
        <v>0.28799999999999998</v>
      </c>
      <c r="U23" s="16">
        <v>1.2649999999999999</v>
      </c>
    </row>
    <row r="24" spans="1:21" ht="15" x14ac:dyDescent="0.25">
      <c r="A24" s="15">
        <v>45090</v>
      </c>
      <c r="B24" s="14" t="s">
        <v>632</v>
      </c>
      <c r="C24" s="14" t="s">
        <v>627</v>
      </c>
      <c r="D24" s="14" t="s">
        <v>692</v>
      </c>
      <c r="E24" s="16">
        <v>13.39</v>
      </c>
      <c r="F24" s="16">
        <v>363.49</v>
      </c>
      <c r="G24" s="16">
        <v>284</v>
      </c>
      <c r="H24" s="16">
        <v>79.489999999999995</v>
      </c>
      <c r="I24" s="16">
        <v>270.61</v>
      </c>
      <c r="J24" s="16">
        <v>2.2162000000000002</v>
      </c>
      <c r="K24" s="16">
        <v>2.3433999999999999</v>
      </c>
      <c r="L24" s="16">
        <v>0.12720000000000001</v>
      </c>
      <c r="M24" s="16">
        <v>270.48</v>
      </c>
      <c r="N24" s="16">
        <v>15</v>
      </c>
      <c r="O24" s="16">
        <v>15.4</v>
      </c>
      <c r="P24" s="16">
        <v>0.4</v>
      </c>
      <c r="Q24" s="16">
        <v>294.52</v>
      </c>
      <c r="R24" s="16">
        <v>294.12</v>
      </c>
      <c r="S24" s="16">
        <v>0.29399999999999998</v>
      </c>
      <c r="T24" s="16">
        <v>0.27</v>
      </c>
      <c r="U24" s="16">
        <v>0.92</v>
      </c>
    </row>
    <row r="25" spans="1:21" ht="15" x14ac:dyDescent="0.25">
      <c r="A25" s="15">
        <v>45090</v>
      </c>
      <c r="B25" s="14" t="s">
        <v>632</v>
      </c>
      <c r="C25" s="14" t="s">
        <v>627</v>
      </c>
      <c r="D25" s="14" t="s">
        <v>693</v>
      </c>
      <c r="E25" s="16">
        <v>13.34</v>
      </c>
      <c r="F25" s="16">
        <v>349.34</v>
      </c>
      <c r="G25" s="16">
        <v>279.36</v>
      </c>
      <c r="H25" s="16">
        <v>69.98</v>
      </c>
      <c r="I25" s="16">
        <v>266.02</v>
      </c>
      <c r="J25" s="16"/>
      <c r="K25" s="16"/>
      <c r="L25" s="16">
        <v>0</v>
      </c>
      <c r="M25" s="16">
        <v>266.02</v>
      </c>
      <c r="N25" s="14"/>
      <c r="O25" s="14"/>
      <c r="P25" s="16">
        <v>0</v>
      </c>
      <c r="Q25" s="16">
        <v>294.52</v>
      </c>
      <c r="R25" s="16">
        <v>294.52</v>
      </c>
      <c r="S25" s="16">
        <v>0.26300000000000001</v>
      </c>
      <c r="T25" s="16">
        <v>0.23799999999999999</v>
      </c>
      <c r="U25" s="16">
        <v>0.90300000000000002</v>
      </c>
    </row>
    <row r="26" spans="1:21" ht="15" x14ac:dyDescent="0.25">
      <c r="A26" s="15">
        <v>45090</v>
      </c>
      <c r="B26" s="14" t="s">
        <v>632</v>
      </c>
      <c r="C26" s="14" t="s">
        <v>628</v>
      </c>
      <c r="D26" s="14" t="s">
        <v>692</v>
      </c>
      <c r="E26" s="16">
        <v>12.95</v>
      </c>
      <c r="F26" s="16">
        <v>380.38</v>
      </c>
      <c r="G26" s="16">
        <v>308.64</v>
      </c>
      <c r="H26" s="16">
        <v>71.739999999999995</v>
      </c>
      <c r="I26" s="16">
        <v>295.69</v>
      </c>
      <c r="J26" s="16">
        <v>2.2162000000000002</v>
      </c>
      <c r="K26" s="16">
        <v>2.2688999999999999</v>
      </c>
      <c r="L26" s="16">
        <v>5.2699999999999997E-2</v>
      </c>
      <c r="M26" s="16">
        <v>295.64</v>
      </c>
      <c r="N26" s="16">
        <v>15</v>
      </c>
      <c r="O26" s="16">
        <v>15.1</v>
      </c>
      <c r="P26" s="16">
        <v>0.1</v>
      </c>
      <c r="Q26" s="16">
        <v>294.52</v>
      </c>
      <c r="R26" s="16">
        <v>294.42</v>
      </c>
      <c r="S26" s="16">
        <v>0.24299999999999999</v>
      </c>
      <c r="T26" s="16">
        <v>0.24399999999999999</v>
      </c>
      <c r="U26" s="16">
        <v>1.004</v>
      </c>
    </row>
    <row r="27" spans="1:21" ht="15" x14ac:dyDescent="0.25">
      <c r="A27" s="15">
        <v>45090</v>
      </c>
      <c r="B27" s="14" t="s">
        <v>632</v>
      </c>
      <c r="C27" s="14" t="s">
        <v>628</v>
      </c>
      <c r="D27" s="14" t="s">
        <v>693</v>
      </c>
      <c r="E27" s="16">
        <v>13.08</v>
      </c>
      <c r="F27" s="16">
        <v>383.28</v>
      </c>
      <c r="G27" s="16">
        <v>312.45</v>
      </c>
      <c r="H27" s="16">
        <v>70.83</v>
      </c>
      <c r="I27" s="16">
        <v>299.37</v>
      </c>
      <c r="J27" s="16">
        <v>2.2162000000000002</v>
      </c>
      <c r="K27" s="16">
        <v>4.1822999999999997</v>
      </c>
      <c r="L27" s="16">
        <v>1.9661</v>
      </c>
      <c r="M27" s="16">
        <v>297.39999999999998</v>
      </c>
      <c r="N27" s="16">
        <v>80</v>
      </c>
      <c r="O27" s="16">
        <v>83.5</v>
      </c>
      <c r="P27" s="16">
        <v>3.5</v>
      </c>
      <c r="Q27" s="16">
        <v>294.52</v>
      </c>
      <c r="R27" s="16">
        <v>291.02</v>
      </c>
      <c r="S27" s="16">
        <v>0.23799999999999999</v>
      </c>
      <c r="T27" s="16">
        <v>0.24299999999999999</v>
      </c>
      <c r="U27" s="16">
        <v>1.022</v>
      </c>
    </row>
    <row r="28" spans="1:21" ht="15" x14ac:dyDescent="0.25">
      <c r="A28" s="15">
        <v>45090</v>
      </c>
      <c r="B28" s="14" t="s">
        <v>632</v>
      </c>
      <c r="C28" s="14" t="s">
        <v>629</v>
      </c>
      <c r="D28" s="14" t="s">
        <v>692</v>
      </c>
      <c r="E28" s="16">
        <v>13.05</v>
      </c>
      <c r="F28" s="16">
        <v>332.47</v>
      </c>
      <c r="G28" s="16">
        <v>265.43</v>
      </c>
      <c r="H28" s="16">
        <v>67.040000000000006</v>
      </c>
      <c r="I28" s="16">
        <v>252.38</v>
      </c>
      <c r="J28" s="16">
        <v>2.2162000000000002</v>
      </c>
      <c r="K28" s="16">
        <v>4.21</v>
      </c>
      <c r="L28" s="16">
        <v>1.9938</v>
      </c>
      <c r="M28" s="16">
        <v>250.39</v>
      </c>
      <c r="N28" s="16">
        <v>80</v>
      </c>
      <c r="O28" s="16">
        <v>84</v>
      </c>
      <c r="P28" s="16">
        <v>4</v>
      </c>
      <c r="Q28" s="16">
        <v>294.52</v>
      </c>
      <c r="R28" s="16">
        <v>290.52</v>
      </c>
      <c r="S28" s="16">
        <v>0.26800000000000002</v>
      </c>
      <c r="T28" s="16">
        <v>0.23100000000000001</v>
      </c>
      <c r="U28" s="16">
        <v>0.86199999999999999</v>
      </c>
    </row>
    <row r="29" spans="1:21" ht="15" x14ac:dyDescent="0.25">
      <c r="A29" s="15">
        <v>45090</v>
      </c>
      <c r="B29" s="14" t="s">
        <v>632</v>
      </c>
      <c r="C29" s="14" t="s">
        <v>629</v>
      </c>
      <c r="D29" s="14" t="s">
        <v>693</v>
      </c>
      <c r="E29" s="16">
        <v>13.41</v>
      </c>
      <c r="F29" s="16">
        <v>394.16</v>
      </c>
      <c r="G29" s="16">
        <v>319.17</v>
      </c>
      <c r="H29" s="16">
        <v>74.989999999999995</v>
      </c>
      <c r="I29" s="16">
        <v>305.76</v>
      </c>
      <c r="J29" s="16">
        <v>2.2162000000000002</v>
      </c>
      <c r="K29" s="16">
        <v>2.3616999999999999</v>
      </c>
      <c r="L29" s="16">
        <v>0.14549999999999999</v>
      </c>
      <c r="M29" s="16">
        <v>305.61</v>
      </c>
      <c r="N29" s="16">
        <v>15</v>
      </c>
      <c r="O29" s="16">
        <v>15.2</v>
      </c>
      <c r="P29" s="16">
        <v>0.2</v>
      </c>
      <c r="Q29" s="16">
        <v>294.52</v>
      </c>
      <c r="R29" s="16">
        <v>294.32</v>
      </c>
      <c r="S29" s="16">
        <v>0.245</v>
      </c>
      <c r="T29" s="16">
        <v>0.255</v>
      </c>
      <c r="U29" s="16">
        <v>1.038</v>
      </c>
    </row>
    <row r="30" spans="1:21" ht="15" x14ac:dyDescent="0.25">
      <c r="A30" s="15">
        <v>45090</v>
      </c>
      <c r="B30" s="14" t="s">
        <v>632</v>
      </c>
      <c r="C30" s="14" t="s">
        <v>630</v>
      </c>
      <c r="D30" s="14" t="s">
        <v>692</v>
      </c>
      <c r="E30" s="16">
        <v>13.55</v>
      </c>
      <c r="F30" s="16">
        <v>448.12</v>
      </c>
      <c r="G30" s="16">
        <v>363.26</v>
      </c>
      <c r="H30" s="16">
        <v>84.86</v>
      </c>
      <c r="I30" s="16">
        <v>349.71</v>
      </c>
      <c r="J30" s="16">
        <v>2.2162000000000002</v>
      </c>
      <c r="K30" s="16">
        <v>3.1974</v>
      </c>
      <c r="L30" s="16">
        <v>0.98119999999999996</v>
      </c>
      <c r="M30" s="16">
        <v>348.73</v>
      </c>
      <c r="N30" s="16">
        <v>80</v>
      </c>
      <c r="O30" s="16">
        <v>81</v>
      </c>
      <c r="P30" s="16">
        <v>1</v>
      </c>
      <c r="Q30" s="16">
        <v>294.52</v>
      </c>
      <c r="R30" s="16">
        <v>293.52</v>
      </c>
      <c r="S30" s="16">
        <v>0.24299999999999999</v>
      </c>
      <c r="T30" s="16">
        <v>0.28899999999999998</v>
      </c>
      <c r="U30" s="16">
        <v>1.1879999999999999</v>
      </c>
    </row>
    <row r="31" spans="1:21" ht="15" x14ac:dyDescent="0.25">
      <c r="A31" s="15">
        <v>45090</v>
      </c>
      <c r="B31" s="14" t="s">
        <v>632</v>
      </c>
      <c r="C31" s="14" t="s">
        <v>630</v>
      </c>
      <c r="D31" s="14" t="s">
        <v>693</v>
      </c>
      <c r="E31" s="16">
        <v>12.94</v>
      </c>
      <c r="F31" s="16">
        <v>473.94</v>
      </c>
      <c r="G31" s="16">
        <v>385.57</v>
      </c>
      <c r="H31" s="16">
        <v>88.37</v>
      </c>
      <c r="I31" s="16">
        <v>372.63</v>
      </c>
      <c r="J31" s="16">
        <v>2.2162000000000002</v>
      </c>
      <c r="K31" s="16">
        <v>2.2978999999999998</v>
      </c>
      <c r="L31" s="16">
        <v>8.1699999999999995E-2</v>
      </c>
      <c r="M31" s="16">
        <v>372.55</v>
      </c>
      <c r="N31" s="16">
        <v>15</v>
      </c>
      <c r="O31" s="16">
        <v>15.2</v>
      </c>
      <c r="P31" s="16">
        <v>0.2</v>
      </c>
      <c r="Q31" s="16">
        <v>294.52</v>
      </c>
      <c r="R31" s="16">
        <v>294.32</v>
      </c>
      <c r="S31" s="16">
        <v>0.23699999999999999</v>
      </c>
      <c r="T31" s="16">
        <v>0.3</v>
      </c>
      <c r="U31" s="16">
        <v>1.266</v>
      </c>
    </row>
    <row r="32" spans="1:21" ht="15" x14ac:dyDescent="0.25">
      <c r="A32" s="15">
        <v>45090</v>
      </c>
      <c r="B32" s="14" t="s">
        <v>633</v>
      </c>
      <c r="C32" s="14" t="s">
        <v>626</v>
      </c>
      <c r="D32" s="14" t="s">
        <v>692</v>
      </c>
      <c r="E32" s="16">
        <v>12.86</v>
      </c>
      <c r="F32" s="16">
        <v>386.21</v>
      </c>
      <c r="G32" s="16">
        <v>311.70999999999998</v>
      </c>
      <c r="H32" s="16">
        <v>74.5</v>
      </c>
      <c r="I32" s="16">
        <v>298.85000000000002</v>
      </c>
      <c r="J32" s="16">
        <v>2.2162000000000002</v>
      </c>
      <c r="K32" s="16">
        <v>3.3298000000000001</v>
      </c>
      <c r="L32" s="16">
        <v>1.1135999999999999</v>
      </c>
      <c r="M32" s="16">
        <v>297.74</v>
      </c>
      <c r="N32" s="16">
        <v>80</v>
      </c>
      <c r="O32" s="16">
        <v>82</v>
      </c>
      <c r="P32" s="16">
        <v>2</v>
      </c>
      <c r="Q32" s="16">
        <v>294.52</v>
      </c>
      <c r="R32" s="16">
        <v>292.52</v>
      </c>
      <c r="S32" s="16">
        <v>0.25</v>
      </c>
      <c r="T32" s="16">
        <v>0.255</v>
      </c>
      <c r="U32" s="16">
        <v>1.018</v>
      </c>
    </row>
    <row r="33" spans="1:21" ht="15" x14ac:dyDescent="0.25">
      <c r="A33" s="15">
        <v>45090</v>
      </c>
      <c r="B33" s="14" t="s">
        <v>633</v>
      </c>
      <c r="C33" s="14" t="s">
        <v>626</v>
      </c>
      <c r="D33" s="14" t="s">
        <v>693</v>
      </c>
      <c r="E33" s="16">
        <v>12.8</v>
      </c>
      <c r="F33" s="16">
        <v>445.57</v>
      </c>
      <c r="G33" s="16">
        <v>355.97</v>
      </c>
      <c r="H33" s="16">
        <v>89.6</v>
      </c>
      <c r="I33" s="16">
        <v>343.17</v>
      </c>
      <c r="J33" s="16">
        <v>2.2162000000000002</v>
      </c>
      <c r="K33" s="16">
        <v>2.2646999999999999</v>
      </c>
      <c r="L33" s="16">
        <v>4.8500000000000001E-2</v>
      </c>
      <c r="M33" s="16">
        <v>343.12</v>
      </c>
      <c r="N33" s="16">
        <v>15</v>
      </c>
      <c r="O33" s="16">
        <v>15.2</v>
      </c>
      <c r="P33" s="16">
        <v>0.2</v>
      </c>
      <c r="Q33" s="16">
        <v>294.52</v>
      </c>
      <c r="R33" s="16">
        <v>294.32</v>
      </c>
      <c r="S33" s="16">
        <v>0.26100000000000001</v>
      </c>
      <c r="T33" s="16">
        <v>0.30399999999999999</v>
      </c>
      <c r="U33" s="16">
        <v>1.1659999999999999</v>
      </c>
    </row>
    <row r="34" spans="1:21" ht="15" x14ac:dyDescent="0.25">
      <c r="A34" s="15">
        <v>45090</v>
      </c>
      <c r="B34" s="14" t="s">
        <v>633</v>
      </c>
      <c r="C34" s="14" t="s">
        <v>627</v>
      </c>
      <c r="D34" s="14" t="s">
        <v>692</v>
      </c>
      <c r="E34" s="16">
        <v>12.84</v>
      </c>
      <c r="F34" s="16">
        <v>360.45</v>
      </c>
      <c r="G34" s="16">
        <v>289.45</v>
      </c>
      <c r="H34" s="16">
        <v>71</v>
      </c>
      <c r="I34" s="16">
        <v>276.61</v>
      </c>
      <c r="J34" s="16"/>
      <c r="K34" s="16"/>
      <c r="L34" s="16">
        <v>0</v>
      </c>
      <c r="M34" s="16">
        <v>276.61</v>
      </c>
      <c r="N34" s="14"/>
      <c r="O34" s="14"/>
      <c r="P34" s="16">
        <v>0</v>
      </c>
      <c r="Q34" s="16">
        <v>294.52</v>
      </c>
      <c r="R34" s="16">
        <v>294.52</v>
      </c>
      <c r="S34" s="16">
        <v>0.25700000000000001</v>
      </c>
      <c r="T34" s="16">
        <v>0.24099999999999999</v>
      </c>
      <c r="U34" s="16">
        <v>0.93899999999999995</v>
      </c>
    </row>
    <row r="35" spans="1:21" ht="15" x14ac:dyDescent="0.25">
      <c r="A35" s="15">
        <v>45090</v>
      </c>
      <c r="B35" s="14" t="s">
        <v>633</v>
      </c>
      <c r="C35" s="14" t="s">
        <v>627</v>
      </c>
      <c r="D35" s="14" t="s">
        <v>693</v>
      </c>
      <c r="E35" s="16">
        <v>13.38</v>
      </c>
      <c r="F35" s="16">
        <v>361.92</v>
      </c>
      <c r="G35" s="16">
        <v>287.44</v>
      </c>
      <c r="H35" s="16">
        <v>74.48</v>
      </c>
      <c r="I35" s="16">
        <v>274.06</v>
      </c>
      <c r="J35" s="16">
        <v>2.2162000000000002</v>
      </c>
      <c r="K35" s="16">
        <v>2.2633999999999999</v>
      </c>
      <c r="L35" s="16">
        <v>4.7199999999999999E-2</v>
      </c>
      <c r="M35" s="16">
        <v>274.01</v>
      </c>
      <c r="N35" s="16">
        <v>15</v>
      </c>
      <c r="O35" s="16">
        <v>15.1</v>
      </c>
      <c r="P35" s="16">
        <v>0.1</v>
      </c>
      <c r="Q35" s="16">
        <v>294.52</v>
      </c>
      <c r="R35" s="16">
        <v>294.42</v>
      </c>
      <c r="S35" s="16">
        <v>0.27200000000000002</v>
      </c>
      <c r="T35" s="16">
        <v>0.253</v>
      </c>
      <c r="U35" s="16">
        <v>0.93100000000000005</v>
      </c>
    </row>
    <row r="36" spans="1:21" ht="15" x14ac:dyDescent="0.25">
      <c r="A36" s="15">
        <v>45090</v>
      </c>
      <c r="B36" s="14" t="s">
        <v>633</v>
      </c>
      <c r="C36" s="14" t="s">
        <v>628</v>
      </c>
      <c r="D36" s="14" t="s">
        <v>692</v>
      </c>
      <c r="E36" s="16">
        <v>12.8</v>
      </c>
      <c r="F36" s="16">
        <v>358.97</v>
      </c>
      <c r="G36" s="16">
        <v>283.75</v>
      </c>
      <c r="H36" s="16">
        <v>75.22</v>
      </c>
      <c r="I36" s="16">
        <v>270.95</v>
      </c>
      <c r="J36" s="16">
        <v>2.2162000000000002</v>
      </c>
      <c r="K36" s="16">
        <v>2.2869999999999999</v>
      </c>
      <c r="L36" s="16">
        <v>7.0800000000000002E-2</v>
      </c>
      <c r="M36" s="16">
        <v>270.88</v>
      </c>
      <c r="N36" s="16">
        <v>15</v>
      </c>
      <c r="O36" s="16">
        <v>15.3</v>
      </c>
      <c r="P36" s="16">
        <v>0.3</v>
      </c>
      <c r="Q36" s="16">
        <v>294.52</v>
      </c>
      <c r="R36" s="16">
        <v>294.22000000000003</v>
      </c>
      <c r="S36" s="16">
        <v>0.27800000000000002</v>
      </c>
      <c r="T36" s="16">
        <v>0.25600000000000001</v>
      </c>
      <c r="U36" s="16">
        <v>0.92100000000000004</v>
      </c>
    </row>
    <row r="37" spans="1:21" ht="15" x14ac:dyDescent="0.25">
      <c r="A37" s="15">
        <v>45090</v>
      </c>
      <c r="B37" s="14" t="s">
        <v>633</v>
      </c>
      <c r="C37" s="14" t="s">
        <v>628</v>
      </c>
      <c r="D37" s="14" t="s">
        <v>693</v>
      </c>
      <c r="E37" s="16">
        <v>12.77</v>
      </c>
      <c r="F37" s="16">
        <v>345.84</v>
      </c>
      <c r="G37" s="16">
        <v>275.83</v>
      </c>
      <c r="H37" s="16">
        <v>70.010000000000005</v>
      </c>
      <c r="I37" s="16">
        <v>263.06</v>
      </c>
      <c r="J37" s="16">
        <v>2.2162000000000002</v>
      </c>
      <c r="K37" s="16">
        <v>2.9066999999999998</v>
      </c>
      <c r="L37" s="16">
        <v>0.6905</v>
      </c>
      <c r="M37" s="16">
        <v>262.37</v>
      </c>
      <c r="N37" s="16">
        <v>80</v>
      </c>
      <c r="O37" s="16">
        <v>80.900000000000006</v>
      </c>
      <c r="P37" s="16">
        <v>0.9</v>
      </c>
      <c r="Q37" s="16">
        <v>294.52</v>
      </c>
      <c r="R37" s="16">
        <v>293.62</v>
      </c>
      <c r="S37" s="16">
        <v>0.26700000000000002</v>
      </c>
      <c r="T37" s="16">
        <v>0.23799999999999999</v>
      </c>
      <c r="U37" s="16">
        <v>0.89400000000000002</v>
      </c>
    </row>
    <row r="38" spans="1:21" ht="15" x14ac:dyDescent="0.25">
      <c r="A38" s="15">
        <v>45090</v>
      </c>
      <c r="B38" s="14" t="s">
        <v>633</v>
      </c>
      <c r="C38" s="14" t="s">
        <v>629</v>
      </c>
      <c r="D38" s="14" t="s">
        <v>692</v>
      </c>
      <c r="E38" s="16">
        <v>13.44</v>
      </c>
      <c r="F38" s="16">
        <v>371.33</v>
      </c>
      <c r="G38" s="16">
        <v>297.58</v>
      </c>
      <c r="H38" s="16">
        <v>73.75</v>
      </c>
      <c r="I38" s="16">
        <v>284.14</v>
      </c>
      <c r="J38" s="16"/>
      <c r="K38" s="16"/>
      <c r="L38" s="16">
        <v>0</v>
      </c>
      <c r="M38" s="16">
        <v>284.14</v>
      </c>
      <c r="N38" s="14"/>
      <c r="O38" s="14"/>
      <c r="P38" s="16">
        <v>0</v>
      </c>
      <c r="Q38" s="16">
        <v>294.52</v>
      </c>
      <c r="R38" s="16">
        <v>294.52</v>
      </c>
      <c r="S38" s="16">
        <v>0.26</v>
      </c>
      <c r="T38" s="16">
        <v>0.25</v>
      </c>
      <c r="U38" s="16">
        <v>0.96499999999999997</v>
      </c>
    </row>
    <row r="39" spans="1:21" ht="15" x14ac:dyDescent="0.25">
      <c r="A39" s="15">
        <v>45090</v>
      </c>
      <c r="B39" s="14" t="s">
        <v>633</v>
      </c>
      <c r="C39" s="14" t="s">
        <v>629</v>
      </c>
      <c r="D39" s="14" t="s">
        <v>693</v>
      </c>
      <c r="E39" s="16">
        <v>13.42</v>
      </c>
      <c r="F39" s="16">
        <v>361.06</v>
      </c>
      <c r="G39" s="16">
        <v>294.26</v>
      </c>
      <c r="H39" s="16">
        <v>66.8</v>
      </c>
      <c r="I39" s="16">
        <v>280.83999999999997</v>
      </c>
      <c r="J39" s="16"/>
      <c r="K39" s="16"/>
      <c r="L39" s="16">
        <v>0</v>
      </c>
      <c r="M39" s="16">
        <v>280.83999999999997</v>
      </c>
      <c r="N39" s="14"/>
      <c r="O39" s="14"/>
      <c r="P39" s="16">
        <v>0</v>
      </c>
      <c r="Q39" s="16">
        <v>294.52</v>
      </c>
      <c r="R39" s="16">
        <v>294.52</v>
      </c>
      <c r="S39" s="16">
        <v>0.23799999999999999</v>
      </c>
      <c r="T39" s="16">
        <v>0.22700000000000001</v>
      </c>
      <c r="U39" s="16">
        <v>0.95399999999999996</v>
      </c>
    </row>
    <row r="40" spans="1:21" ht="15" x14ac:dyDescent="0.25">
      <c r="A40" s="15">
        <v>45090</v>
      </c>
      <c r="B40" s="14" t="s">
        <v>633</v>
      </c>
      <c r="C40" s="14" t="s">
        <v>630</v>
      </c>
      <c r="D40" s="14" t="s">
        <v>692</v>
      </c>
      <c r="E40" s="16">
        <v>13.39</v>
      </c>
      <c r="F40" s="16">
        <v>345.17</v>
      </c>
      <c r="G40" s="16">
        <v>272.89999999999998</v>
      </c>
      <c r="H40" s="16">
        <v>72.27</v>
      </c>
      <c r="I40" s="16">
        <v>259.51</v>
      </c>
      <c r="J40" s="16">
        <v>2.2162000000000002</v>
      </c>
      <c r="K40" s="16">
        <v>4.0617999999999999</v>
      </c>
      <c r="L40" s="16">
        <v>1.8455999999999999</v>
      </c>
      <c r="M40" s="16">
        <v>257.66000000000003</v>
      </c>
      <c r="N40" s="16">
        <v>80</v>
      </c>
      <c r="O40" s="16">
        <v>83.5</v>
      </c>
      <c r="P40" s="16">
        <v>3.5</v>
      </c>
      <c r="Q40" s="16">
        <v>294.52</v>
      </c>
      <c r="R40" s="16">
        <v>291.02</v>
      </c>
      <c r="S40" s="16">
        <v>0.28000000000000003</v>
      </c>
      <c r="T40" s="16">
        <v>0.248</v>
      </c>
      <c r="U40" s="16">
        <v>0.88500000000000001</v>
      </c>
    </row>
    <row r="41" spans="1:21" ht="15" x14ac:dyDescent="0.25">
      <c r="A41" s="15">
        <v>45090</v>
      </c>
      <c r="B41" s="14" t="s">
        <v>633</v>
      </c>
      <c r="C41" s="14" t="s">
        <v>630</v>
      </c>
      <c r="D41" s="14" t="s">
        <v>693</v>
      </c>
      <c r="E41" s="16">
        <v>12.83</v>
      </c>
      <c r="F41" s="16">
        <v>371.13</v>
      </c>
      <c r="G41" s="16">
        <v>298.16000000000003</v>
      </c>
      <c r="H41" s="16">
        <v>72.97</v>
      </c>
      <c r="I41" s="16">
        <v>285.33</v>
      </c>
      <c r="J41" s="16">
        <v>2.2162000000000002</v>
      </c>
      <c r="K41" s="16">
        <v>2.2391000000000001</v>
      </c>
      <c r="L41" s="16">
        <v>2.29E-2</v>
      </c>
      <c r="M41" s="16">
        <v>285.31</v>
      </c>
      <c r="N41" s="16">
        <v>15</v>
      </c>
      <c r="O41" s="16">
        <v>15.1</v>
      </c>
      <c r="P41" s="16">
        <v>0.1</v>
      </c>
      <c r="Q41" s="16">
        <v>294.52</v>
      </c>
      <c r="R41" s="16">
        <v>294.42</v>
      </c>
      <c r="S41" s="16">
        <v>0.25600000000000001</v>
      </c>
      <c r="T41" s="16">
        <v>0.248</v>
      </c>
      <c r="U41" s="16">
        <v>0.96899999999999997</v>
      </c>
    </row>
    <row r="42" spans="1:21" ht="15" x14ac:dyDescent="0.25">
      <c r="A42" s="15">
        <v>45091</v>
      </c>
      <c r="B42" s="14" t="s">
        <v>634</v>
      </c>
      <c r="C42" s="14" t="s">
        <v>626</v>
      </c>
      <c r="D42" s="14" t="s">
        <v>692</v>
      </c>
      <c r="E42" s="16">
        <v>12.77</v>
      </c>
      <c r="F42" s="16">
        <v>334.32</v>
      </c>
      <c r="G42" s="16">
        <v>272.29000000000002</v>
      </c>
      <c r="H42" s="16">
        <v>62.03</v>
      </c>
      <c r="I42" s="16">
        <v>259.52</v>
      </c>
      <c r="J42" s="16">
        <v>2.2162000000000002</v>
      </c>
      <c r="K42" s="16">
        <v>2.3065000000000002</v>
      </c>
      <c r="L42" s="16">
        <v>9.0300000000000005E-2</v>
      </c>
      <c r="M42" s="16">
        <v>259.43</v>
      </c>
      <c r="N42" s="16">
        <v>15</v>
      </c>
      <c r="O42" s="16">
        <v>15.2</v>
      </c>
      <c r="P42" s="16">
        <v>0.2</v>
      </c>
      <c r="Q42" s="16">
        <v>294.52</v>
      </c>
      <c r="R42" s="16">
        <v>294.32</v>
      </c>
      <c r="S42" s="16">
        <v>0.23899999999999999</v>
      </c>
      <c r="T42" s="16">
        <v>0.21099999999999999</v>
      </c>
      <c r="U42" s="16">
        <v>0.88100000000000001</v>
      </c>
    </row>
    <row r="43" spans="1:21" ht="15" x14ac:dyDescent="0.25">
      <c r="A43" s="15">
        <v>45090</v>
      </c>
      <c r="B43" s="14" t="s">
        <v>634</v>
      </c>
      <c r="C43" s="14" t="s">
        <v>626</v>
      </c>
      <c r="D43" s="14" t="s">
        <v>693</v>
      </c>
      <c r="E43" s="16">
        <v>12.86</v>
      </c>
      <c r="F43" s="16">
        <v>487.7</v>
      </c>
      <c r="G43" s="16">
        <v>398.23</v>
      </c>
      <c r="H43" s="16">
        <v>89.47</v>
      </c>
      <c r="I43" s="16">
        <v>385.37</v>
      </c>
      <c r="J43" s="16"/>
      <c r="K43" s="16"/>
      <c r="L43" s="16">
        <v>0</v>
      </c>
      <c r="M43" s="16">
        <v>385.37</v>
      </c>
      <c r="N43" s="14"/>
      <c r="O43" s="14"/>
      <c r="P43" s="16">
        <v>0</v>
      </c>
      <c r="Q43" s="16">
        <v>294.52</v>
      </c>
      <c r="R43" s="16">
        <v>294.52</v>
      </c>
      <c r="S43" s="16">
        <v>0.23200000000000001</v>
      </c>
      <c r="T43" s="16">
        <v>0.30399999999999999</v>
      </c>
      <c r="U43" s="16">
        <v>1.3080000000000001</v>
      </c>
    </row>
    <row r="44" spans="1:21" ht="15" x14ac:dyDescent="0.25">
      <c r="A44" s="15">
        <v>45091</v>
      </c>
      <c r="B44" s="14" t="s">
        <v>634</v>
      </c>
      <c r="C44" s="14" t="s">
        <v>627</v>
      </c>
      <c r="D44" s="14" t="s">
        <v>692</v>
      </c>
      <c r="E44" s="16">
        <v>12.97</v>
      </c>
      <c r="F44" s="16">
        <v>312.5</v>
      </c>
      <c r="G44" s="16">
        <v>245.61</v>
      </c>
      <c r="H44" s="16">
        <v>66.89</v>
      </c>
      <c r="I44" s="16">
        <v>232.64</v>
      </c>
      <c r="J44" s="16">
        <v>2.2162000000000002</v>
      </c>
      <c r="K44" s="16">
        <v>4.3193999999999999</v>
      </c>
      <c r="L44" s="16">
        <v>2.1032000000000002</v>
      </c>
      <c r="M44" s="16">
        <v>230.54</v>
      </c>
      <c r="N44" s="16">
        <v>80</v>
      </c>
      <c r="O44" s="16">
        <v>82</v>
      </c>
      <c r="P44" s="16">
        <v>2</v>
      </c>
      <c r="Q44" s="16">
        <v>294.52</v>
      </c>
      <c r="R44" s="16">
        <v>292.52</v>
      </c>
      <c r="S44" s="16">
        <v>0.28999999999999998</v>
      </c>
      <c r="T44" s="16">
        <v>0.22900000000000001</v>
      </c>
      <c r="U44" s="16">
        <v>0.78800000000000003</v>
      </c>
    </row>
    <row r="45" spans="1:21" ht="15" x14ac:dyDescent="0.25">
      <c r="A45" s="15">
        <v>45091</v>
      </c>
      <c r="B45" s="14" t="s">
        <v>634</v>
      </c>
      <c r="C45" s="14" t="s">
        <v>627</v>
      </c>
      <c r="D45" s="14" t="s">
        <v>693</v>
      </c>
      <c r="E45" s="16">
        <v>12.9</v>
      </c>
      <c r="F45" s="16">
        <v>397.11</v>
      </c>
      <c r="G45" s="16">
        <v>318.66000000000003</v>
      </c>
      <c r="H45" s="16">
        <v>78.45</v>
      </c>
      <c r="I45" s="16">
        <v>305.76</v>
      </c>
      <c r="J45" s="16">
        <v>2.2162000000000002</v>
      </c>
      <c r="K45" s="16">
        <v>2.4876</v>
      </c>
      <c r="L45" s="16">
        <v>0.27139999999999997</v>
      </c>
      <c r="M45" s="16">
        <v>305.49</v>
      </c>
      <c r="N45" s="16">
        <v>15</v>
      </c>
      <c r="O45" s="16">
        <v>15.6</v>
      </c>
      <c r="P45" s="16">
        <v>0.6</v>
      </c>
      <c r="Q45" s="16">
        <v>294.52</v>
      </c>
      <c r="R45" s="16">
        <v>293.92</v>
      </c>
      <c r="S45" s="16">
        <v>0.25700000000000001</v>
      </c>
      <c r="T45" s="16">
        <v>0.26700000000000002</v>
      </c>
      <c r="U45" s="16">
        <v>1.0389999999999999</v>
      </c>
    </row>
    <row r="46" spans="1:21" ht="15" x14ac:dyDescent="0.25">
      <c r="A46" s="15">
        <v>45091</v>
      </c>
      <c r="B46" s="14" t="s">
        <v>634</v>
      </c>
      <c r="C46" s="14" t="s">
        <v>628</v>
      </c>
      <c r="D46" s="14" t="s">
        <v>692</v>
      </c>
      <c r="E46" s="16">
        <v>12.84</v>
      </c>
      <c r="F46" s="16">
        <v>324.99</v>
      </c>
      <c r="G46" s="16">
        <v>260.02999999999997</v>
      </c>
      <c r="H46" s="16">
        <v>64.959999999999994</v>
      </c>
      <c r="I46" s="16">
        <v>247.19</v>
      </c>
      <c r="J46" s="16">
        <v>2.2162000000000002</v>
      </c>
      <c r="K46" s="16">
        <v>4.1029999999999998</v>
      </c>
      <c r="L46" s="16">
        <v>1.8868</v>
      </c>
      <c r="M46" s="16">
        <v>245.3</v>
      </c>
      <c r="N46" s="16">
        <v>80</v>
      </c>
      <c r="O46" s="16">
        <v>84</v>
      </c>
      <c r="P46" s="16">
        <v>4</v>
      </c>
      <c r="Q46" s="16">
        <v>294.52</v>
      </c>
      <c r="R46" s="16">
        <v>290.52</v>
      </c>
      <c r="S46" s="16">
        <v>0.26500000000000001</v>
      </c>
      <c r="T46" s="16">
        <v>0.224</v>
      </c>
      <c r="U46" s="16">
        <v>0.84399999999999997</v>
      </c>
    </row>
    <row r="47" spans="1:21" ht="15" x14ac:dyDescent="0.25">
      <c r="A47" s="15">
        <v>45091</v>
      </c>
      <c r="B47" s="14" t="s">
        <v>634</v>
      </c>
      <c r="C47" s="14" t="s">
        <v>628</v>
      </c>
      <c r="D47" s="14" t="s">
        <v>693</v>
      </c>
      <c r="E47" s="16">
        <v>12.87</v>
      </c>
      <c r="F47" s="16">
        <v>454.3</v>
      </c>
      <c r="G47" s="16">
        <v>364.07</v>
      </c>
      <c r="H47" s="16">
        <v>90.23</v>
      </c>
      <c r="I47" s="16">
        <v>351.2</v>
      </c>
      <c r="J47" s="16">
        <v>2.2162000000000002</v>
      </c>
      <c r="K47" s="16">
        <v>2.3058000000000001</v>
      </c>
      <c r="L47" s="16">
        <v>8.9599999999999999E-2</v>
      </c>
      <c r="M47" s="16">
        <v>351.11</v>
      </c>
      <c r="N47" s="16">
        <v>15</v>
      </c>
      <c r="O47" s="16">
        <v>15.1</v>
      </c>
      <c r="P47" s="16">
        <v>0.1</v>
      </c>
      <c r="Q47" s="16">
        <v>294.52</v>
      </c>
      <c r="R47" s="16">
        <v>294.42</v>
      </c>
      <c r="S47" s="16">
        <v>0.25700000000000001</v>
      </c>
      <c r="T47" s="16">
        <v>0.30599999999999999</v>
      </c>
      <c r="U47" s="16">
        <v>1.1930000000000001</v>
      </c>
    </row>
    <row r="48" spans="1:21" ht="15" x14ac:dyDescent="0.25">
      <c r="A48" s="15">
        <v>45091</v>
      </c>
      <c r="B48" s="14" t="s">
        <v>634</v>
      </c>
      <c r="C48" s="14" t="s">
        <v>629</v>
      </c>
      <c r="D48" s="14" t="s">
        <v>692</v>
      </c>
      <c r="E48" s="16">
        <v>12.9</v>
      </c>
      <c r="F48" s="16">
        <v>312.81</v>
      </c>
      <c r="G48" s="16">
        <v>243.69</v>
      </c>
      <c r="H48" s="16">
        <v>69.12</v>
      </c>
      <c r="I48" s="16">
        <v>230.79</v>
      </c>
      <c r="J48" s="16">
        <v>2.2162000000000002</v>
      </c>
      <c r="K48" s="16">
        <v>4.1026999999999996</v>
      </c>
      <c r="L48" s="16">
        <v>1.8865000000000001</v>
      </c>
      <c r="M48" s="16">
        <v>228.9</v>
      </c>
      <c r="N48" s="16">
        <v>15</v>
      </c>
      <c r="O48" s="16">
        <v>15.2</v>
      </c>
      <c r="P48" s="16">
        <v>0.2</v>
      </c>
      <c r="Q48" s="16">
        <v>294.52</v>
      </c>
      <c r="R48" s="16">
        <v>294.32</v>
      </c>
      <c r="S48" s="16">
        <v>0.30199999999999999</v>
      </c>
      <c r="T48" s="16">
        <v>0.23499999999999999</v>
      </c>
      <c r="U48" s="16">
        <v>0.77800000000000002</v>
      </c>
    </row>
    <row r="49" spans="1:21" ht="15" x14ac:dyDescent="0.25">
      <c r="A49" s="15">
        <v>45091</v>
      </c>
      <c r="B49" s="14" t="s">
        <v>634</v>
      </c>
      <c r="C49" s="14" t="s">
        <v>629</v>
      </c>
      <c r="D49" s="14" t="s">
        <v>693</v>
      </c>
      <c r="E49" s="16">
        <v>12.82</v>
      </c>
      <c r="F49" s="16">
        <v>411.74</v>
      </c>
      <c r="G49" s="16">
        <v>324.99</v>
      </c>
      <c r="H49" s="16">
        <v>86.75</v>
      </c>
      <c r="I49" s="16">
        <v>312.17</v>
      </c>
      <c r="J49" s="16">
        <v>2.2162000000000002</v>
      </c>
      <c r="K49" s="16">
        <v>2.6246999999999998</v>
      </c>
      <c r="L49" s="16">
        <v>0.40849999999999997</v>
      </c>
      <c r="M49" s="16">
        <v>311.76</v>
      </c>
      <c r="N49" s="16">
        <v>80</v>
      </c>
      <c r="O49" s="16">
        <v>81</v>
      </c>
      <c r="P49" s="16">
        <v>1</v>
      </c>
      <c r="Q49" s="16">
        <v>294.52</v>
      </c>
      <c r="R49" s="16">
        <v>293.52</v>
      </c>
      <c r="S49" s="16">
        <v>0.27800000000000002</v>
      </c>
      <c r="T49" s="16">
        <v>0.29599999999999999</v>
      </c>
      <c r="U49" s="16">
        <v>1.0620000000000001</v>
      </c>
    </row>
    <row r="50" spans="1:21" ht="15" x14ac:dyDescent="0.25">
      <c r="A50" s="15">
        <v>45091</v>
      </c>
      <c r="B50" s="14" t="s">
        <v>634</v>
      </c>
      <c r="C50" s="14" t="s">
        <v>630</v>
      </c>
      <c r="D50" s="14" t="s">
        <v>692</v>
      </c>
      <c r="E50" s="16">
        <v>12.77</v>
      </c>
      <c r="F50" s="16">
        <v>325.8</v>
      </c>
      <c r="G50" s="16">
        <v>256.97000000000003</v>
      </c>
      <c r="H50" s="16">
        <v>68.83</v>
      </c>
      <c r="I50" s="16">
        <v>244.2</v>
      </c>
      <c r="J50" s="16">
        <v>2.2162000000000002</v>
      </c>
      <c r="K50" s="16">
        <v>4.5358999999999998</v>
      </c>
      <c r="L50" s="16">
        <v>2.3197000000000001</v>
      </c>
      <c r="M50" s="16">
        <v>241.88</v>
      </c>
      <c r="N50" s="16">
        <v>80</v>
      </c>
      <c r="O50" s="16">
        <v>85</v>
      </c>
      <c r="P50" s="16">
        <v>5</v>
      </c>
      <c r="Q50" s="16">
        <v>294.52</v>
      </c>
      <c r="R50" s="16">
        <v>289.52</v>
      </c>
      <c r="S50" s="16">
        <v>0.28499999999999998</v>
      </c>
      <c r="T50" s="16">
        <v>0.23799999999999999</v>
      </c>
      <c r="U50" s="16">
        <v>0.83499999999999996</v>
      </c>
    </row>
    <row r="51" spans="1:21" ht="15" x14ac:dyDescent="0.25">
      <c r="A51" s="15">
        <v>45091</v>
      </c>
      <c r="B51" s="14" t="s">
        <v>634</v>
      </c>
      <c r="C51" s="14" t="s">
        <v>630</v>
      </c>
      <c r="D51" s="14" t="s">
        <v>693</v>
      </c>
      <c r="E51" s="16">
        <v>12.83</v>
      </c>
      <c r="F51" s="16">
        <v>382.12</v>
      </c>
      <c r="G51" s="16">
        <v>307.8</v>
      </c>
      <c r="H51" s="16">
        <v>74.319999999999993</v>
      </c>
      <c r="I51" s="16">
        <v>294.97000000000003</v>
      </c>
      <c r="J51" s="16">
        <v>2.2162000000000002</v>
      </c>
      <c r="K51" s="16">
        <v>2.2966000000000002</v>
      </c>
      <c r="L51" s="16">
        <v>8.0399999999999999E-2</v>
      </c>
      <c r="M51" s="16">
        <v>294.89</v>
      </c>
      <c r="N51" s="16">
        <v>15</v>
      </c>
      <c r="O51" s="16">
        <v>15.2</v>
      </c>
      <c r="P51" s="16">
        <v>0.2</v>
      </c>
      <c r="Q51" s="16">
        <v>294.52</v>
      </c>
      <c r="R51" s="16">
        <v>294.32</v>
      </c>
      <c r="S51" s="16">
        <v>0.252</v>
      </c>
      <c r="T51" s="16">
        <v>0.253</v>
      </c>
      <c r="U51" s="16">
        <v>1.002</v>
      </c>
    </row>
    <row r="52" spans="1:21" ht="15" x14ac:dyDescent="0.25">
      <c r="A52" s="15">
        <v>45091</v>
      </c>
      <c r="B52" s="14" t="s">
        <v>635</v>
      </c>
      <c r="C52" s="14" t="s">
        <v>626</v>
      </c>
      <c r="D52" s="14" t="s">
        <v>692</v>
      </c>
      <c r="E52" s="16">
        <v>12.79</v>
      </c>
      <c r="F52" s="16">
        <v>333.64</v>
      </c>
      <c r="G52" s="16">
        <v>275.32</v>
      </c>
      <c r="H52" s="16">
        <v>58.32</v>
      </c>
      <c r="I52" s="16">
        <v>262.52999999999997</v>
      </c>
      <c r="J52" s="16">
        <v>2.2162000000000002</v>
      </c>
      <c r="K52" s="16">
        <v>2.6930000000000001</v>
      </c>
      <c r="L52" s="16">
        <v>0.4768</v>
      </c>
      <c r="M52" s="16">
        <v>262.05</v>
      </c>
      <c r="N52" s="16">
        <v>80</v>
      </c>
      <c r="O52" s="16">
        <v>81</v>
      </c>
      <c r="P52" s="16">
        <v>1</v>
      </c>
      <c r="Q52" s="16">
        <v>294.52</v>
      </c>
      <c r="R52" s="16">
        <v>293.52</v>
      </c>
      <c r="S52" s="16">
        <v>0.223</v>
      </c>
      <c r="T52" s="16">
        <v>0.19900000000000001</v>
      </c>
      <c r="U52" s="16">
        <v>0.89300000000000002</v>
      </c>
    </row>
    <row r="53" spans="1:21" ht="15" x14ac:dyDescent="0.25">
      <c r="A53" s="15">
        <v>45091</v>
      </c>
      <c r="B53" s="14" t="s">
        <v>635</v>
      </c>
      <c r="C53" s="14" t="s">
        <v>626</v>
      </c>
      <c r="D53" s="14" t="s">
        <v>693</v>
      </c>
      <c r="E53" s="16">
        <v>12.85</v>
      </c>
      <c r="F53" s="16">
        <v>385.47</v>
      </c>
      <c r="G53" s="16">
        <v>314.93</v>
      </c>
      <c r="H53" s="16">
        <v>70.540000000000006</v>
      </c>
      <c r="I53" s="16">
        <v>302.08</v>
      </c>
      <c r="J53" s="16">
        <v>2.2162000000000002</v>
      </c>
      <c r="K53" s="16">
        <v>4.0762</v>
      </c>
      <c r="L53" s="16">
        <v>1.86</v>
      </c>
      <c r="M53" s="16">
        <v>300.22000000000003</v>
      </c>
      <c r="N53" s="16">
        <v>80</v>
      </c>
      <c r="O53" s="16">
        <v>83.5</v>
      </c>
      <c r="P53" s="16">
        <v>3.5</v>
      </c>
      <c r="Q53" s="16">
        <v>294.52</v>
      </c>
      <c r="R53" s="16">
        <v>291.02</v>
      </c>
      <c r="S53" s="16">
        <v>0.23499999999999999</v>
      </c>
      <c r="T53" s="16">
        <v>0.24199999999999999</v>
      </c>
      <c r="U53" s="16">
        <v>1.032</v>
      </c>
    </row>
    <row r="54" spans="1:21" ht="15" x14ac:dyDescent="0.25">
      <c r="A54" s="15">
        <v>45091</v>
      </c>
      <c r="B54" s="14" t="s">
        <v>635</v>
      </c>
      <c r="C54" s="14" t="s">
        <v>627</v>
      </c>
      <c r="D54" s="14" t="s">
        <v>692</v>
      </c>
      <c r="E54" s="16">
        <v>12.84</v>
      </c>
      <c r="F54" s="16">
        <v>346.2</v>
      </c>
      <c r="G54" s="16">
        <v>275.32</v>
      </c>
      <c r="H54" s="16">
        <v>70.88</v>
      </c>
      <c r="I54" s="16">
        <v>262.48</v>
      </c>
      <c r="J54" s="16">
        <v>2.2162000000000002</v>
      </c>
      <c r="K54" s="16">
        <v>2.6414</v>
      </c>
      <c r="L54" s="16">
        <v>0.42520000000000002</v>
      </c>
      <c r="M54" s="16">
        <v>262.05</v>
      </c>
      <c r="N54" s="16">
        <v>15</v>
      </c>
      <c r="O54" s="16">
        <v>15.5</v>
      </c>
      <c r="P54" s="16">
        <v>0.5</v>
      </c>
      <c r="Q54" s="16">
        <v>294.52</v>
      </c>
      <c r="R54" s="16">
        <v>294.02</v>
      </c>
      <c r="S54" s="16">
        <v>0.27</v>
      </c>
      <c r="T54" s="16">
        <v>0.24099999999999999</v>
      </c>
      <c r="U54" s="16">
        <v>0.89100000000000001</v>
      </c>
    </row>
    <row r="55" spans="1:21" ht="15" x14ac:dyDescent="0.25">
      <c r="A55" s="15">
        <v>45091</v>
      </c>
      <c r="B55" s="14" t="s">
        <v>635</v>
      </c>
      <c r="C55" s="14" t="s">
        <v>627</v>
      </c>
      <c r="D55" s="14" t="s">
        <v>693</v>
      </c>
      <c r="E55" s="16">
        <v>12.89</v>
      </c>
      <c r="F55" s="16">
        <v>341.45</v>
      </c>
      <c r="G55" s="16">
        <v>276.79000000000002</v>
      </c>
      <c r="H55" s="16">
        <v>64.66</v>
      </c>
      <c r="I55" s="16">
        <v>263.89999999999998</v>
      </c>
      <c r="J55" s="16">
        <v>2.2162000000000002</v>
      </c>
      <c r="K55" s="16">
        <v>2.5829</v>
      </c>
      <c r="L55" s="16">
        <v>0.36670000000000003</v>
      </c>
      <c r="M55" s="16">
        <v>263.52999999999997</v>
      </c>
      <c r="N55" s="16">
        <v>80</v>
      </c>
      <c r="O55" s="16">
        <v>81</v>
      </c>
      <c r="P55" s="16">
        <v>1</v>
      </c>
      <c r="Q55" s="16">
        <v>294.52</v>
      </c>
      <c r="R55" s="16">
        <v>293.52</v>
      </c>
      <c r="S55" s="16">
        <v>0.245</v>
      </c>
      <c r="T55" s="16">
        <v>0.22</v>
      </c>
      <c r="U55" s="16">
        <v>0.89800000000000002</v>
      </c>
    </row>
    <row r="56" spans="1:21" ht="15" x14ac:dyDescent="0.25">
      <c r="A56" s="15">
        <v>45091</v>
      </c>
      <c r="B56" s="14" t="s">
        <v>635</v>
      </c>
      <c r="C56" s="14" t="s">
        <v>628</v>
      </c>
      <c r="D56" s="14" t="s">
        <v>692</v>
      </c>
      <c r="E56" s="16">
        <v>12.83</v>
      </c>
      <c r="F56" s="16">
        <v>333.03</v>
      </c>
      <c r="G56" s="16">
        <v>277.66000000000003</v>
      </c>
      <c r="H56" s="16">
        <v>55.37</v>
      </c>
      <c r="I56" s="16">
        <v>264.83</v>
      </c>
      <c r="J56" s="16">
        <v>2.2162000000000002</v>
      </c>
      <c r="K56" s="16">
        <v>3.085</v>
      </c>
      <c r="L56" s="16">
        <v>0.86880000000000002</v>
      </c>
      <c r="M56" s="16">
        <v>263.95999999999998</v>
      </c>
      <c r="N56" s="16">
        <v>80</v>
      </c>
      <c r="O56" s="16">
        <v>82</v>
      </c>
      <c r="P56" s="16">
        <v>2</v>
      </c>
      <c r="Q56" s="16">
        <v>294.52</v>
      </c>
      <c r="R56" s="16">
        <v>292.52</v>
      </c>
      <c r="S56" s="16">
        <v>0.21</v>
      </c>
      <c r="T56" s="16">
        <v>0.189</v>
      </c>
      <c r="U56" s="16">
        <v>0.90200000000000002</v>
      </c>
    </row>
    <row r="57" spans="1:21" ht="15" x14ac:dyDescent="0.25">
      <c r="A57" s="15">
        <v>45091</v>
      </c>
      <c r="B57" s="14" t="s">
        <v>635</v>
      </c>
      <c r="C57" s="14" t="s">
        <v>628</v>
      </c>
      <c r="D57" s="14" t="s">
        <v>693</v>
      </c>
      <c r="E57" s="16">
        <v>12.94</v>
      </c>
      <c r="F57" s="16">
        <v>345.64</v>
      </c>
      <c r="G57" s="16">
        <v>280.83</v>
      </c>
      <c r="H57" s="16">
        <v>64.81</v>
      </c>
      <c r="I57" s="16">
        <v>267.89</v>
      </c>
      <c r="J57" s="16">
        <v>2.2162000000000002</v>
      </c>
      <c r="K57" s="16">
        <v>2.7696000000000001</v>
      </c>
      <c r="L57" s="16">
        <v>0.5534</v>
      </c>
      <c r="M57" s="16">
        <v>267.33999999999997</v>
      </c>
      <c r="N57" s="16">
        <v>80</v>
      </c>
      <c r="O57" s="16">
        <v>80.900000000000006</v>
      </c>
      <c r="P57" s="16">
        <v>0.9</v>
      </c>
      <c r="Q57" s="16">
        <v>294.52</v>
      </c>
      <c r="R57" s="16">
        <v>293.62</v>
      </c>
      <c r="S57" s="16">
        <v>0.24199999999999999</v>
      </c>
      <c r="T57" s="16">
        <v>0.221</v>
      </c>
      <c r="U57" s="16">
        <v>0.91</v>
      </c>
    </row>
    <row r="58" spans="1:21" ht="15" x14ac:dyDescent="0.25">
      <c r="A58" s="15">
        <v>45091</v>
      </c>
      <c r="B58" s="14" t="s">
        <v>635</v>
      </c>
      <c r="C58" s="14" t="s">
        <v>629</v>
      </c>
      <c r="D58" s="14" t="s">
        <v>692</v>
      </c>
      <c r="E58" s="16">
        <v>12.84</v>
      </c>
      <c r="F58" s="16">
        <v>349.75</v>
      </c>
      <c r="G58" s="16">
        <v>281.82</v>
      </c>
      <c r="H58" s="16">
        <v>67.930000000000007</v>
      </c>
      <c r="I58" s="16">
        <v>268.98</v>
      </c>
      <c r="J58" s="16">
        <v>2.2162000000000002</v>
      </c>
      <c r="K58" s="16">
        <v>2.6505999999999998</v>
      </c>
      <c r="L58" s="16">
        <v>0.43440000000000001</v>
      </c>
      <c r="M58" s="16">
        <v>268.55</v>
      </c>
      <c r="N58" s="16">
        <v>80</v>
      </c>
      <c r="O58" s="16">
        <v>80.5</v>
      </c>
      <c r="P58" s="16">
        <v>0.5</v>
      </c>
      <c r="Q58" s="16">
        <v>294.52</v>
      </c>
      <c r="R58" s="16">
        <v>294.02</v>
      </c>
      <c r="S58" s="16">
        <v>0.253</v>
      </c>
      <c r="T58" s="16">
        <v>0.23100000000000001</v>
      </c>
      <c r="U58" s="16">
        <v>0.91300000000000003</v>
      </c>
    </row>
    <row r="59" spans="1:21" ht="15" x14ac:dyDescent="0.25">
      <c r="A59" s="15">
        <v>45091</v>
      </c>
      <c r="B59" s="14" t="s">
        <v>635</v>
      </c>
      <c r="C59" s="14" t="s">
        <v>629</v>
      </c>
      <c r="D59" s="14" t="s">
        <v>693</v>
      </c>
      <c r="E59" s="16">
        <v>12.83</v>
      </c>
      <c r="F59" s="16">
        <v>193.62</v>
      </c>
      <c r="G59" s="16">
        <v>153.33000000000001</v>
      </c>
      <c r="H59" s="16">
        <v>40.29</v>
      </c>
      <c r="I59" s="16">
        <v>140.5</v>
      </c>
      <c r="J59" s="16">
        <v>2.2162000000000002</v>
      </c>
      <c r="K59" s="16">
        <v>6.6395</v>
      </c>
      <c r="L59" s="16">
        <v>4.4233000000000002</v>
      </c>
      <c r="M59" s="16">
        <v>136.08000000000001</v>
      </c>
      <c r="N59" s="16">
        <v>15</v>
      </c>
      <c r="O59" s="16">
        <v>17</v>
      </c>
      <c r="P59" s="16">
        <v>2</v>
      </c>
      <c r="Q59" s="16">
        <v>294.52</v>
      </c>
      <c r="R59" s="16">
        <v>292.52</v>
      </c>
      <c r="S59" s="16">
        <v>0.29599999999999999</v>
      </c>
      <c r="T59" s="16">
        <v>0.13800000000000001</v>
      </c>
      <c r="U59" s="16">
        <v>0.46500000000000002</v>
      </c>
    </row>
    <row r="60" spans="1:21" ht="15" x14ac:dyDescent="0.25">
      <c r="A60" s="15">
        <v>45091</v>
      </c>
      <c r="B60" s="14" t="s">
        <v>635</v>
      </c>
      <c r="C60" s="14" t="s">
        <v>630</v>
      </c>
      <c r="D60" s="14" t="s">
        <v>692</v>
      </c>
      <c r="E60" s="16">
        <v>13.03</v>
      </c>
      <c r="F60" s="16">
        <v>311.86</v>
      </c>
      <c r="G60" s="16">
        <v>254.84</v>
      </c>
      <c r="H60" s="16">
        <v>57.02</v>
      </c>
      <c r="I60" s="16">
        <v>241.81</v>
      </c>
      <c r="J60" s="16">
        <v>2.2162000000000002</v>
      </c>
      <c r="K60" s="16">
        <v>2.7092999999999998</v>
      </c>
      <c r="L60" s="16">
        <v>0.49309999999999998</v>
      </c>
      <c r="M60" s="16">
        <v>241.32</v>
      </c>
      <c r="N60" s="16">
        <v>80</v>
      </c>
      <c r="O60" s="16">
        <v>81.5</v>
      </c>
      <c r="P60" s="16">
        <v>1.5</v>
      </c>
      <c r="Q60" s="16">
        <v>294.52</v>
      </c>
      <c r="R60" s="16">
        <v>293.02</v>
      </c>
      <c r="S60" s="16">
        <v>0.23599999999999999</v>
      </c>
      <c r="T60" s="16">
        <v>0.19500000000000001</v>
      </c>
      <c r="U60" s="16">
        <v>0.82399999999999995</v>
      </c>
    </row>
    <row r="61" spans="1:21" ht="15" x14ac:dyDescent="0.25">
      <c r="A61" s="15">
        <v>45091</v>
      </c>
      <c r="B61" s="14" t="s">
        <v>635</v>
      </c>
      <c r="C61" s="14" t="s">
        <v>630</v>
      </c>
      <c r="D61" s="14" t="s">
        <v>693</v>
      </c>
      <c r="E61" s="16">
        <v>12.93</v>
      </c>
      <c r="F61" s="16">
        <v>276.83999999999997</v>
      </c>
      <c r="G61" s="16">
        <v>224.26</v>
      </c>
      <c r="H61" s="16">
        <v>52.58</v>
      </c>
      <c r="I61" s="16">
        <v>211.33</v>
      </c>
      <c r="J61" s="16">
        <v>2.2162000000000002</v>
      </c>
      <c r="K61" s="16">
        <v>4.3651</v>
      </c>
      <c r="L61" s="16">
        <v>2.1488999999999998</v>
      </c>
      <c r="M61" s="16">
        <v>209.18</v>
      </c>
      <c r="N61" s="16">
        <v>80</v>
      </c>
      <c r="O61" s="16">
        <v>81.5</v>
      </c>
      <c r="P61" s="16">
        <v>1.5</v>
      </c>
      <c r="Q61" s="16">
        <v>294.52</v>
      </c>
      <c r="R61" s="16">
        <v>293.02</v>
      </c>
      <c r="S61" s="16">
        <v>0.251</v>
      </c>
      <c r="T61" s="16">
        <v>0.17899999999999999</v>
      </c>
      <c r="U61" s="16">
        <v>0.71399999999999997</v>
      </c>
    </row>
    <row r="62" spans="1:21" ht="15" x14ac:dyDescent="0.25">
      <c r="A62" s="15">
        <v>45089</v>
      </c>
      <c r="B62" s="14" t="s">
        <v>636</v>
      </c>
      <c r="C62" s="14" t="s">
        <v>626</v>
      </c>
      <c r="D62" s="14" t="s">
        <v>692</v>
      </c>
      <c r="E62" s="16">
        <v>12.77</v>
      </c>
      <c r="F62" s="16">
        <v>348</v>
      </c>
      <c r="G62" s="16">
        <v>275.38</v>
      </c>
      <c r="H62" s="16">
        <v>72.62</v>
      </c>
      <c r="I62" s="16">
        <v>262.61</v>
      </c>
      <c r="J62" s="16">
        <v>2.2162000000000002</v>
      </c>
      <c r="K62" s="16">
        <v>2.8130000000000002</v>
      </c>
      <c r="L62" s="16">
        <v>0.5968</v>
      </c>
      <c r="M62" s="16">
        <v>262.01</v>
      </c>
      <c r="N62" s="16">
        <v>80</v>
      </c>
      <c r="O62" s="16">
        <v>82.5</v>
      </c>
      <c r="P62" s="16">
        <v>2.5</v>
      </c>
      <c r="Q62" s="16">
        <v>294.52</v>
      </c>
      <c r="R62" s="16">
        <v>292.02</v>
      </c>
      <c r="S62" s="16">
        <v>0.27700000000000002</v>
      </c>
      <c r="T62" s="16">
        <v>0.249</v>
      </c>
      <c r="U62" s="16">
        <v>0.89700000000000002</v>
      </c>
    </row>
    <row r="63" spans="1:21" ht="15" x14ac:dyDescent="0.25">
      <c r="A63" s="15">
        <v>45089</v>
      </c>
      <c r="B63" s="14" t="s">
        <v>636</v>
      </c>
      <c r="C63" s="14" t="s">
        <v>626</v>
      </c>
      <c r="D63" s="14" t="s">
        <v>693</v>
      </c>
      <c r="E63" s="16">
        <v>12.95</v>
      </c>
      <c r="F63" s="16">
        <v>398.97</v>
      </c>
      <c r="G63" s="16">
        <v>315.58999999999997</v>
      </c>
      <c r="H63" s="16">
        <v>83.38</v>
      </c>
      <c r="I63" s="16">
        <v>302.64</v>
      </c>
      <c r="J63" s="16">
        <v>2.2162000000000002</v>
      </c>
      <c r="K63" s="16">
        <v>3.8289</v>
      </c>
      <c r="L63" s="16">
        <v>1.6127</v>
      </c>
      <c r="M63" s="16">
        <v>301.02999999999997</v>
      </c>
      <c r="N63" s="16">
        <v>15</v>
      </c>
      <c r="O63" s="16">
        <v>17.899999999999999</v>
      </c>
      <c r="P63" s="16">
        <v>2.9</v>
      </c>
      <c r="Q63" s="16">
        <v>294.52</v>
      </c>
      <c r="R63" s="16">
        <v>291.62</v>
      </c>
      <c r="S63" s="16">
        <v>0.27700000000000002</v>
      </c>
      <c r="T63" s="16">
        <v>0.28599999999999998</v>
      </c>
      <c r="U63" s="16">
        <v>1.032</v>
      </c>
    </row>
    <row r="64" spans="1:21" ht="15" x14ac:dyDescent="0.25">
      <c r="A64" s="15">
        <v>45089</v>
      </c>
      <c r="B64" s="14" t="s">
        <v>636</v>
      </c>
      <c r="C64" s="14" t="s">
        <v>627</v>
      </c>
      <c r="D64" s="14" t="s">
        <v>692</v>
      </c>
      <c r="E64" s="16">
        <v>12.9</v>
      </c>
      <c r="F64" s="16">
        <v>332.67</v>
      </c>
      <c r="G64" s="16">
        <v>262.76</v>
      </c>
      <c r="H64" s="16">
        <v>69.91</v>
      </c>
      <c r="I64" s="16">
        <v>249.86</v>
      </c>
      <c r="J64" s="16">
        <v>2.2162000000000002</v>
      </c>
      <c r="K64" s="16">
        <v>3.9276</v>
      </c>
      <c r="L64" s="16">
        <v>1.7114</v>
      </c>
      <c r="M64" s="16">
        <v>248.15</v>
      </c>
      <c r="N64" s="16">
        <v>80</v>
      </c>
      <c r="O64" s="16">
        <v>84</v>
      </c>
      <c r="P64" s="16">
        <v>4</v>
      </c>
      <c r="Q64" s="16">
        <v>294.52</v>
      </c>
      <c r="R64" s="16">
        <v>290.52</v>
      </c>
      <c r="S64" s="16">
        <v>0.28199999999999997</v>
      </c>
      <c r="T64" s="16">
        <v>0.24099999999999999</v>
      </c>
      <c r="U64" s="16">
        <v>0.85399999999999998</v>
      </c>
    </row>
    <row r="65" spans="1:21" ht="15" x14ac:dyDescent="0.25">
      <c r="A65" s="15">
        <v>45089</v>
      </c>
      <c r="B65" s="14" t="s">
        <v>636</v>
      </c>
      <c r="C65" s="14" t="s">
        <v>627</v>
      </c>
      <c r="D65" s="14" t="s">
        <v>693</v>
      </c>
      <c r="E65" s="16">
        <v>12.86</v>
      </c>
      <c r="F65" s="16">
        <v>462.64</v>
      </c>
      <c r="G65" s="16">
        <v>364.9</v>
      </c>
      <c r="H65" s="16">
        <v>97.74</v>
      </c>
      <c r="I65" s="16">
        <v>352.04</v>
      </c>
      <c r="J65" s="16">
        <v>2.2162000000000002</v>
      </c>
      <c r="K65" s="16">
        <v>3.1236000000000002</v>
      </c>
      <c r="L65" s="16">
        <v>0.90739999999999998</v>
      </c>
      <c r="M65" s="16">
        <v>351.13</v>
      </c>
      <c r="N65" s="16">
        <v>80</v>
      </c>
      <c r="O65" s="16">
        <v>82</v>
      </c>
      <c r="P65" s="16">
        <v>2</v>
      </c>
      <c r="Q65" s="16">
        <v>294.52</v>
      </c>
      <c r="R65" s="16">
        <v>292.52</v>
      </c>
      <c r="S65" s="16">
        <v>0.27800000000000002</v>
      </c>
      <c r="T65" s="16">
        <v>0.33400000000000002</v>
      </c>
      <c r="U65" s="16">
        <v>1.2</v>
      </c>
    </row>
    <row r="66" spans="1:21" ht="15" x14ac:dyDescent="0.25">
      <c r="A66" s="15">
        <v>45089</v>
      </c>
      <c r="B66" s="14" t="s">
        <v>636</v>
      </c>
      <c r="C66" s="14" t="s">
        <v>628</v>
      </c>
      <c r="D66" s="14" t="s">
        <v>692</v>
      </c>
      <c r="E66" s="16">
        <v>12.79</v>
      </c>
      <c r="F66" s="16">
        <v>323.51</v>
      </c>
      <c r="G66" s="16">
        <v>250.11</v>
      </c>
      <c r="H66" s="16">
        <v>73.400000000000006</v>
      </c>
      <c r="I66" s="16">
        <v>237.32</v>
      </c>
      <c r="J66" s="16"/>
      <c r="K66" s="16"/>
      <c r="L66" s="16">
        <v>0</v>
      </c>
      <c r="M66" s="16">
        <v>237.32</v>
      </c>
      <c r="N66" s="14"/>
      <c r="O66" s="14"/>
      <c r="P66" s="16">
        <v>0</v>
      </c>
      <c r="Q66" s="16">
        <v>294.52</v>
      </c>
      <c r="R66" s="16">
        <v>294.52</v>
      </c>
      <c r="S66" s="16">
        <v>0.309</v>
      </c>
      <c r="T66" s="16">
        <v>0.249</v>
      </c>
      <c r="U66" s="16">
        <v>0.80600000000000005</v>
      </c>
    </row>
    <row r="67" spans="1:21" ht="15" x14ac:dyDescent="0.25">
      <c r="A67" s="15">
        <v>45089</v>
      </c>
      <c r="B67" s="14" t="s">
        <v>636</v>
      </c>
      <c r="C67" s="14" t="s">
        <v>628</v>
      </c>
      <c r="D67" s="14" t="s">
        <v>693</v>
      </c>
      <c r="E67" s="16">
        <v>12.83</v>
      </c>
      <c r="F67" s="16">
        <v>379.12</v>
      </c>
      <c r="G67" s="16">
        <v>294</v>
      </c>
      <c r="H67" s="16">
        <v>85.12</v>
      </c>
      <c r="I67" s="16">
        <v>281.17</v>
      </c>
      <c r="J67" s="16">
        <v>2.2162000000000002</v>
      </c>
      <c r="K67" s="16">
        <v>2.9940000000000002</v>
      </c>
      <c r="L67" s="16">
        <v>0.77780000000000005</v>
      </c>
      <c r="M67" s="16">
        <v>280.39</v>
      </c>
      <c r="N67" s="16">
        <v>80</v>
      </c>
      <c r="O67" s="16">
        <v>81</v>
      </c>
      <c r="P67" s="16">
        <v>1</v>
      </c>
      <c r="Q67" s="16">
        <v>294.52</v>
      </c>
      <c r="R67" s="16">
        <v>293.52</v>
      </c>
      <c r="S67" s="16">
        <v>0.30399999999999999</v>
      </c>
      <c r="T67" s="16">
        <v>0.28999999999999998</v>
      </c>
      <c r="U67" s="16">
        <v>0.95499999999999996</v>
      </c>
    </row>
    <row r="68" spans="1:21" ht="15" x14ac:dyDescent="0.25">
      <c r="A68" s="15">
        <v>45089</v>
      </c>
      <c r="B68" s="14" t="s">
        <v>636</v>
      </c>
      <c r="C68" s="14" t="s">
        <v>629</v>
      </c>
      <c r="D68" s="14" t="s">
        <v>692</v>
      </c>
      <c r="E68" s="16">
        <v>12.84</v>
      </c>
      <c r="F68" s="16">
        <v>353.46</v>
      </c>
      <c r="G68" s="16">
        <v>271.51</v>
      </c>
      <c r="H68" s="16">
        <v>81.95</v>
      </c>
      <c r="I68" s="16">
        <v>258.67</v>
      </c>
      <c r="J68" s="16">
        <v>2.2162000000000002</v>
      </c>
      <c r="K68" s="16">
        <v>2.9996999999999998</v>
      </c>
      <c r="L68" s="16">
        <v>0.78349999999999997</v>
      </c>
      <c r="M68" s="16">
        <v>257.89</v>
      </c>
      <c r="N68" s="16">
        <v>80</v>
      </c>
      <c r="O68" s="16">
        <v>81.5</v>
      </c>
      <c r="P68" s="16">
        <v>1.5</v>
      </c>
      <c r="Q68" s="16">
        <v>294.52</v>
      </c>
      <c r="R68" s="16">
        <v>293.02</v>
      </c>
      <c r="S68" s="16">
        <v>0.318</v>
      </c>
      <c r="T68" s="16">
        <v>0.28000000000000003</v>
      </c>
      <c r="U68" s="16">
        <v>0.88</v>
      </c>
    </row>
    <row r="69" spans="1:21" ht="15" x14ac:dyDescent="0.25">
      <c r="A69" s="15">
        <v>45089</v>
      </c>
      <c r="B69" s="14" t="s">
        <v>636</v>
      </c>
      <c r="C69" s="14" t="s">
        <v>629</v>
      </c>
      <c r="D69" s="14" t="s">
        <v>693</v>
      </c>
      <c r="E69" s="16">
        <v>13.35</v>
      </c>
      <c r="F69" s="16">
        <v>398.88</v>
      </c>
      <c r="G69" s="16">
        <v>312.36</v>
      </c>
      <c r="H69" s="16">
        <v>86.52</v>
      </c>
      <c r="I69" s="16">
        <v>299.01</v>
      </c>
      <c r="J69" s="16">
        <v>2.2162000000000002</v>
      </c>
      <c r="K69" s="16">
        <v>7.3262</v>
      </c>
      <c r="L69" s="16">
        <v>5.1100000000000003</v>
      </c>
      <c r="M69" s="16">
        <v>293.89999999999998</v>
      </c>
      <c r="N69" s="16">
        <v>180</v>
      </c>
      <c r="O69" s="16">
        <v>190</v>
      </c>
      <c r="P69" s="16">
        <v>10</v>
      </c>
      <c r="Q69" s="16">
        <v>294.52</v>
      </c>
      <c r="R69" s="16">
        <v>284.52</v>
      </c>
      <c r="S69" s="16">
        <v>0.29399999999999998</v>
      </c>
      <c r="T69" s="16">
        <v>0.30399999999999999</v>
      </c>
      <c r="U69" s="16">
        <v>1.0329999999999999</v>
      </c>
    </row>
    <row r="70" spans="1:21" ht="15" x14ac:dyDescent="0.25">
      <c r="A70" s="15">
        <v>45089</v>
      </c>
      <c r="B70" s="14" t="s">
        <v>636</v>
      </c>
      <c r="C70" s="14" t="s">
        <v>630</v>
      </c>
      <c r="D70" s="14" t="s">
        <v>692</v>
      </c>
      <c r="E70" s="16">
        <v>12.85</v>
      </c>
      <c r="F70" s="16">
        <v>339.24</v>
      </c>
      <c r="G70" s="16">
        <v>271.47000000000003</v>
      </c>
      <c r="H70" s="16">
        <v>67.77</v>
      </c>
      <c r="I70" s="16">
        <v>258.62</v>
      </c>
      <c r="J70" s="16">
        <v>2.2162000000000002</v>
      </c>
      <c r="K70" s="16">
        <v>2.5699000000000001</v>
      </c>
      <c r="L70" s="16">
        <v>0.35370000000000001</v>
      </c>
      <c r="M70" s="16">
        <v>258.27</v>
      </c>
      <c r="N70" s="16">
        <v>15</v>
      </c>
      <c r="O70" s="16">
        <v>15.5</v>
      </c>
      <c r="P70" s="16">
        <v>0.5</v>
      </c>
      <c r="Q70" s="16">
        <v>294.52</v>
      </c>
      <c r="R70" s="16">
        <v>294.02</v>
      </c>
      <c r="S70" s="16">
        <v>0.26200000000000001</v>
      </c>
      <c r="T70" s="16">
        <v>0.23</v>
      </c>
      <c r="U70" s="16">
        <v>0.878</v>
      </c>
    </row>
    <row r="71" spans="1:21" ht="15" x14ac:dyDescent="0.25">
      <c r="A71" s="15">
        <v>45089</v>
      </c>
      <c r="B71" s="14" t="s">
        <v>636</v>
      </c>
      <c r="C71" s="14" t="s">
        <v>630</v>
      </c>
      <c r="D71" s="14" t="s">
        <v>693</v>
      </c>
      <c r="E71" s="16">
        <v>12.84</v>
      </c>
      <c r="F71" s="19">
        <v>429.11</v>
      </c>
      <c r="G71" s="16">
        <v>343.55</v>
      </c>
      <c r="H71" s="16">
        <v>85.56</v>
      </c>
      <c r="I71" s="16">
        <v>330.71</v>
      </c>
      <c r="J71" s="16">
        <v>2.2162000000000002</v>
      </c>
      <c r="K71" s="16">
        <v>3.7654000000000001</v>
      </c>
      <c r="L71" s="16">
        <v>1.5491999999999999</v>
      </c>
      <c r="M71" s="16">
        <v>329.16</v>
      </c>
      <c r="N71" s="16">
        <v>80</v>
      </c>
      <c r="O71" s="16">
        <v>84.5</v>
      </c>
      <c r="P71" s="16">
        <v>4.5</v>
      </c>
      <c r="Q71" s="16">
        <v>294.52</v>
      </c>
      <c r="R71" s="16">
        <v>290.02</v>
      </c>
      <c r="S71" s="16">
        <v>0.26</v>
      </c>
      <c r="T71" s="16">
        <v>0.29499999999999998</v>
      </c>
      <c r="U71" s="16">
        <v>1.135</v>
      </c>
    </row>
    <row r="72" spans="1:21" ht="15" x14ac:dyDescent="0.25">
      <c r="A72" s="15">
        <v>45090</v>
      </c>
      <c r="B72" s="14" t="s">
        <v>637</v>
      </c>
      <c r="C72" s="14" t="s">
        <v>626</v>
      </c>
      <c r="D72" s="14" t="s">
        <v>692</v>
      </c>
      <c r="E72" s="16">
        <v>12.9</v>
      </c>
      <c r="F72" s="16">
        <v>333.03</v>
      </c>
      <c r="G72" s="16">
        <v>273.95</v>
      </c>
      <c r="H72" s="16">
        <v>59.08</v>
      </c>
      <c r="I72" s="16">
        <v>261.05</v>
      </c>
      <c r="J72" s="16">
        <v>2.2162000000000002</v>
      </c>
      <c r="K72" s="16">
        <v>2.2162000000000002</v>
      </c>
      <c r="L72" s="16">
        <v>0</v>
      </c>
      <c r="M72" s="16">
        <v>261.05</v>
      </c>
      <c r="N72" s="14"/>
      <c r="O72" s="14"/>
      <c r="P72" s="16">
        <v>0</v>
      </c>
      <c r="Q72" s="16">
        <v>294.52</v>
      </c>
      <c r="R72" s="16">
        <v>294.52</v>
      </c>
      <c r="S72" s="16">
        <v>0.22600000000000001</v>
      </c>
      <c r="T72" s="16">
        <v>0.20100000000000001</v>
      </c>
      <c r="U72" s="16">
        <v>0.88600000000000001</v>
      </c>
    </row>
    <row r="73" spans="1:21" ht="15" x14ac:dyDescent="0.25">
      <c r="A73" s="15">
        <v>45090</v>
      </c>
      <c r="B73" s="14" t="s">
        <v>637</v>
      </c>
      <c r="C73" s="14" t="s">
        <v>626</v>
      </c>
      <c r="D73" s="14" t="s">
        <v>693</v>
      </c>
      <c r="E73" s="16">
        <v>12.82</v>
      </c>
      <c r="F73" s="16">
        <v>319.66000000000003</v>
      </c>
      <c r="G73" s="16">
        <v>262.60000000000002</v>
      </c>
      <c r="H73" s="16">
        <v>57.06</v>
      </c>
      <c r="I73" s="16">
        <v>249.78</v>
      </c>
      <c r="J73" s="16">
        <v>2.2162000000000002</v>
      </c>
      <c r="K73" s="16">
        <v>2.2326000000000001</v>
      </c>
      <c r="L73" s="16">
        <v>1.6400000000000001E-2</v>
      </c>
      <c r="M73" s="16">
        <v>249.76</v>
      </c>
      <c r="N73" s="16">
        <v>15</v>
      </c>
      <c r="O73" s="16">
        <v>15.2</v>
      </c>
      <c r="P73" s="16">
        <v>0.2</v>
      </c>
      <c r="Q73" s="16">
        <v>294.52</v>
      </c>
      <c r="R73" s="16">
        <v>294.32</v>
      </c>
      <c r="S73" s="16">
        <v>0.22800000000000001</v>
      </c>
      <c r="T73" s="16">
        <v>0.19400000000000001</v>
      </c>
      <c r="U73" s="16">
        <v>0.84899999999999998</v>
      </c>
    </row>
    <row r="74" spans="1:21" ht="15" x14ac:dyDescent="0.25">
      <c r="A74" s="15">
        <v>45090</v>
      </c>
      <c r="B74" s="14" t="s">
        <v>637</v>
      </c>
      <c r="C74" s="14" t="s">
        <v>627</v>
      </c>
      <c r="D74" s="14" t="s">
        <v>692</v>
      </c>
      <c r="E74" s="16">
        <v>12.9</v>
      </c>
      <c r="F74" s="16">
        <v>336.01</v>
      </c>
      <c r="G74" s="16">
        <v>274.7</v>
      </c>
      <c r="H74" s="16">
        <v>61.31</v>
      </c>
      <c r="I74" s="16">
        <v>261.8</v>
      </c>
      <c r="J74" s="16">
        <v>2.2162000000000002</v>
      </c>
      <c r="K74" s="16">
        <v>2.4540000000000002</v>
      </c>
      <c r="L74" s="16">
        <v>0.23780000000000001</v>
      </c>
      <c r="M74" s="16">
        <v>261.56</v>
      </c>
      <c r="N74" s="16">
        <v>15</v>
      </c>
      <c r="O74" s="16">
        <v>15.4</v>
      </c>
      <c r="P74" s="16">
        <v>0.4</v>
      </c>
      <c r="Q74" s="16">
        <v>294.52</v>
      </c>
      <c r="R74" s="16">
        <v>294.12</v>
      </c>
      <c r="S74" s="16">
        <v>0.23400000000000001</v>
      </c>
      <c r="T74" s="16">
        <v>0.20799999999999999</v>
      </c>
      <c r="U74" s="16">
        <v>0.88900000000000001</v>
      </c>
    </row>
    <row r="75" spans="1:21" ht="15" x14ac:dyDescent="0.25">
      <c r="A75" s="15">
        <v>45090</v>
      </c>
      <c r="B75" s="14" t="s">
        <v>637</v>
      </c>
      <c r="C75" s="14" t="s">
        <v>627</v>
      </c>
      <c r="D75" s="14" t="s">
        <v>693</v>
      </c>
      <c r="E75" s="16">
        <v>12.95</v>
      </c>
      <c r="F75" s="16">
        <v>389.59</v>
      </c>
      <c r="G75" s="16">
        <v>315.48</v>
      </c>
      <c r="H75" s="16">
        <v>74.11</v>
      </c>
      <c r="I75" s="16">
        <v>302.52999999999997</v>
      </c>
      <c r="J75" s="16"/>
      <c r="K75" s="16"/>
      <c r="L75" s="16">
        <v>0</v>
      </c>
      <c r="M75" s="16">
        <v>302.52999999999997</v>
      </c>
      <c r="N75" s="14"/>
      <c r="O75" s="14"/>
      <c r="P75" s="16">
        <v>0</v>
      </c>
      <c r="Q75" s="16">
        <v>294.52</v>
      </c>
      <c r="R75" s="16">
        <v>294.52</v>
      </c>
      <c r="S75" s="16">
        <v>0.245</v>
      </c>
      <c r="T75" s="16">
        <v>0.252</v>
      </c>
      <c r="U75" s="16">
        <v>1.0269999999999999</v>
      </c>
    </row>
    <row r="76" spans="1:21" ht="15" x14ac:dyDescent="0.25">
      <c r="A76" s="15">
        <v>45090</v>
      </c>
      <c r="B76" s="14" t="s">
        <v>637</v>
      </c>
      <c r="C76" s="14" t="s">
        <v>628</v>
      </c>
      <c r="D76" s="14" t="s">
        <v>692</v>
      </c>
      <c r="E76" s="16">
        <v>12.88</v>
      </c>
      <c r="F76" s="16">
        <v>367.74</v>
      </c>
      <c r="G76" s="16">
        <v>303.83</v>
      </c>
      <c r="H76" s="16">
        <v>63.91</v>
      </c>
      <c r="I76" s="16">
        <v>290.95</v>
      </c>
      <c r="J76" s="16">
        <v>2.2162000000000002</v>
      </c>
      <c r="K76" s="16">
        <v>3.0366</v>
      </c>
      <c r="L76" s="16">
        <v>0.82040000000000002</v>
      </c>
      <c r="M76" s="16">
        <v>290.13</v>
      </c>
      <c r="N76" s="16">
        <v>80</v>
      </c>
      <c r="O76" s="16">
        <v>81.5</v>
      </c>
      <c r="P76" s="16">
        <v>1.5</v>
      </c>
      <c r="Q76" s="16">
        <v>294.52</v>
      </c>
      <c r="R76" s="16">
        <v>293.02</v>
      </c>
      <c r="S76" s="16">
        <v>0.22</v>
      </c>
      <c r="T76" s="16">
        <v>0.218</v>
      </c>
      <c r="U76" s="16">
        <v>0.99</v>
      </c>
    </row>
    <row r="77" spans="1:21" ht="15" x14ac:dyDescent="0.25">
      <c r="A77" s="15">
        <v>45090</v>
      </c>
      <c r="B77" s="14" t="s">
        <v>637</v>
      </c>
      <c r="C77" s="14" t="s">
        <v>628</v>
      </c>
      <c r="D77" s="14" t="s">
        <v>693</v>
      </c>
      <c r="E77" s="16">
        <v>12.87</v>
      </c>
      <c r="F77" s="16">
        <v>388.98</v>
      </c>
      <c r="G77" s="16">
        <v>314.31</v>
      </c>
      <c r="H77" s="16">
        <v>74.67</v>
      </c>
      <c r="I77" s="16">
        <v>301.44</v>
      </c>
      <c r="J77" s="16">
        <v>2.2162000000000002</v>
      </c>
      <c r="K77" s="16">
        <v>2.3609</v>
      </c>
      <c r="L77" s="16">
        <v>0.1447</v>
      </c>
      <c r="M77" s="16">
        <v>301.3</v>
      </c>
      <c r="N77" s="16">
        <v>15</v>
      </c>
      <c r="O77" s="16">
        <v>15.3</v>
      </c>
      <c r="P77" s="16">
        <v>0.3</v>
      </c>
      <c r="Q77" s="16">
        <v>294.52</v>
      </c>
      <c r="R77" s="16">
        <v>294.22000000000003</v>
      </c>
      <c r="S77" s="16">
        <v>0.248</v>
      </c>
      <c r="T77" s="16">
        <v>0.254</v>
      </c>
      <c r="U77" s="16">
        <v>1.024</v>
      </c>
    </row>
    <row r="78" spans="1:21" ht="15" x14ac:dyDescent="0.25">
      <c r="A78" s="15">
        <v>45090</v>
      </c>
      <c r="B78" s="14" t="s">
        <v>637</v>
      </c>
      <c r="C78" s="14" t="s">
        <v>629</v>
      </c>
      <c r="D78" s="14" t="s">
        <v>692</v>
      </c>
      <c r="E78" s="16">
        <v>12.75</v>
      </c>
      <c r="F78" s="16">
        <v>359.82</v>
      </c>
      <c r="G78" s="16">
        <v>295.12</v>
      </c>
      <c r="H78" s="16">
        <v>64.7</v>
      </c>
      <c r="I78" s="16">
        <v>282.37</v>
      </c>
      <c r="J78" s="16"/>
      <c r="K78" s="16"/>
      <c r="L78" s="16">
        <v>0</v>
      </c>
      <c r="M78" s="16">
        <v>282.37</v>
      </c>
      <c r="N78" s="14"/>
      <c r="O78" s="14"/>
      <c r="P78" s="16">
        <v>0</v>
      </c>
      <c r="Q78" s="16">
        <v>294.52</v>
      </c>
      <c r="R78" s="16">
        <v>294.52</v>
      </c>
      <c r="S78" s="16">
        <v>0.22900000000000001</v>
      </c>
      <c r="T78" s="16">
        <v>0.22</v>
      </c>
      <c r="U78" s="16">
        <v>0.95899999999999996</v>
      </c>
    </row>
    <row r="79" spans="1:21" ht="15" x14ac:dyDescent="0.25">
      <c r="A79" s="15">
        <v>45090</v>
      </c>
      <c r="B79" s="14" t="s">
        <v>637</v>
      </c>
      <c r="C79" s="14" t="s">
        <v>629</v>
      </c>
      <c r="D79" s="14" t="s">
        <v>693</v>
      </c>
      <c r="E79" s="16">
        <v>12.75</v>
      </c>
      <c r="F79" s="16">
        <v>372.59</v>
      </c>
      <c r="G79" s="16">
        <v>302.02</v>
      </c>
      <c r="H79" s="16">
        <v>70.569999999999993</v>
      </c>
      <c r="I79" s="16">
        <v>289.27</v>
      </c>
      <c r="J79" s="16">
        <v>2.2162000000000002</v>
      </c>
      <c r="K79" s="16">
        <v>2.7667999999999999</v>
      </c>
      <c r="L79" s="16">
        <v>0.55059999999999998</v>
      </c>
      <c r="M79" s="16">
        <v>288.72000000000003</v>
      </c>
      <c r="N79" s="16">
        <v>80</v>
      </c>
      <c r="O79" s="16">
        <v>81</v>
      </c>
      <c r="P79" s="16">
        <v>1</v>
      </c>
      <c r="Q79" s="16">
        <v>294.52</v>
      </c>
      <c r="R79" s="16">
        <v>293.52</v>
      </c>
      <c r="S79" s="16">
        <v>0.24399999999999999</v>
      </c>
      <c r="T79" s="16">
        <v>0.24</v>
      </c>
      <c r="U79" s="16">
        <v>0.98399999999999999</v>
      </c>
    </row>
    <row r="80" spans="1:21" ht="15" x14ac:dyDescent="0.25">
      <c r="A80" s="15">
        <v>45090</v>
      </c>
      <c r="B80" s="14" t="s">
        <v>637</v>
      </c>
      <c r="C80" s="14" t="s">
        <v>630</v>
      </c>
      <c r="D80" s="14" t="s">
        <v>692</v>
      </c>
      <c r="E80" s="16">
        <v>12.86</v>
      </c>
      <c r="F80" s="16">
        <v>327.02</v>
      </c>
      <c r="G80" s="16">
        <v>268.60000000000002</v>
      </c>
      <c r="H80" s="16">
        <v>58.42</v>
      </c>
      <c r="I80" s="16">
        <v>255.74</v>
      </c>
      <c r="J80" s="16">
        <v>2.2162000000000002</v>
      </c>
      <c r="K80" s="16">
        <v>2.4784000000000002</v>
      </c>
      <c r="L80" s="16">
        <v>0.26219999999999999</v>
      </c>
      <c r="M80" s="16">
        <v>255.48</v>
      </c>
      <c r="N80" s="16">
        <v>15</v>
      </c>
      <c r="O80" s="16">
        <v>15.3</v>
      </c>
      <c r="P80" s="16">
        <v>0.3</v>
      </c>
      <c r="Q80" s="16">
        <v>294.52</v>
      </c>
      <c r="R80" s="16">
        <v>294.22000000000003</v>
      </c>
      <c r="S80" s="16">
        <v>0.22900000000000001</v>
      </c>
      <c r="T80" s="16">
        <v>0.19900000000000001</v>
      </c>
      <c r="U80" s="16">
        <v>0.86799999999999999</v>
      </c>
    </row>
    <row r="81" spans="1:21" ht="15" x14ac:dyDescent="0.25">
      <c r="A81" s="15">
        <v>45090</v>
      </c>
      <c r="B81" s="14" t="s">
        <v>637</v>
      </c>
      <c r="C81" s="14" t="s">
        <v>630</v>
      </c>
      <c r="D81" s="14" t="s">
        <v>693</v>
      </c>
      <c r="E81" s="16">
        <v>12.8</v>
      </c>
      <c r="F81" s="16">
        <v>373.01</v>
      </c>
      <c r="G81" s="16">
        <v>302.76</v>
      </c>
      <c r="H81" s="16">
        <v>70.25</v>
      </c>
      <c r="I81" s="16">
        <v>289.95999999999998</v>
      </c>
      <c r="J81" s="16">
        <v>2.2162000000000002</v>
      </c>
      <c r="K81" s="16">
        <v>3.2462</v>
      </c>
      <c r="L81" s="16">
        <v>1.03</v>
      </c>
      <c r="M81" s="16">
        <v>288.93</v>
      </c>
      <c r="N81" s="16">
        <v>80</v>
      </c>
      <c r="O81" s="16">
        <v>81.5</v>
      </c>
      <c r="P81" s="16">
        <v>1.5</v>
      </c>
      <c r="Q81" s="16">
        <v>294.52</v>
      </c>
      <c r="R81" s="16">
        <v>293.02</v>
      </c>
      <c r="S81" s="16">
        <v>0.24299999999999999</v>
      </c>
      <c r="T81" s="16">
        <v>0.24</v>
      </c>
      <c r="U81" s="16">
        <v>0.98599999999999999</v>
      </c>
    </row>
    <row r="82" spans="1:21" ht="15" x14ac:dyDescent="0.25">
      <c r="A82" s="15">
        <v>45090</v>
      </c>
      <c r="B82" s="14" t="s">
        <v>638</v>
      </c>
      <c r="C82" s="14" t="s">
        <v>626</v>
      </c>
      <c r="D82" s="14" t="s">
        <v>692</v>
      </c>
      <c r="E82" s="16">
        <v>13.43</v>
      </c>
      <c r="F82" s="16">
        <v>325.64999999999998</v>
      </c>
      <c r="G82" s="16">
        <v>256.16000000000003</v>
      </c>
      <c r="H82" s="16">
        <v>69.489999999999995</v>
      </c>
      <c r="I82" s="16">
        <v>242.73</v>
      </c>
      <c r="J82" s="16">
        <v>2.2162000000000002</v>
      </c>
      <c r="K82" s="16">
        <v>3.8609</v>
      </c>
      <c r="L82" s="16">
        <v>1.6447000000000001</v>
      </c>
      <c r="M82" s="16">
        <v>241.09</v>
      </c>
      <c r="N82" s="16">
        <v>80</v>
      </c>
      <c r="O82" s="16">
        <v>86</v>
      </c>
      <c r="P82" s="16">
        <v>6</v>
      </c>
      <c r="Q82" s="16">
        <v>294.52</v>
      </c>
      <c r="R82" s="16">
        <v>288.52</v>
      </c>
      <c r="S82" s="16">
        <v>0.28799999999999998</v>
      </c>
      <c r="T82" s="16">
        <v>0.24099999999999999</v>
      </c>
      <c r="U82" s="16">
        <v>0.83599999999999997</v>
      </c>
    </row>
    <row r="83" spans="1:21" ht="15" x14ac:dyDescent="0.25">
      <c r="A83" s="15">
        <v>45090</v>
      </c>
      <c r="B83" s="14" t="s">
        <v>638</v>
      </c>
      <c r="C83" s="14" t="s">
        <v>626</v>
      </c>
      <c r="D83" s="14" t="s">
        <v>693</v>
      </c>
      <c r="E83" s="16">
        <v>13.41</v>
      </c>
      <c r="F83" s="16">
        <v>319.08</v>
      </c>
      <c r="G83" s="16">
        <v>261.29000000000002</v>
      </c>
      <c r="H83" s="16">
        <v>57.79</v>
      </c>
      <c r="I83" s="16">
        <v>247.88</v>
      </c>
      <c r="J83" s="16">
        <v>2.2162000000000002</v>
      </c>
      <c r="K83" s="16">
        <v>2.5266000000000002</v>
      </c>
      <c r="L83" s="16">
        <v>0.31040000000000001</v>
      </c>
      <c r="M83" s="16">
        <v>247.57</v>
      </c>
      <c r="N83" s="16">
        <v>15</v>
      </c>
      <c r="O83" s="16">
        <v>15.6</v>
      </c>
      <c r="P83" s="16">
        <v>0.6</v>
      </c>
      <c r="Q83" s="16">
        <v>294.52</v>
      </c>
      <c r="R83" s="16">
        <v>293.92</v>
      </c>
      <c r="S83" s="16">
        <v>0.23300000000000001</v>
      </c>
      <c r="T83" s="16">
        <v>0.19700000000000001</v>
      </c>
      <c r="U83" s="16">
        <v>0.84199999999999997</v>
      </c>
    </row>
    <row r="84" spans="1:21" ht="15" x14ac:dyDescent="0.25">
      <c r="A84" s="15">
        <v>45090</v>
      </c>
      <c r="B84" s="14" t="s">
        <v>638</v>
      </c>
      <c r="C84" s="14" t="s">
        <v>627</v>
      </c>
      <c r="D84" s="14" t="s">
        <v>692</v>
      </c>
      <c r="E84" s="16">
        <v>13.05</v>
      </c>
      <c r="F84" s="16">
        <v>358.8</v>
      </c>
      <c r="G84" s="16">
        <v>300.76</v>
      </c>
      <c r="H84" s="16">
        <v>58.04</v>
      </c>
      <c r="I84" s="16">
        <v>287.70999999999998</v>
      </c>
      <c r="J84" s="16">
        <v>2.2162000000000002</v>
      </c>
      <c r="K84" s="16">
        <v>2.9634999999999998</v>
      </c>
      <c r="L84" s="16">
        <v>0.74729999999999996</v>
      </c>
      <c r="M84" s="16">
        <v>286.95999999999998</v>
      </c>
      <c r="N84" s="16">
        <v>80</v>
      </c>
      <c r="O84" s="16">
        <v>81</v>
      </c>
      <c r="P84" s="16">
        <v>1</v>
      </c>
      <c r="Q84" s="16">
        <v>294.52</v>
      </c>
      <c r="R84" s="16">
        <v>293.52</v>
      </c>
      <c r="S84" s="16">
        <v>0.20200000000000001</v>
      </c>
      <c r="T84" s="16">
        <v>0.19800000000000001</v>
      </c>
      <c r="U84" s="16">
        <v>0.97799999999999998</v>
      </c>
    </row>
    <row r="85" spans="1:21" ht="15" x14ac:dyDescent="0.25">
      <c r="A85" s="15">
        <v>45090</v>
      </c>
      <c r="B85" s="14" t="s">
        <v>638</v>
      </c>
      <c r="C85" s="14" t="s">
        <v>627</v>
      </c>
      <c r="D85" s="14" t="s">
        <v>693</v>
      </c>
      <c r="E85" s="16">
        <v>12.92</v>
      </c>
      <c r="F85" s="16">
        <v>297.47000000000003</v>
      </c>
      <c r="G85" s="16">
        <v>247.85</v>
      </c>
      <c r="H85" s="16">
        <v>49.62</v>
      </c>
      <c r="I85" s="16">
        <v>234.93</v>
      </c>
      <c r="J85" s="16">
        <v>2.2162000000000002</v>
      </c>
      <c r="K85" s="16">
        <v>2.2942999999999998</v>
      </c>
      <c r="L85" s="16">
        <v>7.8100000000000003E-2</v>
      </c>
      <c r="M85" s="16">
        <v>234.85</v>
      </c>
      <c r="N85" s="16">
        <v>15</v>
      </c>
      <c r="O85" s="16">
        <v>15.2</v>
      </c>
      <c r="P85" s="16">
        <v>0.2</v>
      </c>
      <c r="Q85" s="16">
        <v>294.52</v>
      </c>
      <c r="R85" s="16">
        <v>294.32</v>
      </c>
      <c r="S85" s="16">
        <v>0.21099999999999999</v>
      </c>
      <c r="T85" s="16">
        <v>0.16900000000000001</v>
      </c>
      <c r="U85" s="16">
        <v>0.79800000000000004</v>
      </c>
    </row>
    <row r="86" spans="1:21" ht="15" x14ac:dyDescent="0.25">
      <c r="A86" s="15">
        <v>45090</v>
      </c>
      <c r="B86" s="14" t="s">
        <v>638</v>
      </c>
      <c r="C86" s="14" t="s">
        <v>628</v>
      </c>
      <c r="D86" s="14" t="s">
        <v>692</v>
      </c>
      <c r="E86" s="16">
        <v>13.5</v>
      </c>
      <c r="F86" s="16">
        <v>372.71</v>
      </c>
      <c r="G86" s="16">
        <v>297.70999999999998</v>
      </c>
      <c r="H86" s="16">
        <v>75</v>
      </c>
      <c r="I86" s="16">
        <v>284.20999999999998</v>
      </c>
      <c r="J86" s="16">
        <v>2.2162000000000002</v>
      </c>
      <c r="K86" s="16">
        <v>2.2805</v>
      </c>
      <c r="L86" s="16">
        <v>6.4299999999999996E-2</v>
      </c>
      <c r="M86" s="16">
        <v>284.14999999999998</v>
      </c>
      <c r="N86" s="16">
        <v>15</v>
      </c>
      <c r="O86" s="16">
        <v>15.2</v>
      </c>
      <c r="P86" s="16">
        <v>0.2</v>
      </c>
      <c r="Q86" s="16">
        <v>294.52</v>
      </c>
      <c r="R86" s="16">
        <v>294.32</v>
      </c>
      <c r="S86" s="16">
        <v>0.26400000000000001</v>
      </c>
      <c r="T86" s="16">
        <v>0.255</v>
      </c>
      <c r="U86" s="16">
        <v>0.96499999999999997</v>
      </c>
    </row>
    <row r="87" spans="1:21" ht="15" x14ac:dyDescent="0.25">
      <c r="A87" s="15">
        <v>45090</v>
      </c>
      <c r="B87" s="14" t="s">
        <v>638</v>
      </c>
      <c r="C87" s="14" t="s">
        <v>628</v>
      </c>
      <c r="D87" s="14" t="s">
        <v>693</v>
      </c>
      <c r="E87" s="16">
        <v>12.96</v>
      </c>
      <c r="F87" s="16">
        <v>400.6</v>
      </c>
      <c r="G87" s="16">
        <v>326.63</v>
      </c>
      <c r="H87" s="16">
        <v>73.97</v>
      </c>
      <c r="I87" s="16">
        <v>313.67</v>
      </c>
      <c r="J87" s="16">
        <v>2.2162000000000002</v>
      </c>
      <c r="K87" s="16">
        <v>2.3860999999999999</v>
      </c>
      <c r="L87" s="16">
        <v>0.1699</v>
      </c>
      <c r="M87" s="16">
        <v>313.5</v>
      </c>
      <c r="N87" s="16">
        <v>15</v>
      </c>
      <c r="O87" s="16">
        <v>15.2</v>
      </c>
      <c r="P87" s="16">
        <v>0.2</v>
      </c>
      <c r="Q87" s="16">
        <v>294.52</v>
      </c>
      <c r="R87" s="16">
        <v>294.32</v>
      </c>
      <c r="S87" s="16">
        <v>0.23599999999999999</v>
      </c>
      <c r="T87" s="16">
        <v>0.251</v>
      </c>
      <c r="U87" s="16">
        <v>1.0649999999999999</v>
      </c>
    </row>
    <row r="88" spans="1:21" ht="15" x14ac:dyDescent="0.25">
      <c r="A88" s="15">
        <v>45090</v>
      </c>
      <c r="B88" s="14" t="s">
        <v>638</v>
      </c>
      <c r="C88" s="14" t="s">
        <v>629</v>
      </c>
      <c r="D88" s="14" t="s">
        <v>692</v>
      </c>
      <c r="E88" s="16">
        <v>13.41</v>
      </c>
      <c r="F88" s="16">
        <v>307.76</v>
      </c>
      <c r="G88" s="16">
        <v>244.74</v>
      </c>
      <c r="H88" s="16">
        <v>63.02</v>
      </c>
      <c r="I88" s="16">
        <v>231.33</v>
      </c>
      <c r="J88" s="16">
        <v>2.2162000000000002</v>
      </c>
      <c r="K88" s="16">
        <v>3.3315999999999999</v>
      </c>
      <c r="L88" s="16">
        <v>1.1153999999999999</v>
      </c>
      <c r="M88" s="16">
        <v>230.21</v>
      </c>
      <c r="N88" s="16">
        <v>80</v>
      </c>
      <c r="O88" s="16">
        <v>82.5</v>
      </c>
      <c r="P88" s="16">
        <v>2.5</v>
      </c>
      <c r="Q88" s="16">
        <v>294.52</v>
      </c>
      <c r="R88" s="16">
        <v>292.02</v>
      </c>
      <c r="S88" s="16">
        <v>0.27400000000000002</v>
      </c>
      <c r="T88" s="16">
        <v>0.216</v>
      </c>
      <c r="U88" s="16">
        <v>0.78800000000000003</v>
      </c>
    </row>
    <row r="89" spans="1:21" ht="15" x14ac:dyDescent="0.25">
      <c r="A89" s="15">
        <v>45090</v>
      </c>
      <c r="B89" s="14" t="s">
        <v>638</v>
      </c>
      <c r="C89" s="14" t="s">
        <v>629</v>
      </c>
      <c r="D89" s="14" t="s">
        <v>693</v>
      </c>
      <c r="E89" s="16">
        <v>13.45</v>
      </c>
      <c r="F89" s="16">
        <v>267.26</v>
      </c>
      <c r="G89" s="16">
        <v>216.15</v>
      </c>
      <c r="H89" s="16">
        <v>51.11</v>
      </c>
      <c r="I89" s="16">
        <v>202.7</v>
      </c>
      <c r="J89" s="16">
        <v>2.2162000000000002</v>
      </c>
      <c r="K89" s="16">
        <v>6.5453999999999999</v>
      </c>
      <c r="L89" s="16">
        <v>4.3292000000000002</v>
      </c>
      <c r="M89" s="16">
        <v>198.37</v>
      </c>
      <c r="N89" s="16">
        <v>180</v>
      </c>
      <c r="O89" s="16">
        <v>188</v>
      </c>
      <c r="P89" s="16">
        <v>8</v>
      </c>
      <c r="Q89" s="16">
        <v>294.52</v>
      </c>
      <c r="R89" s="16">
        <v>286.52</v>
      </c>
      <c r="S89" s="16">
        <v>0.25800000000000001</v>
      </c>
      <c r="T89" s="16">
        <v>0.17799999999999999</v>
      </c>
      <c r="U89" s="16">
        <v>0.69199999999999995</v>
      </c>
    </row>
    <row r="90" spans="1:21" ht="15" x14ac:dyDescent="0.25">
      <c r="A90" s="15">
        <v>45090</v>
      </c>
      <c r="B90" s="14" t="s">
        <v>638</v>
      </c>
      <c r="C90" s="14" t="s">
        <v>630</v>
      </c>
      <c r="D90" s="14" t="s">
        <v>692</v>
      </c>
      <c r="E90" s="16">
        <v>13.07</v>
      </c>
      <c r="F90" s="16">
        <v>353.13</v>
      </c>
      <c r="G90" s="16">
        <v>288.23</v>
      </c>
      <c r="H90" s="16">
        <v>64.900000000000006</v>
      </c>
      <c r="I90" s="16">
        <v>275.16000000000003</v>
      </c>
      <c r="J90" s="16">
        <v>2.2162000000000002</v>
      </c>
      <c r="K90" s="16">
        <v>2.4523999999999999</v>
      </c>
      <c r="L90" s="16">
        <v>0.23619999999999999</v>
      </c>
      <c r="M90" s="16">
        <v>274.92</v>
      </c>
      <c r="N90" s="16">
        <v>15</v>
      </c>
      <c r="O90" s="16">
        <v>15.3</v>
      </c>
      <c r="P90" s="16">
        <v>0.3</v>
      </c>
      <c r="Q90" s="16">
        <v>294.52</v>
      </c>
      <c r="R90" s="16">
        <v>294.22000000000003</v>
      </c>
      <c r="S90" s="16">
        <v>0.23599999999999999</v>
      </c>
      <c r="T90" s="16">
        <v>0.221</v>
      </c>
      <c r="U90" s="16">
        <v>0.93400000000000005</v>
      </c>
    </row>
    <row r="91" spans="1:21" ht="15" x14ac:dyDescent="0.25">
      <c r="A91" s="15">
        <v>45090</v>
      </c>
      <c r="B91" s="14" t="s">
        <v>638</v>
      </c>
      <c r="C91" s="14" t="s">
        <v>630</v>
      </c>
      <c r="D91" s="14" t="s">
        <v>693</v>
      </c>
      <c r="E91" s="16">
        <v>12.74</v>
      </c>
      <c r="F91" s="16">
        <v>337.22</v>
      </c>
      <c r="G91" s="16">
        <v>277.44</v>
      </c>
      <c r="H91" s="16">
        <v>59.78</v>
      </c>
      <c r="I91" s="16">
        <v>264.7</v>
      </c>
      <c r="J91" s="16">
        <v>2.2162000000000002</v>
      </c>
      <c r="K91" s="16">
        <v>2.2822</v>
      </c>
      <c r="L91" s="16">
        <v>6.6000000000000003E-2</v>
      </c>
      <c r="M91" s="16">
        <v>264.63</v>
      </c>
      <c r="N91" s="16">
        <v>15</v>
      </c>
      <c r="O91" s="16">
        <v>15.3</v>
      </c>
      <c r="P91" s="16">
        <v>0.3</v>
      </c>
      <c r="Q91" s="16">
        <v>294.52</v>
      </c>
      <c r="R91" s="16">
        <v>294.22000000000003</v>
      </c>
      <c r="S91" s="16">
        <v>0.22600000000000001</v>
      </c>
      <c r="T91" s="16">
        <v>0.20300000000000001</v>
      </c>
      <c r="U91" s="16">
        <v>0.89900000000000002</v>
      </c>
    </row>
    <row r="92" spans="1:21" ht="15" x14ac:dyDescent="0.25">
      <c r="A92" s="15">
        <v>45091</v>
      </c>
      <c r="B92" s="14" t="s">
        <v>640</v>
      </c>
      <c r="C92" s="14" t="s">
        <v>626</v>
      </c>
      <c r="D92" s="14" t="s">
        <v>692</v>
      </c>
      <c r="E92" s="16">
        <v>13.1</v>
      </c>
      <c r="F92" s="16">
        <v>316.5</v>
      </c>
      <c r="G92" s="16">
        <v>226.11</v>
      </c>
      <c r="H92" s="16">
        <v>90.39</v>
      </c>
      <c r="I92" s="16">
        <v>213.01</v>
      </c>
      <c r="J92" s="16">
        <v>2.2162000000000002</v>
      </c>
      <c r="K92" s="16">
        <v>2.5305</v>
      </c>
      <c r="L92" s="16">
        <v>0.31430000000000002</v>
      </c>
      <c r="M92" s="16">
        <v>212.7</v>
      </c>
      <c r="N92" s="16">
        <v>80</v>
      </c>
      <c r="O92" s="16">
        <v>86</v>
      </c>
      <c r="P92" s="16">
        <v>6</v>
      </c>
      <c r="Q92" s="16">
        <v>294.52</v>
      </c>
      <c r="R92" s="16">
        <v>288.52</v>
      </c>
      <c r="S92" s="16">
        <v>0.42499999999999999</v>
      </c>
      <c r="T92" s="16">
        <v>0.313</v>
      </c>
      <c r="U92" s="16">
        <v>0.73699999999999999</v>
      </c>
    </row>
    <row r="93" spans="1:21" ht="15" x14ac:dyDescent="0.25">
      <c r="A93" s="15">
        <v>45091</v>
      </c>
      <c r="B93" s="14" t="s">
        <v>640</v>
      </c>
      <c r="C93" s="14" t="s">
        <v>626</v>
      </c>
      <c r="D93" s="14" t="s">
        <v>693</v>
      </c>
      <c r="E93" s="16">
        <v>12.9</v>
      </c>
      <c r="F93" s="16">
        <v>356.05</v>
      </c>
      <c r="G93" s="16">
        <v>264.10000000000002</v>
      </c>
      <c r="H93" s="16">
        <v>91.95</v>
      </c>
      <c r="I93" s="16">
        <v>251.2</v>
      </c>
      <c r="J93" s="16">
        <v>2.2162000000000002</v>
      </c>
      <c r="K93" s="16">
        <v>2.8351000000000002</v>
      </c>
      <c r="L93" s="16">
        <v>0.61890000000000001</v>
      </c>
      <c r="M93" s="16">
        <v>250.58</v>
      </c>
      <c r="N93" s="16">
        <v>80</v>
      </c>
      <c r="O93" s="16">
        <v>82</v>
      </c>
      <c r="P93" s="16">
        <v>2</v>
      </c>
      <c r="Q93" s="16">
        <v>294.52</v>
      </c>
      <c r="R93" s="16">
        <v>292.52</v>
      </c>
      <c r="S93" s="16">
        <v>0.36699999999999999</v>
      </c>
      <c r="T93" s="16">
        <v>0.314</v>
      </c>
      <c r="U93" s="16">
        <v>0.85699999999999998</v>
      </c>
    </row>
    <row r="94" spans="1:21" ht="15" x14ac:dyDescent="0.25">
      <c r="A94" s="15">
        <v>45091</v>
      </c>
      <c r="B94" s="14" t="s">
        <v>640</v>
      </c>
      <c r="C94" s="14" t="s">
        <v>627</v>
      </c>
      <c r="D94" s="14" t="s">
        <v>692</v>
      </c>
      <c r="E94" s="16">
        <v>12.91</v>
      </c>
      <c r="F94" s="16">
        <v>358.93</v>
      </c>
      <c r="G94" s="16">
        <v>279.70999999999998</v>
      </c>
      <c r="H94" s="16">
        <v>79.22</v>
      </c>
      <c r="I94" s="16">
        <v>266.8</v>
      </c>
      <c r="J94" s="16">
        <v>2.2162000000000002</v>
      </c>
      <c r="K94" s="16">
        <v>2.2294999999999998</v>
      </c>
      <c r="L94" s="16">
        <v>1.3299999999999999E-2</v>
      </c>
      <c r="M94" s="16">
        <v>266.79000000000002</v>
      </c>
      <c r="N94" s="16">
        <v>80</v>
      </c>
      <c r="O94" s="16">
        <v>80.099999999999994</v>
      </c>
      <c r="P94" s="16">
        <v>0.1</v>
      </c>
      <c r="Q94" s="16">
        <v>294.52</v>
      </c>
      <c r="R94" s="16">
        <v>294.42</v>
      </c>
      <c r="S94" s="16">
        <v>0.29699999999999999</v>
      </c>
      <c r="T94" s="16">
        <v>0.26900000000000002</v>
      </c>
      <c r="U94" s="16">
        <v>0.90600000000000003</v>
      </c>
    </row>
    <row r="95" spans="1:21" ht="15" x14ac:dyDescent="0.25">
      <c r="A95" s="15">
        <v>45091</v>
      </c>
      <c r="B95" s="14" t="s">
        <v>640</v>
      </c>
      <c r="C95" s="14" t="s">
        <v>627</v>
      </c>
      <c r="D95" s="14" t="s">
        <v>693</v>
      </c>
      <c r="E95" s="16">
        <v>12.85</v>
      </c>
      <c r="F95" s="16">
        <v>329.87</v>
      </c>
      <c r="G95" s="16">
        <v>259.26</v>
      </c>
      <c r="H95" s="16">
        <v>70.61</v>
      </c>
      <c r="I95" s="16">
        <v>246.41</v>
      </c>
      <c r="J95" s="16">
        <v>2.2162000000000002</v>
      </c>
      <c r="K95" s="16">
        <v>2.2551000000000001</v>
      </c>
      <c r="L95" s="16">
        <v>3.8899999999999997E-2</v>
      </c>
      <c r="M95" s="16">
        <v>246.37</v>
      </c>
      <c r="N95" s="16">
        <v>80</v>
      </c>
      <c r="O95" s="16">
        <v>80.5</v>
      </c>
      <c r="P95" s="16">
        <v>0.5</v>
      </c>
      <c r="Q95" s="16">
        <v>294.52</v>
      </c>
      <c r="R95" s="16">
        <v>294.02</v>
      </c>
      <c r="S95" s="16">
        <v>0.28699999999999998</v>
      </c>
      <c r="T95" s="16">
        <v>0.24</v>
      </c>
      <c r="U95" s="16">
        <v>0.83799999999999997</v>
      </c>
    </row>
    <row r="96" spans="1:21" ht="15" x14ac:dyDescent="0.25">
      <c r="A96" s="15">
        <v>45091</v>
      </c>
      <c r="B96" s="14" t="s">
        <v>640</v>
      </c>
      <c r="C96" s="14" t="s">
        <v>628</v>
      </c>
      <c r="D96" s="14" t="s">
        <v>692</v>
      </c>
      <c r="E96" s="16">
        <v>13</v>
      </c>
      <c r="F96" s="16">
        <v>355.81</v>
      </c>
      <c r="G96" s="16">
        <v>276.93</v>
      </c>
      <c r="H96" s="16">
        <v>78.88</v>
      </c>
      <c r="I96" s="16">
        <v>263.93</v>
      </c>
      <c r="J96" s="16">
        <v>2.2162000000000002</v>
      </c>
      <c r="K96" s="16">
        <v>2.5476000000000001</v>
      </c>
      <c r="L96" s="16">
        <v>0.33139999999999997</v>
      </c>
      <c r="M96" s="16">
        <v>263.60000000000002</v>
      </c>
      <c r="N96" s="16">
        <v>80</v>
      </c>
      <c r="O96" s="16">
        <v>81.5</v>
      </c>
      <c r="P96" s="16">
        <v>1.5</v>
      </c>
      <c r="Q96" s="16">
        <v>294.52</v>
      </c>
      <c r="R96" s="16">
        <v>293.02</v>
      </c>
      <c r="S96" s="16">
        <v>0.29899999999999999</v>
      </c>
      <c r="T96" s="16">
        <v>0.26900000000000002</v>
      </c>
      <c r="U96" s="16">
        <v>0.9</v>
      </c>
    </row>
    <row r="97" spans="1:21" ht="15" x14ac:dyDescent="0.25">
      <c r="A97" s="15">
        <v>45091</v>
      </c>
      <c r="B97" s="14" t="s">
        <v>640</v>
      </c>
      <c r="C97" s="14" t="s">
        <v>628</v>
      </c>
      <c r="D97" s="14" t="s">
        <v>693</v>
      </c>
      <c r="E97" s="16">
        <v>12.95</v>
      </c>
      <c r="F97" s="16">
        <v>300.95999999999998</v>
      </c>
      <c r="G97" s="16">
        <v>230.44</v>
      </c>
      <c r="H97" s="16">
        <v>70.52</v>
      </c>
      <c r="I97" s="16">
        <v>217.49</v>
      </c>
      <c r="J97" s="16">
        <v>2.2162000000000002</v>
      </c>
      <c r="K97" s="16">
        <v>2.3311000000000002</v>
      </c>
      <c r="L97" s="16">
        <v>0.1149</v>
      </c>
      <c r="M97" s="16">
        <v>217.38</v>
      </c>
      <c r="N97" s="16">
        <v>80</v>
      </c>
      <c r="O97" s="16">
        <v>80.5</v>
      </c>
      <c r="P97" s="16">
        <v>0.5</v>
      </c>
      <c r="Q97" s="16">
        <v>294.52</v>
      </c>
      <c r="R97" s="16">
        <v>294.02</v>
      </c>
      <c r="S97" s="16">
        <v>0.32400000000000001</v>
      </c>
      <c r="T97" s="16">
        <v>0.24</v>
      </c>
      <c r="U97" s="16">
        <v>0.73899999999999999</v>
      </c>
    </row>
    <row r="98" spans="1:21" ht="15" x14ac:dyDescent="0.25">
      <c r="A98" s="15">
        <v>45091</v>
      </c>
      <c r="B98" s="14" t="s">
        <v>640</v>
      </c>
      <c r="C98" s="14" t="s">
        <v>629</v>
      </c>
      <c r="D98" s="14" t="s">
        <v>692</v>
      </c>
      <c r="E98" s="16">
        <v>12.89</v>
      </c>
      <c r="F98" s="16">
        <v>309.42</v>
      </c>
      <c r="G98" s="16">
        <v>221.24</v>
      </c>
      <c r="H98" s="16">
        <v>88.18</v>
      </c>
      <c r="I98" s="16">
        <v>208.35</v>
      </c>
      <c r="J98" s="16"/>
      <c r="K98" s="16"/>
      <c r="L98" s="16">
        <v>0</v>
      </c>
      <c r="M98" s="16">
        <v>208.35</v>
      </c>
      <c r="N98" s="14"/>
      <c r="O98" s="14"/>
      <c r="P98" s="16">
        <v>0</v>
      </c>
      <c r="Q98" s="16">
        <v>294.52</v>
      </c>
      <c r="R98" s="16">
        <v>294.52</v>
      </c>
      <c r="S98" s="16">
        <v>0.42299999999999999</v>
      </c>
      <c r="T98" s="16">
        <v>0.29899999999999999</v>
      </c>
      <c r="U98" s="16">
        <v>0.70699999999999996</v>
      </c>
    </row>
    <row r="99" spans="1:21" ht="15" x14ac:dyDescent="0.25">
      <c r="A99" s="15">
        <v>45091</v>
      </c>
      <c r="B99" s="14" t="s">
        <v>640</v>
      </c>
      <c r="C99" s="14" t="s">
        <v>629</v>
      </c>
      <c r="D99" s="14" t="s">
        <v>693</v>
      </c>
      <c r="E99" s="16">
        <v>12.92</v>
      </c>
      <c r="F99" s="16">
        <v>360.57</v>
      </c>
      <c r="G99" s="16">
        <v>262.91000000000003</v>
      </c>
      <c r="H99" s="16">
        <v>97.66</v>
      </c>
      <c r="I99" s="16">
        <v>249.99</v>
      </c>
      <c r="J99" s="16"/>
      <c r="K99" s="16"/>
      <c r="L99" s="16">
        <v>0</v>
      </c>
      <c r="M99" s="16">
        <v>249.99</v>
      </c>
      <c r="N99" s="14"/>
      <c r="O99" s="14"/>
      <c r="P99" s="16">
        <v>0</v>
      </c>
      <c r="Q99" s="16">
        <v>294.52</v>
      </c>
      <c r="R99" s="16">
        <v>294.52</v>
      </c>
      <c r="S99" s="16">
        <v>0.39100000000000001</v>
      </c>
      <c r="T99" s="16">
        <v>0.33200000000000002</v>
      </c>
      <c r="U99" s="16">
        <v>0.84899999999999998</v>
      </c>
    </row>
    <row r="100" spans="1:21" ht="15" x14ac:dyDescent="0.25">
      <c r="A100" s="15">
        <v>45091</v>
      </c>
      <c r="B100" s="14" t="s">
        <v>640</v>
      </c>
      <c r="C100" s="14" t="s">
        <v>630</v>
      </c>
      <c r="D100" s="14" t="s">
        <v>692</v>
      </c>
      <c r="E100" s="16">
        <v>12.84</v>
      </c>
      <c r="F100" s="16">
        <v>311.35000000000002</v>
      </c>
      <c r="G100" s="16">
        <v>240.47</v>
      </c>
      <c r="H100" s="16">
        <v>70.88</v>
      </c>
      <c r="I100" s="16">
        <v>227.63</v>
      </c>
      <c r="J100" s="16">
        <v>2.2162000000000002</v>
      </c>
      <c r="K100" s="16">
        <v>2.4072</v>
      </c>
      <c r="L100" s="16">
        <v>0.191</v>
      </c>
      <c r="M100" s="16">
        <v>227.44</v>
      </c>
      <c r="N100" s="16">
        <v>80</v>
      </c>
      <c r="O100" s="16">
        <v>81</v>
      </c>
      <c r="P100" s="16">
        <v>1</v>
      </c>
      <c r="Q100" s="16">
        <v>294.52</v>
      </c>
      <c r="R100" s="16">
        <v>293.52</v>
      </c>
      <c r="S100" s="16">
        <v>0.312</v>
      </c>
      <c r="T100" s="16">
        <v>0.24099999999999999</v>
      </c>
      <c r="U100" s="16">
        <v>0.77500000000000002</v>
      </c>
    </row>
    <row r="101" spans="1:21" ht="15" x14ac:dyDescent="0.25">
      <c r="A101" s="15">
        <v>45091</v>
      </c>
      <c r="B101" s="14" t="s">
        <v>640</v>
      </c>
      <c r="C101" s="14" t="s">
        <v>630</v>
      </c>
      <c r="D101" s="14" t="s">
        <v>693</v>
      </c>
      <c r="E101" s="16">
        <v>12.94</v>
      </c>
      <c r="F101" s="16">
        <v>336.46</v>
      </c>
      <c r="G101" s="16">
        <v>261.98</v>
      </c>
      <c r="H101" s="16">
        <v>74.48</v>
      </c>
      <c r="I101" s="16">
        <v>249.04</v>
      </c>
      <c r="J101" s="16">
        <v>2.2162000000000002</v>
      </c>
      <c r="K101" s="16">
        <v>2.6642000000000001</v>
      </c>
      <c r="L101" s="16">
        <v>0.44800000000000001</v>
      </c>
      <c r="M101" s="16">
        <v>248.59</v>
      </c>
      <c r="N101" s="16">
        <v>80</v>
      </c>
      <c r="O101" s="16">
        <v>81</v>
      </c>
      <c r="P101" s="16">
        <v>1</v>
      </c>
      <c r="Q101" s="16">
        <v>294.52</v>
      </c>
      <c r="R101" s="16">
        <v>293.52</v>
      </c>
      <c r="S101" s="16">
        <v>0.3</v>
      </c>
      <c r="T101" s="16">
        <v>0.254</v>
      </c>
      <c r="U101" s="16">
        <v>0.84699999999999998</v>
      </c>
    </row>
    <row r="102" spans="1:21" ht="15" x14ac:dyDescent="0.25">
      <c r="A102" s="15">
        <v>45091</v>
      </c>
      <c r="B102" s="14" t="s">
        <v>641</v>
      </c>
      <c r="C102" s="14" t="s">
        <v>626</v>
      </c>
      <c r="D102" s="14" t="s">
        <v>692</v>
      </c>
      <c r="E102" s="16">
        <v>12.85</v>
      </c>
      <c r="F102" s="16">
        <v>310.27999999999997</v>
      </c>
      <c r="G102" s="16">
        <v>261.41000000000003</v>
      </c>
      <c r="H102" s="16">
        <v>48.87</v>
      </c>
      <c r="I102" s="16">
        <v>248.56</v>
      </c>
      <c r="J102" s="16">
        <v>2.2162000000000002</v>
      </c>
      <c r="K102" s="16">
        <v>2.4230999999999998</v>
      </c>
      <c r="L102" s="16">
        <v>0.2069</v>
      </c>
      <c r="M102" s="16">
        <v>248.35</v>
      </c>
      <c r="N102" s="16">
        <v>80</v>
      </c>
      <c r="O102" s="16">
        <v>80.599999999999994</v>
      </c>
      <c r="P102" s="16">
        <v>0.6</v>
      </c>
      <c r="Q102" s="16">
        <v>294.52</v>
      </c>
      <c r="R102" s="16">
        <v>293.92</v>
      </c>
      <c r="S102" s="16">
        <v>0.19700000000000001</v>
      </c>
      <c r="T102" s="16">
        <v>0.16600000000000001</v>
      </c>
      <c r="U102" s="16">
        <v>0.84499999999999997</v>
      </c>
    </row>
    <row r="103" spans="1:21" ht="15" x14ac:dyDescent="0.25">
      <c r="A103" s="15">
        <v>45091</v>
      </c>
      <c r="B103" s="14" t="s">
        <v>641</v>
      </c>
      <c r="C103" s="14" t="s">
        <v>626</v>
      </c>
      <c r="D103" s="14" t="s">
        <v>693</v>
      </c>
      <c r="E103" s="16">
        <v>12.77</v>
      </c>
      <c r="F103" s="16">
        <v>368.3</v>
      </c>
      <c r="G103" s="16">
        <v>295.12</v>
      </c>
      <c r="H103" s="16">
        <v>73.180000000000007</v>
      </c>
      <c r="I103" s="16">
        <v>282.35000000000002</v>
      </c>
      <c r="J103" s="16"/>
      <c r="K103" s="16"/>
      <c r="L103" s="16">
        <v>0</v>
      </c>
      <c r="M103" s="16">
        <v>282.35000000000002</v>
      </c>
      <c r="N103" s="14"/>
      <c r="O103" s="14"/>
      <c r="P103" s="16">
        <v>0</v>
      </c>
      <c r="Q103" s="16">
        <v>294.52</v>
      </c>
      <c r="R103" s="16">
        <v>294.52</v>
      </c>
      <c r="S103" s="16">
        <v>0.25900000000000001</v>
      </c>
      <c r="T103" s="16">
        <v>0.248</v>
      </c>
      <c r="U103" s="16">
        <v>0.95899999999999996</v>
      </c>
    </row>
    <row r="104" spans="1:21" ht="15" x14ac:dyDescent="0.25">
      <c r="A104" s="15">
        <v>45091</v>
      </c>
      <c r="B104" s="14" t="s">
        <v>641</v>
      </c>
      <c r="C104" s="14" t="s">
        <v>627</v>
      </c>
      <c r="D104" s="14" t="s">
        <v>692</v>
      </c>
      <c r="E104" s="16">
        <v>12.94</v>
      </c>
      <c r="F104" s="16">
        <v>408.89</v>
      </c>
      <c r="G104" s="16">
        <v>331.06</v>
      </c>
      <c r="H104" s="16">
        <v>77.83</v>
      </c>
      <c r="I104" s="16">
        <v>318.12</v>
      </c>
      <c r="J104" s="16">
        <v>2.2162000000000002</v>
      </c>
      <c r="K104" s="16">
        <v>2.3445</v>
      </c>
      <c r="L104" s="16">
        <v>0.1283</v>
      </c>
      <c r="M104" s="16">
        <v>317.99</v>
      </c>
      <c r="N104" s="16">
        <v>80</v>
      </c>
      <c r="O104" s="16">
        <v>80.5</v>
      </c>
      <c r="P104" s="16">
        <v>0.5</v>
      </c>
      <c r="Q104" s="16">
        <v>294.52</v>
      </c>
      <c r="R104" s="16">
        <v>294.02</v>
      </c>
      <c r="S104" s="16">
        <v>0.245</v>
      </c>
      <c r="T104" s="16">
        <v>0.26500000000000001</v>
      </c>
      <c r="U104" s="16">
        <v>1.0820000000000001</v>
      </c>
    </row>
    <row r="105" spans="1:21" ht="15" x14ac:dyDescent="0.25">
      <c r="A105" s="15">
        <v>45091</v>
      </c>
      <c r="B105" s="14" t="s">
        <v>641</v>
      </c>
      <c r="C105" s="14" t="s">
        <v>627</v>
      </c>
      <c r="D105" s="14" t="s">
        <v>693</v>
      </c>
      <c r="E105" s="16">
        <v>12.9</v>
      </c>
      <c r="F105" s="16">
        <v>243.45</v>
      </c>
      <c r="G105" s="16">
        <v>185.4</v>
      </c>
      <c r="H105" s="16">
        <v>58.05</v>
      </c>
      <c r="I105" s="16">
        <v>172.5</v>
      </c>
      <c r="J105" s="16">
        <v>2.2162000000000002</v>
      </c>
      <c r="K105" s="16">
        <v>2.2888999999999999</v>
      </c>
      <c r="L105" s="16">
        <v>7.2700000000000001E-2</v>
      </c>
      <c r="M105" s="16">
        <v>172.43</v>
      </c>
      <c r="N105" s="16">
        <v>80</v>
      </c>
      <c r="O105" s="16">
        <v>80.400000000000006</v>
      </c>
      <c r="P105" s="16">
        <v>0.4</v>
      </c>
      <c r="Q105" s="16">
        <v>294.52</v>
      </c>
      <c r="R105" s="16">
        <v>294.12</v>
      </c>
      <c r="S105" s="16">
        <v>0.33700000000000002</v>
      </c>
      <c r="T105" s="16">
        <v>0.19700000000000001</v>
      </c>
      <c r="U105" s="16">
        <v>0.58599999999999997</v>
      </c>
    </row>
    <row r="106" spans="1:21" ht="15" x14ac:dyDescent="0.25">
      <c r="A106" s="15">
        <v>45091</v>
      </c>
      <c r="B106" s="14" t="s">
        <v>641</v>
      </c>
      <c r="C106" s="14" t="s">
        <v>628</v>
      </c>
      <c r="D106" s="14" t="s">
        <v>692</v>
      </c>
      <c r="E106" s="16">
        <v>12.74</v>
      </c>
      <c r="F106" s="16">
        <v>361.12</v>
      </c>
      <c r="G106" s="16">
        <v>296.99</v>
      </c>
      <c r="H106" s="16">
        <v>64.13</v>
      </c>
      <c r="I106" s="16">
        <v>284.25</v>
      </c>
      <c r="J106" s="16">
        <v>2.2162000000000002</v>
      </c>
      <c r="K106" s="16">
        <v>2.2898000000000001</v>
      </c>
      <c r="L106" s="16">
        <v>7.3599999999999999E-2</v>
      </c>
      <c r="M106" s="16">
        <v>284.18</v>
      </c>
      <c r="N106" s="16">
        <v>80</v>
      </c>
      <c r="O106" s="16">
        <v>80.5</v>
      </c>
      <c r="P106" s="16">
        <v>0.5</v>
      </c>
      <c r="Q106" s="16">
        <v>294.52</v>
      </c>
      <c r="R106" s="16">
        <v>294.02</v>
      </c>
      <c r="S106" s="16">
        <v>0.22600000000000001</v>
      </c>
      <c r="T106" s="16">
        <v>0.218</v>
      </c>
      <c r="U106" s="16">
        <v>0.96699999999999997</v>
      </c>
    </row>
    <row r="107" spans="1:21" ht="15" x14ac:dyDescent="0.25">
      <c r="A107" s="15">
        <v>45091</v>
      </c>
      <c r="B107" s="14" t="s">
        <v>641</v>
      </c>
      <c r="C107" s="14" t="s">
        <v>628</v>
      </c>
      <c r="D107" s="14" t="s">
        <v>693</v>
      </c>
      <c r="E107" s="16">
        <v>12.9</v>
      </c>
      <c r="F107" s="16">
        <v>317.52999999999997</v>
      </c>
      <c r="G107" s="16">
        <v>248.38</v>
      </c>
      <c r="H107" s="16">
        <v>69.150000000000006</v>
      </c>
      <c r="I107" s="16">
        <v>235.48</v>
      </c>
      <c r="J107" s="16">
        <v>2.2162000000000002</v>
      </c>
      <c r="K107" s="16">
        <v>2.2509000000000001</v>
      </c>
      <c r="L107" s="16">
        <v>3.4700000000000002E-2</v>
      </c>
      <c r="M107" s="16">
        <v>235.45</v>
      </c>
      <c r="N107" s="16">
        <v>15</v>
      </c>
      <c r="O107" s="16">
        <v>15.2</v>
      </c>
      <c r="P107" s="16">
        <v>0.2</v>
      </c>
      <c r="Q107" s="16">
        <v>294.52</v>
      </c>
      <c r="R107" s="16">
        <v>294.32</v>
      </c>
      <c r="S107" s="16">
        <v>0.29399999999999998</v>
      </c>
      <c r="T107" s="16">
        <v>0.23499999999999999</v>
      </c>
      <c r="U107" s="16">
        <v>0.8</v>
      </c>
    </row>
    <row r="108" spans="1:21" ht="15" x14ac:dyDescent="0.25">
      <c r="A108" s="15">
        <v>45091</v>
      </c>
      <c r="B108" s="14" t="s">
        <v>641</v>
      </c>
      <c r="C108" s="14" t="s">
        <v>629</v>
      </c>
      <c r="D108" s="14" t="s">
        <v>692</v>
      </c>
      <c r="E108" s="16">
        <v>12.87</v>
      </c>
      <c r="F108" s="16">
        <v>273.42</v>
      </c>
      <c r="G108" s="16">
        <v>210.51</v>
      </c>
      <c r="H108" s="16">
        <v>62.91</v>
      </c>
      <c r="I108" s="16">
        <v>197.64</v>
      </c>
      <c r="J108" s="16">
        <v>2.2162000000000002</v>
      </c>
      <c r="K108" s="16">
        <v>4.4187000000000003</v>
      </c>
      <c r="L108" s="16">
        <v>2.2025000000000001</v>
      </c>
      <c r="M108" s="16">
        <v>195.44</v>
      </c>
      <c r="N108" s="16">
        <v>80</v>
      </c>
      <c r="O108" s="16">
        <v>82</v>
      </c>
      <c r="P108" s="16">
        <v>2</v>
      </c>
      <c r="Q108" s="16">
        <v>294.52</v>
      </c>
      <c r="R108" s="16">
        <v>292.52</v>
      </c>
      <c r="S108" s="16">
        <v>0.32200000000000001</v>
      </c>
      <c r="T108" s="16">
        <v>0.215</v>
      </c>
      <c r="U108" s="16">
        <v>0.66800000000000004</v>
      </c>
    </row>
    <row r="109" spans="1:21" ht="15" x14ac:dyDescent="0.25">
      <c r="A109" s="15">
        <v>45091</v>
      </c>
      <c r="B109" s="14" t="s">
        <v>641</v>
      </c>
      <c r="C109" s="14" t="s">
        <v>629</v>
      </c>
      <c r="D109" s="14" t="s">
        <v>693</v>
      </c>
      <c r="E109" s="16">
        <v>12.78</v>
      </c>
      <c r="F109" s="16">
        <v>328.83</v>
      </c>
      <c r="G109" s="16">
        <v>249.4</v>
      </c>
      <c r="H109" s="16">
        <v>79.430000000000007</v>
      </c>
      <c r="I109" s="16">
        <v>236.62</v>
      </c>
      <c r="J109" s="16">
        <v>2.2162000000000002</v>
      </c>
      <c r="K109" s="16">
        <v>2.2942999999999998</v>
      </c>
      <c r="L109" s="16">
        <v>7.8100000000000003E-2</v>
      </c>
      <c r="M109" s="16">
        <v>236.54</v>
      </c>
      <c r="N109" s="16">
        <v>15</v>
      </c>
      <c r="O109" s="16">
        <v>15.2</v>
      </c>
      <c r="P109" s="16">
        <v>0.2</v>
      </c>
      <c r="Q109" s="16">
        <v>294.52</v>
      </c>
      <c r="R109" s="16">
        <v>294.32</v>
      </c>
      <c r="S109" s="16">
        <v>0.33600000000000002</v>
      </c>
      <c r="T109" s="16">
        <v>0.27</v>
      </c>
      <c r="U109" s="16">
        <v>0.80400000000000005</v>
      </c>
    </row>
    <row r="110" spans="1:21" ht="15" x14ac:dyDescent="0.25">
      <c r="A110" s="15">
        <v>45091</v>
      </c>
      <c r="B110" s="14" t="s">
        <v>641</v>
      </c>
      <c r="C110" s="14" t="s">
        <v>630</v>
      </c>
      <c r="D110" s="14" t="s">
        <v>692</v>
      </c>
      <c r="E110" s="16">
        <v>12.8</v>
      </c>
      <c r="F110" s="16">
        <v>351.35</v>
      </c>
      <c r="G110" s="16">
        <v>273.43</v>
      </c>
      <c r="H110" s="16">
        <v>77.92</v>
      </c>
      <c r="I110" s="16">
        <v>260.63</v>
      </c>
      <c r="J110" s="16">
        <v>2.2162000000000002</v>
      </c>
      <c r="K110" s="16">
        <v>3.9296000000000002</v>
      </c>
      <c r="L110" s="16">
        <v>1.7134</v>
      </c>
      <c r="M110" s="16">
        <v>258.92</v>
      </c>
      <c r="N110" s="16">
        <v>80</v>
      </c>
      <c r="O110" s="16">
        <v>85</v>
      </c>
      <c r="P110" s="16">
        <v>5</v>
      </c>
      <c r="Q110" s="16">
        <v>294.52</v>
      </c>
      <c r="R110" s="16">
        <v>289.52</v>
      </c>
      <c r="S110" s="16">
        <v>0.30099999999999999</v>
      </c>
      <c r="T110" s="16">
        <v>0.26900000000000002</v>
      </c>
      <c r="U110" s="16">
        <v>0.89400000000000002</v>
      </c>
    </row>
    <row r="111" spans="1:21" ht="15" x14ac:dyDescent="0.25">
      <c r="A111" s="15">
        <v>45091</v>
      </c>
      <c r="B111" s="14" t="s">
        <v>641</v>
      </c>
      <c r="C111" s="14" t="s">
        <v>630</v>
      </c>
      <c r="D111" s="14" t="s">
        <v>693</v>
      </c>
      <c r="E111" s="16">
        <v>12.76</v>
      </c>
      <c r="F111" s="16">
        <v>244.95</v>
      </c>
      <c r="G111" s="16">
        <v>188.95</v>
      </c>
      <c r="H111" s="16">
        <v>56</v>
      </c>
      <c r="I111" s="16">
        <v>176.19</v>
      </c>
      <c r="J111" s="16">
        <v>2.2162000000000002</v>
      </c>
      <c r="K111" s="16">
        <v>2.4308999999999998</v>
      </c>
      <c r="L111" s="16">
        <v>0.2147</v>
      </c>
      <c r="M111" s="16">
        <v>175.98</v>
      </c>
      <c r="N111" s="16">
        <v>15</v>
      </c>
      <c r="O111" s="16">
        <v>15.8</v>
      </c>
      <c r="P111" s="16">
        <v>0.8</v>
      </c>
      <c r="Q111" s="16">
        <v>294.52</v>
      </c>
      <c r="R111" s="16">
        <v>293.72000000000003</v>
      </c>
      <c r="S111" s="16">
        <v>0.318</v>
      </c>
      <c r="T111" s="16">
        <v>0.191</v>
      </c>
      <c r="U111" s="16">
        <v>0.59899999999999998</v>
      </c>
    </row>
    <row r="112" spans="1:21" ht="15" x14ac:dyDescent="0.25">
      <c r="A112" s="15">
        <v>45090</v>
      </c>
      <c r="B112" s="14" t="s">
        <v>643</v>
      </c>
      <c r="C112" s="14" t="s">
        <v>626</v>
      </c>
      <c r="D112" s="14" t="s">
        <v>692</v>
      </c>
      <c r="E112" s="16">
        <v>13.14</v>
      </c>
      <c r="F112" s="16">
        <v>325.47000000000003</v>
      </c>
      <c r="G112" s="16">
        <v>251.77</v>
      </c>
      <c r="H112" s="16">
        <v>73.7</v>
      </c>
      <c r="I112" s="16">
        <v>238.63</v>
      </c>
      <c r="J112" s="16">
        <v>2.2162000000000002</v>
      </c>
      <c r="K112" s="16">
        <v>2.8942000000000001</v>
      </c>
      <c r="L112" s="16">
        <v>0.67800000000000005</v>
      </c>
      <c r="M112" s="16">
        <v>237.95</v>
      </c>
      <c r="N112" s="16">
        <v>80</v>
      </c>
      <c r="O112" s="16">
        <v>81</v>
      </c>
      <c r="P112" s="16">
        <v>1</v>
      </c>
      <c r="Q112" s="16">
        <v>294.52</v>
      </c>
      <c r="R112" s="16">
        <v>293.52</v>
      </c>
      <c r="S112" s="16">
        <v>0.31</v>
      </c>
      <c r="T112" s="16">
        <v>0.251</v>
      </c>
      <c r="U112" s="16">
        <v>0.81100000000000005</v>
      </c>
    </row>
    <row r="113" spans="1:21" ht="15" x14ac:dyDescent="0.25">
      <c r="A113" s="15">
        <v>45090</v>
      </c>
      <c r="B113" s="14" t="s">
        <v>643</v>
      </c>
      <c r="C113" s="14" t="s">
        <v>626</v>
      </c>
      <c r="D113" s="14" t="s">
        <v>693</v>
      </c>
      <c r="E113" s="16">
        <v>13.42</v>
      </c>
      <c r="F113" s="16">
        <v>385.54</v>
      </c>
      <c r="G113" s="16">
        <v>298.75</v>
      </c>
      <c r="H113" s="16">
        <v>86.79</v>
      </c>
      <c r="I113" s="16">
        <v>285.33</v>
      </c>
      <c r="J113" s="16">
        <v>2.2162000000000002</v>
      </c>
      <c r="K113" s="16">
        <v>2.4380000000000002</v>
      </c>
      <c r="L113" s="16">
        <v>0.2218</v>
      </c>
      <c r="M113" s="16">
        <v>285.11</v>
      </c>
      <c r="N113" s="16">
        <v>15</v>
      </c>
      <c r="O113" s="16">
        <v>16</v>
      </c>
      <c r="P113" s="16">
        <v>1</v>
      </c>
      <c r="Q113" s="16">
        <v>294.52</v>
      </c>
      <c r="R113" s="16">
        <v>293.52</v>
      </c>
      <c r="S113" s="16">
        <v>0.30399999999999999</v>
      </c>
      <c r="T113" s="16">
        <v>0.29599999999999999</v>
      </c>
      <c r="U113" s="16">
        <v>0.97099999999999997</v>
      </c>
    </row>
    <row r="114" spans="1:21" ht="15" x14ac:dyDescent="0.25">
      <c r="A114" s="15">
        <v>45090</v>
      </c>
      <c r="B114" s="14" t="s">
        <v>643</v>
      </c>
      <c r="C114" s="14" t="s">
        <v>627</v>
      </c>
      <c r="D114" s="14" t="s">
        <v>692</v>
      </c>
      <c r="E114" s="16">
        <v>12.8</v>
      </c>
      <c r="F114" s="16">
        <v>279.23</v>
      </c>
      <c r="G114" s="16">
        <v>213.69</v>
      </c>
      <c r="H114" s="16">
        <v>65.540000000000006</v>
      </c>
      <c r="I114" s="16">
        <v>200.89</v>
      </c>
      <c r="J114" s="16"/>
      <c r="K114" s="16"/>
      <c r="L114" s="16">
        <v>0</v>
      </c>
      <c r="M114" s="16">
        <v>200.89</v>
      </c>
      <c r="N114" s="14"/>
      <c r="O114" s="14"/>
      <c r="P114" s="16">
        <v>0</v>
      </c>
      <c r="Q114" s="16">
        <v>294.52</v>
      </c>
      <c r="R114" s="16">
        <v>294.52</v>
      </c>
      <c r="S114" s="16">
        <v>0.32600000000000001</v>
      </c>
      <c r="T114" s="16">
        <v>0.223</v>
      </c>
      <c r="U114" s="16">
        <v>0.68200000000000005</v>
      </c>
    </row>
    <row r="115" spans="1:21" ht="15" x14ac:dyDescent="0.25">
      <c r="A115" s="15">
        <v>45090</v>
      </c>
      <c r="B115" s="14" t="s">
        <v>643</v>
      </c>
      <c r="C115" s="14" t="s">
        <v>627</v>
      </c>
      <c r="D115" s="14" t="s">
        <v>693</v>
      </c>
      <c r="E115" s="16">
        <v>13.12</v>
      </c>
      <c r="F115" s="16">
        <v>390.48</v>
      </c>
      <c r="G115" s="16">
        <v>289.06</v>
      </c>
      <c r="H115" s="16">
        <v>101.42</v>
      </c>
      <c r="I115" s="16">
        <v>275.94</v>
      </c>
      <c r="J115" s="16">
        <v>2.2162000000000002</v>
      </c>
      <c r="K115" s="16">
        <v>2.3186</v>
      </c>
      <c r="L115" s="16">
        <v>0.1024</v>
      </c>
      <c r="M115" s="16">
        <v>275.83999999999997</v>
      </c>
      <c r="N115" s="16">
        <v>15</v>
      </c>
      <c r="O115" s="16">
        <v>15.2</v>
      </c>
      <c r="P115" s="16">
        <v>0.2</v>
      </c>
      <c r="Q115" s="16">
        <v>294.52</v>
      </c>
      <c r="R115" s="16">
        <v>294.32</v>
      </c>
      <c r="S115" s="16">
        <v>0.36799999999999999</v>
      </c>
      <c r="T115" s="16">
        <v>0.34499999999999997</v>
      </c>
      <c r="U115" s="16">
        <v>0.93700000000000006</v>
      </c>
    </row>
    <row r="116" spans="1:21" ht="15" x14ac:dyDescent="0.25">
      <c r="A116" s="15">
        <v>45090</v>
      </c>
      <c r="B116" s="14" t="s">
        <v>643</v>
      </c>
      <c r="C116" s="14" t="s">
        <v>628</v>
      </c>
      <c r="D116" s="14" t="s">
        <v>692</v>
      </c>
      <c r="E116" s="16">
        <v>12.86</v>
      </c>
      <c r="F116" s="16">
        <v>380.87</v>
      </c>
      <c r="G116" s="16">
        <v>301.26</v>
      </c>
      <c r="H116" s="16">
        <v>79.61</v>
      </c>
      <c r="I116" s="16">
        <v>288.39999999999998</v>
      </c>
      <c r="J116" s="16">
        <v>2.2162000000000002</v>
      </c>
      <c r="K116" s="16">
        <v>2.3132999999999999</v>
      </c>
      <c r="L116" s="16">
        <v>9.7100000000000006E-2</v>
      </c>
      <c r="M116" s="16">
        <v>288.3</v>
      </c>
      <c r="N116" s="16">
        <v>15</v>
      </c>
      <c r="O116" s="16">
        <v>15.4</v>
      </c>
      <c r="P116" s="16">
        <v>0.4</v>
      </c>
      <c r="Q116" s="16">
        <v>294.52</v>
      </c>
      <c r="R116" s="16">
        <v>294.12</v>
      </c>
      <c r="S116" s="16">
        <v>0.27600000000000002</v>
      </c>
      <c r="T116" s="16">
        <v>0.27100000000000002</v>
      </c>
      <c r="U116" s="16">
        <v>0.98</v>
      </c>
    </row>
    <row r="117" spans="1:21" ht="15" x14ac:dyDescent="0.25">
      <c r="A117" s="15">
        <v>45090</v>
      </c>
      <c r="B117" s="14" t="s">
        <v>643</v>
      </c>
      <c r="C117" s="14" t="s">
        <v>628</v>
      </c>
      <c r="D117" s="14" t="s">
        <v>693</v>
      </c>
      <c r="E117" s="16">
        <v>12.95</v>
      </c>
      <c r="F117" s="16">
        <v>351.16</v>
      </c>
      <c r="G117" s="16">
        <v>268.89999999999998</v>
      </c>
      <c r="H117" s="16">
        <v>82.26</v>
      </c>
      <c r="I117" s="16">
        <v>255.95</v>
      </c>
      <c r="J117" s="16">
        <v>2.2162000000000002</v>
      </c>
      <c r="K117" s="16">
        <v>2.3290999999999999</v>
      </c>
      <c r="L117" s="16">
        <v>0.1129</v>
      </c>
      <c r="M117" s="16">
        <v>255.84</v>
      </c>
      <c r="N117" s="16">
        <v>15</v>
      </c>
      <c r="O117" s="16">
        <v>15.3</v>
      </c>
      <c r="P117" s="16">
        <v>0.3</v>
      </c>
      <c r="Q117" s="16">
        <v>294.52</v>
      </c>
      <c r="R117" s="16">
        <v>294.22000000000003</v>
      </c>
      <c r="S117" s="16">
        <v>0.32200000000000001</v>
      </c>
      <c r="T117" s="16">
        <v>0.28000000000000003</v>
      </c>
      <c r="U117" s="16">
        <v>0.87</v>
      </c>
    </row>
    <row r="118" spans="1:21" ht="15" x14ac:dyDescent="0.25">
      <c r="A118" s="15">
        <v>45090</v>
      </c>
      <c r="B118" s="14" t="s">
        <v>643</v>
      </c>
      <c r="C118" s="14" t="s">
        <v>629</v>
      </c>
      <c r="D118" s="14" t="s">
        <v>692</v>
      </c>
      <c r="E118" s="16">
        <v>12.87</v>
      </c>
      <c r="F118" s="16">
        <v>332.44</v>
      </c>
      <c r="G118" s="16">
        <v>268.95</v>
      </c>
      <c r="H118" s="16">
        <v>63.49</v>
      </c>
      <c r="I118" s="16">
        <v>256.08</v>
      </c>
      <c r="J118" s="16">
        <v>2.2162000000000002</v>
      </c>
      <c r="K118" s="16">
        <v>2.4967999999999999</v>
      </c>
      <c r="L118" s="16">
        <v>0.28060000000000002</v>
      </c>
      <c r="M118" s="16">
        <v>255.8</v>
      </c>
      <c r="N118" s="16">
        <v>80</v>
      </c>
      <c r="O118" s="16">
        <v>81</v>
      </c>
      <c r="P118" s="16">
        <v>1</v>
      </c>
      <c r="Q118" s="16">
        <v>294.52</v>
      </c>
      <c r="R118" s="16">
        <v>293.52</v>
      </c>
      <c r="S118" s="16">
        <v>0.248</v>
      </c>
      <c r="T118" s="16">
        <v>0.216</v>
      </c>
      <c r="U118" s="16">
        <v>0.871</v>
      </c>
    </row>
    <row r="119" spans="1:21" ht="15" x14ac:dyDescent="0.25">
      <c r="A119" s="15">
        <v>45090</v>
      </c>
      <c r="B119" s="14" t="s">
        <v>643</v>
      </c>
      <c r="C119" s="14" t="s">
        <v>629</v>
      </c>
      <c r="D119" s="14" t="s">
        <v>693</v>
      </c>
      <c r="E119" s="16">
        <v>12.93</v>
      </c>
      <c r="F119" s="16">
        <v>243.42</v>
      </c>
      <c r="G119" s="16">
        <v>197.85</v>
      </c>
      <c r="H119" s="16">
        <v>45.57</v>
      </c>
      <c r="I119" s="16">
        <v>184.92</v>
      </c>
      <c r="J119" s="16">
        <v>2.2162000000000002</v>
      </c>
      <c r="K119" s="16">
        <v>2.3567</v>
      </c>
      <c r="L119" s="16">
        <v>0.14050000000000001</v>
      </c>
      <c r="M119" s="16">
        <v>184.78</v>
      </c>
      <c r="N119" s="16">
        <v>15</v>
      </c>
      <c r="O119" s="16">
        <v>15.6</v>
      </c>
      <c r="P119" s="16">
        <v>0.6</v>
      </c>
      <c r="Q119" s="16">
        <v>294.52</v>
      </c>
      <c r="R119" s="16">
        <v>293.92</v>
      </c>
      <c r="S119" s="16">
        <v>0.247</v>
      </c>
      <c r="T119" s="16">
        <v>0.155</v>
      </c>
      <c r="U119" s="16">
        <v>0.629</v>
      </c>
    </row>
    <row r="120" spans="1:21" ht="15" x14ac:dyDescent="0.25">
      <c r="A120" s="15">
        <v>45090</v>
      </c>
      <c r="B120" s="14" t="s">
        <v>643</v>
      </c>
      <c r="C120" s="14" t="s">
        <v>630</v>
      </c>
      <c r="D120" s="14" t="s">
        <v>692</v>
      </c>
      <c r="E120" s="16">
        <v>12.78</v>
      </c>
      <c r="F120" s="16">
        <v>345.34</v>
      </c>
      <c r="G120" s="16">
        <v>273.82</v>
      </c>
      <c r="H120" s="16">
        <v>71.52</v>
      </c>
      <c r="I120" s="16">
        <v>261.04000000000002</v>
      </c>
      <c r="J120" s="16"/>
      <c r="K120" s="16"/>
      <c r="L120" s="16">
        <v>0</v>
      </c>
      <c r="M120" s="16">
        <v>261.04000000000002</v>
      </c>
      <c r="N120" s="14"/>
      <c r="O120" s="14"/>
      <c r="P120" s="16">
        <v>0</v>
      </c>
      <c r="Q120" s="16">
        <v>294.52</v>
      </c>
      <c r="R120" s="16">
        <v>294.52</v>
      </c>
      <c r="S120" s="16">
        <v>0.27400000000000002</v>
      </c>
      <c r="T120" s="16">
        <v>0.24299999999999999</v>
      </c>
      <c r="U120" s="16">
        <v>0.88600000000000001</v>
      </c>
    </row>
    <row r="121" spans="1:21" ht="15" x14ac:dyDescent="0.25">
      <c r="A121" s="15">
        <v>45090</v>
      </c>
      <c r="B121" s="14" t="s">
        <v>643</v>
      </c>
      <c r="C121" s="14" t="s">
        <v>630</v>
      </c>
      <c r="D121" s="14" t="s">
        <v>693</v>
      </c>
      <c r="E121" s="16">
        <v>12.97</v>
      </c>
      <c r="F121" s="16">
        <v>441.36</v>
      </c>
      <c r="G121" s="16">
        <v>351.16</v>
      </c>
      <c r="H121" s="16">
        <v>90.2</v>
      </c>
      <c r="I121" s="16">
        <v>338.19</v>
      </c>
      <c r="J121" s="16">
        <v>2.2162000000000002</v>
      </c>
      <c r="K121" s="16">
        <v>2.5042</v>
      </c>
      <c r="L121" s="16">
        <v>0.28799999999999998</v>
      </c>
      <c r="M121" s="16">
        <v>337.9</v>
      </c>
      <c r="N121" s="16">
        <v>15</v>
      </c>
      <c r="O121" s="16">
        <v>15.8</v>
      </c>
      <c r="P121" s="16">
        <v>0.8</v>
      </c>
      <c r="Q121" s="16">
        <v>294.52</v>
      </c>
      <c r="R121" s="16">
        <v>293.72000000000003</v>
      </c>
      <c r="S121" s="16">
        <v>0.26700000000000002</v>
      </c>
      <c r="T121" s="16">
        <v>0.307</v>
      </c>
      <c r="U121" s="16">
        <v>1.1499999999999999</v>
      </c>
    </row>
    <row r="122" spans="1:21" ht="15" x14ac:dyDescent="0.25">
      <c r="A122" s="15">
        <v>45089</v>
      </c>
      <c r="B122" s="14" t="s">
        <v>644</v>
      </c>
      <c r="C122" s="14" t="s">
        <v>626</v>
      </c>
      <c r="D122" s="14" t="s">
        <v>692</v>
      </c>
      <c r="E122" s="16">
        <v>12.71</v>
      </c>
      <c r="F122" s="16">
        <v>327.95</v>
      </c>
      <c r="G122" s="16">
        <v>250.86</v>
      </c>
      <c r="H122" s="16">
        <v>77.09</v>
      </c>
      <c r="I122" s="16">
        <v>238.15</v>
      </c>
      <c r="J122" s="16">
        <v>2.2162000000000002</v>
      </c>
      <c r="K122" s="16">
        <v>2.3403</v>
      </c>
      <c r="L122" s="16">
        <v>0.1241</v>
      </c>
      <c r="M122" s="16">
        <v>238.03</v>
      </c>
      <c r="N122" s="16">
        <v>80</v>
      </c>
      <c r="O122" s="16">
        <v>81</v>
      </c>
      <c r="P122" s="16">
        <v>1</v>
      </c>
      <c r="Q122" s="16">
        <v>294.52</v>
      </c>
      <c r="R122" s="16">
        <v>293.52</v>
      </c>
      <c r="S122" s="16">
        <v>0.32400000000000001</v>
      </c>
      <c r="T122" s="16">
        <v>0.26300000000000001</v>
      </c>
      <c r="U122" s="16">
        <v>0.81100000000000005</v>
      </c>
    </row>
    <row r="123" spans="1:21" ht="15" x14ac:dyDescent="0.25">
      <c r="A123" s="15">
        <v>45089</v>
      </c>
      <c r="B123" s="14" t="s">
        <v>644</v>
      </c>
      <c r="C123" s="14" t="s">
        <v>626</v>
      </c>
      <c r="D123" s="14" t="s">
        <v>693</v>
      </c>
      <c r="E123" s="16">
        <v>12.85</v>
      </c>
      <c r="F123" s="16">
        <v>398.77</v>
      </c>
      <c r="G123" s="16">
        <v>303.95</v>
      </c>
      <c r="H123" s="16">
        <v>94.82</v>
      </c>
      <c r="I123" s="16">
        <v>291.10000000000002</v>
      </c>
      <c r="J123" s="16">
        <v>2.2162000000000002</v>
      </c>
      <c r="K123" s="16">
        <v>2.9186999999999999</v>
      </c>
      <c r="L123" s="16">
        <v>0.70250000000000001</v>
      </c>
      <c r="M123" s="16">
        <v>290.39999999999998</v>
      </c>
      <c r="N123" s="16">
        <v>80</v>
      </c>
      <c r="O123" s="16">
        <v>83</v>
      </c>
      <c r="P123" s="16">
        <v>3</v>
      </c>
      <c r="Q123" s="16">
        <v>294.52</v>
      </c>
      <c r="R123" s="16">
        <v>291.52</v>
      </c>
      <c r="S123" s="16">
        <v>0.32700000000000001</v>
      </c>
      <c r="T123" s="16">
        <v>0.32500000000000001</v>
      </c>
      <c r="U123" s="16">
        <v>0.996</v>
      </c>
    </row>
    <row r="124" spans="1:21" ht="15" x14ac:dyDescent="0.25">
      <c r="A124" s="15">
        <v>45089</v>
      </c>
      <c r="B124" s="14" t="s">
        <v>644</v>
      </c>
      <c r="C124" s="14" t="s">
        <v>627</v>
      </c>
      <c r="D124" s="14" t="s">
        <v>692</v>
      </c>
      <c r="E124" s="16">
        <v>12.86</v>
      </c>
      <c r="F124" s="16">
        <v>285.44</v>
      </c>
      <c r="G124" s="16">
        <v>219</v>
      </c>
      <c r="H124" s="16">
        <v>66.44</v>
      </c>
      <c r="I124" s="16">
        <v>206.14</v>
      </c>
      <c r="J124" s="16">
        <v>2.2162000000000002</v>
      </c>
      <c r="K124" s="16">
        <v>2.2865000000000002</v>
      </c>
      <c r="L124" s="16">
        <v>7.0300000000000001E-2</v>
      </c>
      <c r="M124" s="16">
        <v>206.07</v>
      </c>
      <c r="N124" s="16">
        <v>80</v>
      </c>
      <c r="O124" s="16">
        <v>81</v>
      </c>
      <c r="P124" s="16">
        <v>1</v>
      </c>
      <c r="Q124" s="16">
        <v>294.52</v>
      </c>
      <c r="R124" s="16">
        <v>293.52</v>
      </c>
      <c r="S124" s="16">
        <v>0.32200000000000001</v>
      </c>
      <c r="T124" s="16">
        <v>0.22600000000000001</v>
      </c>
      <c r="U124" s="16">
        <v>0.70199999999999996</v>
      </c>
    </row>
    <row r="125" spans="1:21" ht="15" x14ac:dyDescent="0.25">
      <c r="A125" s="15">
        <v>45089</v>
      </c>
      <c r="B125" s="14" t="s">
        <v>644</v>
      </c>
      <c r="C125" s="14" t="s">
        <v>627</v>
      </c>
      <c r="D125" s="14" t="s">
        <v>693</v>
      </c>
      <c r="E125" s="16">
        <v>12.75</v>
      </c>
      <c r="F125" s="16">
        <v>368.49</v>
      </c>
      <c r="G125" s="16">
        <v>283.92</v>
      </c>
      <c r="H125" s="16">
        <v>84.57</v>
      </c>
      <c r="I125" s="16">
        <v>271.17</v>
      </c>
      <c r="J125" s="16">
        <v>2.2162000000000002</v>
      </c>
      <c r="K125" s="16">
        <v>2.31</v>
      </c>
      <c r="L125" s="16">
        <v>9.3799999999999994E-2</v>
      </c>
      <c r="M125" s="16">
        <v>271.08</v>
      </c>
      <c r="N125" s="16">
        <v>80</v>
      </c>
      <c r="O125" s="16">
        <v>81</v>
      </c>
      <c r="P125" s="16">
        <v>1</v>
      </c>
      <c r="Q125" s="16">
        <v>294.52</v>
      </c>
      <c r="R125" s="16">
        <v>293.52</v>
      </c>
      <c r="S125" s="16">
        <v>0.312</v>
      </c>
      <c r="T125" s="16">
        <v>0.28799999999999998</v>
      </c>
      <c r="U125" s="16">
        <v>0.92400000000000004</v>
      </c>
    </row>
    <row r="126" spans="1:21" ht="15" x14ac:dyDescent="0.25">
      <c r="A126" s="15">
        <v>45089</v>
      </c>
      <c r="B126" s="14" t="s">
        <v>644</v>
      </c>
      <c r="C126" s="14" t="s">
        <v>628</v>
      </c>
      <c r="D126" s="14" t="s">
        <v>692</v>
      </c>
      <c r="E126" s="16">
        <v>12.85</v>
      </c>
      <c r="F126" s="16">
        <v>290.8</v>
      </c>
      <c r="G126" s="16">
        <v>227.27</v>
      </c>
      <c r="H126" s="16">
        <v>63.53</v>
      </c>
      <c r="I126" s="16">
        <v>214.42</v>
      </c>
      <c r="J126" s="16">
        <v>2.2162000000000002</v>
      </c>
      <c r="K126" s="16">
        <v>2.5493000000000001</v>
      </c>
      <c r="L126" s="16">
        <v>0.33310000000000001</v>
      </c>
      <c r="M126" s="16">
        <v>214.09</v>
      </c>
      <c r="N126" s="16">
        <v>80</v>
      </c>
      <c r="O126" s="16">
        <v>82</v>
      </c>
      <c r="P126" s="16">
        <v>2</v>
      </c>
      <c r="Q126" s="16">
        <v>294.52</v>
      </c>
      <c r="R126" s="16">
        <v>292.52</v>
      </c>
      <c r="S126" s="16">
        <v>0.29699999999999999</v>
      </c>
      <c r="T126" s="16">
        <v>0.217</v>
      </c>
      <c r="U126" s="16">
        <v>0.73199999999999998</v>
      </c>
    </row>
    <row r="127" spans="1:21" ht="15" x14ac:dyDescent="0.25">
      <c r="A127" s="15">
        <v>45089</v>
      </c>
      <c r="B127" s="14" t="s">
        <v>644</v>
      </c>
      <c r="C127" s="14" t="s">
        <v>628</v>
      </c>
      <c r="D127" s="14" t="s">
        <v>693</v>
      </c>
      <c r="E127" s="16">
        <v>12.84</v>
      </c>
      <c r="F127" s="16">
        <v>480.97</v>
      </c>
      <c r="G127" s="16">
        <v>376.1</v>
      </c>
      <c r="H127" s="16">
        <v>104.87</v>
      </c>
      <c r="I127" s="16">
        <v>363.26</v>
      </c>
      <c r="J127" s="16">
        <v>2.2162000000000002</v>
      </c>
      <c r="K127" s="16">
        <v>2.2646000000000002</v>
      </c>
      <c r="L127" s="16">
        <v>4.8399999999999999E-2</v>
      </c>
      <c r="M127" s="16">
        <v>363.21</v>
      </c>
      <c r="N127" s="16">
        <v>80</v>
      </c>
      <c r="O127" s="16">
        <v>80.099999999999994</v>
      </c>
      <c r="P127" s="16">
        <v>0.1</v>
      </c>
      <c r="Q127" s="16">
        <v>294.52</v>
      </c>
      <c r="R127" s="16">
        <v>294.42</v>
      </c>
      <c r="S127" s="16">
        <v>0.28899999999999998</v>
      </c>
      <c r="T127" s="16">
        <v>0.35599999999999998</v>
      </c>
      <c r="U127" s="16">
        <v>1.234</v>
      </c>
    </row>
    <row r="128" spans="1:21" ht="15" x14ac:dyDescent="0.25">
      <c r="A128" s="15">
        <v>45089</v>
      </c>
      <c r="B128" s="14" t="s">
        <v>644</v>
      </c>
      <c r="C128" s="14" t="s">
        <v>629</v>
      </c>
      <c r="D128" s="14" t="s">
        <v>692</v>
      </c>
      <c r="E128" s="16">
        <v>12.96</v>
      </c>
      <c r="F128" s="16">
        <v>322.45999999999998</v>
      </c>
      <c r="G128" s="16">
        <v>252.54</v>
      </c>
      <c r="H128" s="16">
        <v>69.92</v>
      </c>
      <c r="I128" s="16">
        <v>239.58</v>
      </c>
      <c r="J128" s="16">
        <v>2.2162000000000002</v>
      </c>
      <c r="K128" s="16">
        <v>2.2881</v>
      </c>
      <c r="L128" s="16">
        <v>7.1900000000000006E-2</v>
      </c>
      <c r="M128" s="16">
        <v>239.51</v>
      </c>
      <c r="N128" s="16">
        <v>80</v>
      </c>
      <c r="O128" s="16">
        <v>80.5</v>
      </c>
      <c r="P128" s="16">
        <v>0.5</v>
      </c>
      <c r="Q128" s="16">
        <v>294.52</v>
      </c>
      <c r="R128" s="16">
        <v>294.02</v>
      </c>
      <c r="S128" s="16">
        <v>0.29199999999999998</v>
      </c>
      <c r="T128" s="16">
        <v>0.23799999999999999</v>
      </c>
      <c r="U128" s="16">
        <v>0.81499999999999995</v>
      </c>
    </row>
    <row r="129" spans="1:21" ht="15" x14ac:dyDescent="0.25">
      <c r="A129" s="15">
        <v>45089</v>
      </c>
      <c r="B129" s="14" t="s">
        <v>644</v>
      </c>
      <c r="C129" s="14" t="s">
        <v>629</v>
      </c>
      <c r="D129" s="14" t="s">
        <v>693</v>
      </c>
      <c r="E129" s="16">
        <v>12.9</v>
      </c>
      <c r="F129" s="16">
        <v>449.29</v>
      </c>
      <c r="G129" s="16">
        <v>347.9</v>
      </c>
      <c r="H129" s="16">
        <v>101.39</v>
      </c>
      <c r="I129" s="16">
        <v>335</v>
      </c>
      <c r="J129" s="16">
        <v>2.2162000000000002</v>
      </c>
      <c r="K129" s="16">
        <v>2.2441</v>
      </c>
      <c r="L129" s="16">
        <v>2.7900000000000001E-2</v>
      </c>
      <c r="M129" s="16">
        <v>334.97</v>
      </c>
      <c r="N129" s="16">
        <v>80</v>
      </c>
      <c r="O129" s="16">
        <v>80.099999999999994</v>
      </c>
      <c r="P129" s="16">
        <v>0.1</v>
      </c>
      <c r="Q129" s="16">
        <v>294.52</v>
      </c>
      <c r="R129" s="16">
        <v>294.42</v>
      </c>
      <c r="S129" s="16">
        <v>0.30299999999999999</v>
      </c>
      <c r="T129" s="16">
        <v>0.34399999999999997</v>
      </c>
      <c r="U129" s="16">
        <v>1.1379999999999999</v>
      </c>
    </row>
    <row r="130" spans="1:21" ht="15" x14ac:dyDescent="0.25">
      <c r="A130" s="15">
        <v>45089</v>
      </c>
      <c r="B130" s="14" t="s">
        <v>644</v>
      </c>
      <c r="C130" s="14" t="s">
        <v>630</v>
      </c>
      <c r="D130" s="14" t="s">
        <v>692</v>
      </c>
      <c r="E130" s="16">
        <v>13.43</v>
      </c>
      <c r="F130" s="16">
        <v>278.10000000000002</v>
      </c>
      <c r="G130" s="16">
        <v>220.44</v>
      </c>
      <c r="H130" s="16">
        <v>57.66</v>
      </c>
      <c r="I130" s="16">
        <v>207.01</v>
      </c>
      <c r="J130" s="16">
        <v>2.2162000000000002</v>
      </c>
      <c r="K130" s="16">
        <v>3.2422</v>
      </c>
      <c r="L130" s="16">
        <v>1.026</v>
      </c>
      <c r="M130" s="16">
        <v>205.98</v>
      </c>
      <c r="N130" s="16">
        <v>80</v>
      </c>
      <c r="O130" s="16">
        <v>84</v>
      </c>
      <c r="P130" s="16">
        <v>4</v>
      </c>
      <c r="Q130" s="16">
        <v>294.52</v>
      </c>
      <c r="R130" s="16">
        <v>290.52</v>
      </c>
      <c r="S130" s="16">
        <v>0.28000000000000003</v>
      </c>
      <c r="T130" s="16">
        <v>0.19800000000000001</v>
      </c>
      <c r="U130" s="16">
        <v>0.70899999999999996</v>
      </c>
    </row>
    <row r="131" spans="1:21" ht="15" x14ac:dyDescent="0.25">
      <c r="A131" s="15">
        <v>45089</v>
      </c>
      <c r="B131" s="14" t="s">
        <v>644</v>
      </c>
      <c r="C131" s="14" t="s">
        <v>630</v>
      </c>
      <c r="D131" s="14" t="s">
        <v>693</v>
      </c>
      <c r="E131" s="16">
        <v>13.33</v>
      </c>
      <c r="F131" s="16">
        <v>432.91</v>
      </c>
      <c r="G131" s="16">
        <v>334.2</v>
      </c>
      <c r="H131" s="16">
        <v>98.71</v>
      </c>
      <c r="I131" s="16">
        <v>320.87</v>
      </c>
      <c r="J131" s="16">
        <v>2.2162000000000002</v>
      </c>
      <c r="K131" s="16">
        <v>3.3765999999999998</v>
      </c>
      <c r="L131" s="16">
        <v>1.1604000000000001</v>
      </c>
      <c r="M131" s="16">
        <v>319.70999999999998</v>
      </c>
      <c r="N131" s="16">
        <v>80</v>
      </c>
      <c r="O131" s="16">
        <v>82.5</v>
      </c>
      <c r="P131" s="16">
        <v>2.5</v>
      </c>
      <c r="Q131" s="16">
        <v>294.52</v>
      </c>
      <c r="R131" s="16">
        <v>292.02</v>
      </c>
      <c r="S131" s="16">
        <v>0.309</v>
      </c>
      <c r="T131" s="16">
        <v>0.33800000000000002</v>
      </c>
      <c r="U131" s="16">
        <v>1.095</v>
      </c>
    </row>
    <row r="132" spans="1:21" ht="15" x14ac:dyDescent="0.25">
      <c r="A132" s="15">
        <v>45090</v>
      </c>
      <c r="B132" s="14" t="s">
        <v>645</v>
      </c>
      <c r="C132" s="14" t="s">
        <v>626</v>
      </c>
      <c r="D132" s="14" t="s">
        <v>692</v>
      </c>
      <c r="E132" s="16">
        <v>12.98</v>
      </c>
      <c r="F132" s="16">
        <v>387.79</v>
      </c>
      <c r="G132" s="16">
        <v>300.73</v>
      </c>
      <c r="H132" s="16">
        <v>87.06</v>
      </c>
      <c r="I132" s="16">
        <v>287.75</v>
      </c>
      <c r="J132" s="16">
        <v>2.2162000000000002</v>
      </c>
      <c r="K132" s="16">
        <v>5.1376999999999997</v>
      </c>
      <c r="L132" s="16">
        <v>2.9215</v>
      </c>
      <c r="M132" s="16">
        <v>284.83</v>
      </c>
      <c r="N132" s="16">
        <v>80</v>
      </c>
      <c r="O132" s="16">
        <v>86</v>
      </c>
      <c r="P132" s="16">
        <v>6</v>
      </c>
      <c r="Q132" s="16">
        <v>294.52</v>
      </c>
      <c r="R132" s="16">
        <v>288.52</v>
      </c>
      <c r="S132" s="16">
        <v>0.30599999999999999</v>
      </c>
      <c r="T132" s="16">
        <v>0.30199999999999999</v>
      </c>
      <c r="U132" s="16">
        <v>0.98699999999999999</v>
      </c>
    </row>
    <row r="133" spans="1:21" ht="15" x14ac:dyDescent="0.25">
      <c r="A133" s="15">
        <v>45090</v>
      </c>
      <c r="B133" s="14" t="s">
        <v>645</v>
      </c>
      <c r="C133" s="14" t="s">
        <v>626</v>
      </c>
      <c r="D133" s="14" t="s">
        <v>693</v>
      </c>
      <c r="E133" s="16">
        <v>12.9</v>
      </c>
      <c r="F133" s="16">
        <v>442.74</v>
      </c>
      <c r="G133" s="16">
        <v>348.9</v>
      </c>
      <c r="H133" s="16">
        <v>93.84</v>
      </c>
      <c r="I133" s="16">
        <v>336</v>
      </c>
      <c r="J133" s="16">
        <v>2.2162000000000002</v>
      </c>
      <c r="K133" s="16">
        <v>2.3420999999999998</v>
      </c>
      <c r="L133" s="16">
        <v>0.12590000000000001</v>
      </c>
      <c r="M133" s="16">
        <v>335.87</v>
      </c>
      <c r="N133" s="16">
        <v>80</v>
      </c>
      <c r="O133" s="16">
        <v>80.5</v>
      </c>
      <c r="P133" s="16">
        <v>0.5</v>
      </c>
      <c r="Q133" s="16">
        <v>294.52</v>
      </c>
      <c r="R133" s="16">
        <v>294.02</v>
      </c>
      <c r="S133" s="16">
        <v>0.27900000000000003</v>
      </c>
      <c r="T133" s="16">
        <v>0.31900000000000001</v>
      </c>
      <c r="U133" s="16">
        <v>1.1419999999999999</v>
      </c>
    </row>
    <row r="134" spans="1:21" ht="15" x14ac:dyDescent="0.25">
      <c r="A134" s="15">
        <v>45090</v>
      </c>
      <c r="B134" s="14" t="s">
        <v>645</v>
      </c>
      <c r="C134" s="14" t="s">
        <v>627</v>
      </c>
      <c r="D134" s="14" t="s">
        <v>692</v>
      </c>
      <c r="E134" s="16">
        <v>13.35</v>
      </c>
      <c r="F134" s="16">
        <v>337.63</v>
      </c>
      <c r="G134" s="16">
        <v>265.82</v>
      </c>
      <c r="H134" s="16">
        <v>71.81</v>
      </c>
      <c r="I134" s="16">
        <v>252.47</v>
      </c>
      <c r="J134" s="16">
        <v>2.2162000000000002</v>
      </c>
      <c r="K134" s="16">
        <v>2.5455000000000001</v>
      </c>
      <c r="L134" s="16">
        <v>0.32929999999999998</v>
      </c>
      <c r="M134" s="16">
        <v>252.14</v>
      </c>
      <c r="N134" s="16">
        <v>80</v>
      </c>
      <c r="O134" s="16">
        <v>81</v>
      </c>
      <c r="P134" s="16">
        <v>1</v>
      </c>
      <c r="Q134" s="16">
        <v>294.52</v>
      </c>
      <c r="R134" s="16">
        <v>293.52</v>
      </c>
      <c r="S134" s="16">
        <v>0.28499999999999998</v>
      </c>
      <c r="T134" s="16">
        <v>0.245</v>
      </c>
      <c r="U134" s="16">
        <v>0.85899999999999999</v>
      </c>
    </row>
    <row r="135" spans="1:21" ht="15" x14ac:dyDescent="0.25">
      <c r="A135" s="15">
        <v>45090</v>
      </c>
      <c r="B135" s="14" t="s">
        <v>645</v>
      </c>
      <c r="C135" s="14" t="s">
        <v>627</v>
      </c>
      <c r="D135" s="14" t="s">
        <v>693</v>
      </c>
      <c r="E135" s="16">
        <v>12.93</v>
      </c>
      <c r="F135" s="16">
        <v>324.31</v>
      </c>
      <c r="G135" s="16">
        <v>253.87</v>
      </c>
      <c r="H135" s="16">
        <v>70.44</v>
      </c>
      <c r="I135" s="16">
        <v>240.94</v>
      </c>
      <c r="J135" s="16">
        <v>2.2162000000000002</v>
      </c>
      <c r="K135" s="16">
        <v>2.2806000000000002</v>
      </c>
      <c r="L135" s="16">
        <v>6.4399999999999999E-2</v>
      </c>
      <c r="M135" s="16">
        <v>240.88</v>
      </c>
      <c r="N135" s="16">
        <v>80</v>
      </c>
      <c r="O135" s="16">
        <v>80.099999999999994</v>
      </c>
      <c r="P135" s="16">
        <v>0.1</v>
      </c>
      <c r="Q135" s="16">
        <v>294.52</v>
      </c>
      <c r="R135" s="16">
        <v>294.42</v>
      </c>
      <c r="S135" s="16">
        <v>0.29199999999999998</v>
      </c>
      <c r="T135" s="16">
        <v>0.23899999999999999</v>
      </c>
      <c r="U135" s="16">
        <v>0.81799999999999995</v>
      </c>
    </row>
    <row r="136" spans="1:21" ht="15" x14ac:dyDescent="0.25">
      <c r="A136" s="15">
        <v>45090</v>
      </c>
      <c r="B136" s="14" t="s">
        <v>645</v>
      </c>
      <c r="C136" s="14" t="s">
        <v>628</v>
      </c>
      <c r="D136" s="14" t="s">
        <v>692</v>
      </c>
      <c r="E136" s="16">
        <v>13.19</v>
      </c>
      <c r="F136" s="16">
        <v>326.89999999999998</v>
      </c>
      <c r="G136" s="16">
        <v>260.83</v>
      </c>
      <c r="H136" s="16">
        <v>66.069999999999993</v>
      </c>
      <c r="I136" s="16">
        <v>247.64</v>
      </c>
      <c r="J136" s="16"/>
      <c r="K136" s="16"/>
      <c r="L136" s="16">
        <v>0</v>
      </c>
      <c r="M136" s="16">
        <v>247.64</v>
      </c>
      <c r="N136" s="14"/>
      <c r="O136" s="14"/>
      <c r="P136" s="16">
        <v>0</v>
      </c>
      <c r="Q136" s="16">
        <v>294.52</v>
      </c>
      <c r="R136" s="16">
        <v>294.52</v>
      </c>
      <c r="S136" s="16">
        <v>0.26700000000000002</v>
      </c>
      <c r="T136" s="16">
        <v>0.224</v>
      </c>
      <c r="U136" s="16">
        <v>0.84099999999999997</v>
      </c>
    </row>
    <row r="137" spans="1:21" ht="15" x14ac:dyDescent="0.25">
      <c r="A137" s="15">
        <v>45090</v>
      </c>
      <c r="B137" s="14" t="s">
        <v>645</v>
      </c>
      <c r="C137" s="14" t="s">
        <v>628</v>
      </c>
      <c r="D137" s="14" t="s">
        <v>693</v>
      </c>
      <c r="E137" s="16">
        <v>13.5</v>
      </c>
      <c r="F137" s="16">
        <v>466.68</v>
      </c>
      <c r="G137" s="16">
        <v>377.59</v>
      </c>
      <c r="H137" s="16">
        <v>89.09</v>
      </c>
      <c r="I137" s="16">
        <v>364.09</v>
      </c>
      <c r="J137" s="16"/>
      <c r="K137" s="16"/>
      <c r="L137" s="16">
        <v>0</v>
      </c>
      <c r="M137" s="16">
        <v>364.09</v>
      </c>
      <c r="N137" s="14"/>
      <c r="O137" s="14"/>
      <c r="P137" s="16">
        <v>0</v>
      </c>
      <c r="Q137" s="16">
        <v>294.52</v>
      </c>
      <c r="R137" s="16">
        <v>294.52</v>
      </c>
      <c r="S137" s="16">
        <v>0.245</v>
      </c>
      <c r="T137" s="16">
        <v>0.30199999999999999</v>
      </c>
      <c r="U137" s="16">
        <v>1.236</v>
      </c>
    </row>
    <row r="138" spans="1:21" ht="15" x14ac:dyDescent="0.25">
      <c r="A138" s="15">
        <v>45090</v>
      </c>
      <c r="B138" s="14" t="s">
        <v>645</v>
      </c>
      <c r="C138" s="14" t="s">
        <v>629</v>
      </c>
      <c r="D138" s="14" t="s">
        <v>692</v>
      </c>
      <c r="E138" s="16">
        <v>13.32</v>
      </c>
      <c r="F138" s="16">
        <v>347.09</v>
      </c>
      <c r="G138" s="16">
        <v>266.64</v>
      </c>
      <c r="H138" s="16">
        <v>80.45</v>
      </c>
      <c r="I138" s="16">
        <v>253.32</v>
      </c>
      <c r="J138" s="16">
        <v>2.2162000000000002</v>
      </c>
      <c r="K138" s="16">
        <v>2.2410000000000001</v>
      </c>
      <c r="L138" s="16">
        <v>2.4799999999999999E-2</v>
      </c>
      <c r="M138" s="16">
        <v>253.3</v>
      </c>
      <c r="N138" s="16">
        <v>80</v>
      </c>
      <c r="O138" s="16">
        <v>80.5</v>
      </c>
      <c r="P138" s="16">
        <v>0.5</v>
      </c>
      <c r="Q138" s="16">
        <v>294.52</v>
      </c>
      <c r="R138" s="16">
        <v>294.02</v>
      </c>
      <c r="S138" s="16">
        <v>0.318</v>
      </c>
      <c r="T138" s="16">
        <v>0.27400000000000002</v>
      </c>
      <c r="U138" s="16">
        <v>0.86099999999999999</v>
      </c>
    </row>
    <row r="139" spans="1:21" ht="15" x14ac:dyDescent="0.25">
      <c r="A139" s="15">
        <v>45090</v>
      </c>
      <c r="B139" s="14" t="s">
        <v>645</v>
      </c>
      <c r="C139" s="14" t="s">
        <v>629</v>
      </c>
      <c r="D139" s="14" t="s">
        <v>693</v>
      </c>
      <c r="E139" s="16">
        <v>13.4</v>
      </c>
      <c r="F139" s="16">
        <v>408.2</v>
      </c>
      <c r="G139" s="16">
        <v>325.04000000000002</v>
      </c>
      <c r="H139" s="16">
        <v>83.16</v>
      </c>
      <c r="I139" s="16">
        <v>311.64</v>
      </c>
      <c r="J139" s="16"/>
      <c r="K139" s="16"/>
      <c r="L139" s="16">
        <v>0</v>
      </c>
      <c r="M139" s="16">
        <v>311.64</v>
      </c>
      <c r="N139" s="14"/>
      <c r="O139" s="14"/>
      <c r="P139" s="16">
        <v>0</v>
      </c>
      <c r="Q139" s="16">
        <v>294.52</v>
      </c>
      <c r="R139" s="16">
        <v>294.52</v>
      </c>
      <c r="S139" s="16">
        <v>0.26700000000000002</v>
      </c>
      <c r="T139" s="16">
        <v>0.28199999999999997</v>
      </c>
      <c r="U139" s="16">
        <v>1.0580000000000001</v>
      </c>
    </row>
    <row r="140" spans="1:21" ht="15" x14ac:dyDescent="0.25">
      <c r="A140" s="15">
        <v>45090</v>
      </c>
      <c r="B140" s="14" t="s">
        <v>645</v>
      </c>
      <c r="C140" s="14" t="s">
        <v>630</v>
      </c>
      <c r="D140" s="14" t="s">
        <v>692</v>
      </c>
      <c r="E140" s="16">
        <v>13</v>
      </c>
      <c r="F140" s="16">
        <v>383.74</v>
      </c>
      <c r="G140" s="16">
        <v>304.54000000000002</v>
      </c>
      <c r="H140" s="16">
        <v>79.2</v>
      </c>
      <c r="I140" s="16">
        <v>291.54000000000002</v>
      </c>
      <c r="J140" s="16"/>
      <c r="K140" s="16"/>
      <c r="L140" s="16">
        <v>0</v>
      </c>
      <c r="M140" s="16">
        <v>291.54000000000002</v>
      </c>
      <c r="N140" s="14"/>
      <c r="O140" s="14"/>
      <c r="P140" s="16">
        <v>0</v>
      </c>
      <c r="Q140" s="16">
        <v>294.52</v>
      </c>
      <c r="R140" s="16">
        <v>294.52</v>
      </c>
      <c r="S140" s="16">
        <v>0.27200000000000002</v>
      </c>
      <c r="T140" s="16">
        <v>0.26900000000000002</v>
      </c>
      <c r="U140" s="16">
        <v>0.99</v>
      </c>
    </row>
    <row r="141" spans="1:21" ht="15" x14ac:dyDescent="0.25">
      <c r="A141" s="15">
        <v>45090</v>
      </c>
      <c r="B141" s="14" t="s">
        <v>645</v>
      </c>
      <c r="C141" s="14" t="s">
        <v>630</v>
      </c>
      <c r="D141" s="14" t="s">
        <v>693</v>
      </c>
      <c r="E141" s="16">
        <v>13.43</v>
      </c>
      <c r="F141" s="16">
        <v>369.36</v>
      </c>
      <c r="G141" s="16">
        <v>291.24</v>
      </c>
      <c r="H141" s="16">
        <v>78.12</v>
      </c>
      <c r="I141" s="16">
        <v>277.81</v>
      </c>
      <c r="J141" s="16">
        <v>2.2162000000000002</v>
      </c>
      <c r="K141" s="16">
        <v>2.2553999999999998</v>
      </c>
      <c r="L141" s="16">
        <v>3.9199999999999999E-2</v>
      </c>
      <c r="M141" s="16">
        <v>277.77</v>
      </c>
      <c r="N141" s="16">
        <v>80</v>
      </c>
      <c r="O141" s="16">
        <v>80.5</v>
      </c>
      <c r="P141" s="16">
        <v>0.5</v>
      </c>
      <c r="Q141" s="16">
        <v>294.52</v>
      </c>
      <c r="R141" s="16">
        <v>294.02</v>
      </c>
      <c r="S141" s="16">
        <v>0.28100000000000003</v>
      </c>
      <c r="T141" s="16">
        <v>0.26600000000000001</v>
      </c>
      <c r="U141" s="16">
        <v>0.94499999999999995</v>
      </c>
    </row>
    <row r="142" spans="1:21" ht="15" x14ac:dyDescent="0.25">
      <c r="A142" s="15">
        <v>45090</v>
      </c>
      <c r="B142" s="14" t="s">
        <v>646</v>
      </c>
      <c r="C142" s="14" t="s">
        <v>626</v>
      </c>
      <c r="D142" s="14" t="s">
        <v>692</v>
      </c>
      <c r="E142" s="16">
        <v>13.19</v>
      </c>
      <c r="F142" s="16">
        <v>345.7</v>
      </c>
      <c r="G142" s="16">
        <v>281.63</v>
      </c>
      <c r="H142" s="16">
        <v>64.069999999999993</v>
      </c>
      <c r="I142" s="16">
        <v>268.44</v>
      </c>
      <c r="J142" s="16">
        <v>2.2162000000000002</v>
      </c>
      <c r="K142" s="16">
        <v>2.569</v>
      </c>
      <c r="L142" s="16">
        <v>0.3528</v>
      </c>
      <c r="M142" s="16">
        <v>268.08999999999997</v>
      </c>
      <c r="N142" s="16">
        <v>80</v>
      </c>
      <c r="O142" s="16">
        <v>81</v>
      </c>
      <c r="P142" s="16">
        <v>1</v>
      </c>
      <c r="Q142" s="16">
        <v>294.52</v>
      </c>
      <c r="R142" s="16">
        <v>293.52</v>
      </c>
      <c r="S142" s="16">
        <v>0.23899999999999999</v>
      </c>
      <c r="T142" s="16">
        <v>0.218</v>
      </c>
      <c r="U142" s="16">
        <v>0.91300000000000003</v>
      </c>
    </row>
    <row r="143" spans="1:21" ht="15" x14ac:dyDescent="0.25">
      <c r="A143" s="15">
        <v>45090</v>
      </c>
      <c r="B143" s="14" t="s">
        <v>646</v>
      </c>
      <c r="C143" s="14" t="s">
        <v>626</v>
      </c>
      <c r="D143" s="14" t="s">
        <v>693</v>
      </c>
      <c r="E143" s="16">
        <v>13.22</v>
      </c>
      <c r="F143" s="16">
        <v>368.01</v>
      </c>
      <c r="G143" s="16">
        <v>293.64</v>
      </c>
      <c r="H143" s="16">
        <v>74.37</v>
      </c>
      <c r="I143" s="16">
        <v>280.42</v>
      </c>
      <c r="J143" s="16">
        <v>2.2162000000000002</v>
      </c>
      <c r="K143" s="16">
        <v>2.5842999999999998</v>
      </c>
      <c r="L143" s="16">
        <v>0.36809999999999998</v>
      </c>
      <c r="M143" s="16">
        <v>280.05</v>
      </c>
      <c r="N143" s="16">
        <v>80</v>
      </c>
      <c r="O143" s="16">
        <v>82</v>
      </c>
      <c r="P143" s="16">
        <v>2</v>
      </c>
      <c r="Q143" s="16">
        <v>294.52</v>
      </c>
      <c r="R143" s="16">
        <v>292.52</v>
      </c>
      <c r="S143" s="16">
        <v>0.26600000000000001</v>
      </c>
      <c r="T143" s="16">
        <v>0.254</v>
      </c>
      <c r="U143" s="16">
        <v>0.95699999999999996</v>
      </c>
    </row>
    <row r="144" spans="1:21" ht="15" x14ac:dyDescent="0.25">
      <c r="A144" s="15">
        <v>45090</v>
      </c>
      <c r="B144" s="14" t="s">
        <v>646</v>
      </c>
      <c r="C144" s="14" t="s">
        <v>627</v>
      </c>
      <c r="D144" s="14" t="s">
        <v>692</v>
      </c>
      <c r="E144" s="16">
        <v>13.32</v>
      </c>
      <c r="F144" s="16">
        <v>395.03</v>
      </c>
      <c r="G144" s="16">
        <v>313.23</v>
      </c>
      <c r="H144" s="16">
        <v>81.8</v>
      </c>
      <c r="I144" s="16">
        <v>299.91000000000003</v>
      </c>
      <c r="J144" s="16"/>
      <c r="K144" s="16"/>
      <c r="L144" s="16">
        <v>0</v>
      </c>
      <c r="M144" s="16">
        <v>299.91000000000003</v>
      </c>
      <c r="N144" s="14"/>
      <c r="O144" s="14"/>
      <c r="P144" s="16">
        <v>0</v>
      </c>
      <c r="Q144" s="16">
        <v>294.52</v>
      </c>
      <c r="R144" s="16">
        <v>294.52</v>
      </c>
      <c r="S144" s="16">
        <v>0.27300000000000002</v>
      </c>
      <c r="T144" s="16">
        <v>0.27800000000000002</v>
      </c>
      <c r="U144" s="16">
        <v>1.018</v>
      </c>
    </row>
    <row r="145" spans="1:21" ht="15" x14ac:dyDescent="0.25">
      <c r="A145" s="15">
        <v>45090</v>
      </c>
      <c r="B145" s="14" t="s">
        <v>646</v>
      </c>
      <c r="C145" s="14" t="s">
        <v>627</v>
      </c>
      <c r="D145" s="14" t="s">
        <v>693</v>
      </c>
      <c r="E145" s="16">
        <v>13.43</v>
      </c>
      <c r="F145" s="16">
        <v>367.84</v>
      </c>
      <c r="G145" s="16">
        <v>288.45</v>
      </c>
      <c r="H145" s="16">
        <v>79.39</v>
      </c>
      <c r="I145" s="16">
        <v>275.02</v>
      </c>
      <c r="J145" s="16"/>
      <c r="K145" s="16"/>
      <c r="L145" s="16">
        <v>0</v>
      </c>
      <c r="M145" s="16">
        <v>275.02</v>
      </c>
      <c r="N145" s="14"/>
      <c r="O145" s="14"/>
      <c r="P145" s="16">
        <v>0</v>
      </c>
      <c r="Q145" s="16">
        <v>294.52</v>
      </c>
      <c r="R145" s="16">
        <v>294.52</v>
      </c>
      <c r="S145" s="16">
        <v>0.28899999999999998</v>
      </c>
      <c r="T145" s="16">
        <v>0.27</v>
      </c>
      <c r="U145" s="16">
        <v>0.93400000000000005</v>
      </c>
    </row>
    <row r="146" spans="1:21" ht="15" x14ac:dyDescent="0.25">
      <c r="A146" s="15">
        <v>45090</v>
      </c>
      <c r="B146" s="14" t="s">
        <v>646</v>
      </c>
      <c r="C146" s="14" t="s">
        <v>628</v>
      </c>
      <c r="D146" s="14" t="s">
        <v>692</v>
      </c>
      <c r="E146" s="16">
        <v>13.35</v>
      </c>
      <c r="F146" s="16">
        <v>336.71</v>
      </c>
      <c r="G146" s="16">
        <v>273.05</v>
      </c>
      <c r="H146" s="16">
        <v>63.66</v>
      </c>
      <c r="I146" s="16">
        <v>259.7</v>
      </c>
      <c r="J146" s="16">
        <v>2.2162000000000002</v>
      </c>
      <c r="K146" s="16">
        <v>2.4634</v>
      </c>
      <c r="L146" s="16">
        <v>0.2472</v>
      </c>
      <c r="M146" s="16">
        <v>259.45</v>
      </c>
      <c r="N146" s="16">
        <v>80</v>
      </c>
      <c r="O146" s="16">
        <v>81.5</v>
      </c>
      <c r="P146" s="16">
        <v>1.5</v>
      </c>
      <c r="Q146" s="16">
        <v>294.52</v>
      </c>
      <c r="R146" s="16">
        <v>293.02</v>
      </c>
      <c r="S146" s="16">
        <v>0.245</v>
      </c>
      <c r="T146" s="16">
        <v>0.217</v>
      </c>
      <c r="U146" s="16">
        <v>0.88500000000000001</v>
      </c>
    </row>
    <row r="147" spans="1:21" ht="15" x14ac:dyDescent="0.25">
      <c r="A147" s="15">
        <v>45090</v>
      </c>
      <c r="B147" s="14" t="s">
        <v>646</v>
      </c>
      <c r="C147" s="14" t="s">
        <v>628</v>
      </c>
      <c r="D147" s="14" t="s">
        <v>693</v>
      </c>
      <c r="E147" s="16">
        <v>13.44</v>
      </c>
      <c r="F147" s="16">
        <v>434.48</v>
      </c>
      <c r="G147" s="16">
        <v>342.53</v>
      </c>
      <c r="H147" s="16">
        <v>91.95</v>
      </c>
      <c r="I147" s="16">
        <v>329.09</v>
      </c>
      <c r="J147" s="16">
        <v>2.2162000000000002</v>
      </c>
      <c r="K147" s="16">
        <v>2.5065</v>
      </c>
      <c r="L147" s="16">
        <v>0.2903</v>
      </c>
      <c r="M147" s="16">
        <v>328.8</v>
      </c>
      <c r="N147" s="16">
        <v>80</v>
      </c>
      <c r="O147" s="16">
        <v>80.5</v>
      </c>
      <c r="P147" s="16">
        <v>0.5</v>
      </c>
      <c r="Q147" s="16">
        <v>294.52</v>
      </c>
      <c r="R147" s="16">
        <v>294.02</v>
      </c>
      <c r="S147" s="16">
        <v>0.28000000000000003</v>
      </c>
      <c r="T147" s="16">
        <v>0.313</v>
      </c>
      <c r="U147" s="16">
        <v>1.1180000000000001</v>
      </c>
    </row>
    <row r="148" spans="1:21" ht="15" x14ac:dyDescent="0.25">
      <c r="A148" s="15">
        <v>45090</v>
      </c>
      <c r="B148" s="14" t="s">
        <v>646</v>
      </c>
      <c r="C148" s="14" t="s">
        <v>629</v>
      </c>
      <c r="D148" s="14" t="s">
        <v>692</v>
      </c>
      <c r="E148" s="16">
        <v>12.9</v>
      </c>
      <c r="F148" s="16">
        <v>342.38</v>
      </c>
      <c r="G148" s="16">
        <v>270.69</v>
      </c>
      <c r="H148" s="16">
        <v>71.69</v>
      </c>
      <c r="I148" s="16">
        <v>257.79000000000002</v>
      </c>
      <c r="J148" s="16">
        <v>2.2162000000000002</v>
      </c>
      <c r="K148" s="16">
        <v>2.4922</v>
      </c>
      <c r="L148" s="16">
        <v>0.27600000000000002</v>
      </c>
      <c r="M148" s="16">
        <v>257.51</v>
      </c>
      <c r="N148" s="16">
        <v>80</v>
      </c>
      <c r="O148" s="16">
        <v>81</v>
      </c>
      <c r="P148" s="16">
        <v>1</v>
      </c>
      <c r="Q148" s="16">
        <v>294.52</v>
      </c>
      <c r="R148" s="16">
        <v>293.52</v>
      </c>
      <c r="S148" s="16">
        <v>0.27800000000000002</v>
      </c>
      <c r="T148" s="16">
        <v>0.24399999999999999</v>
      </c>
      <c r="U148" s="16">
        <v>0.877</v>
      </c>
    </row>
    <row r="149" spans="1:21" ht="15" x14ac:dyDescent="0.25">
      <c r="A149" s="15">
        <v>45090</v>
      </c>
      <c r="B149" s="14" t="s">
        <v>646</v>
      </c>
      <c r="C149" s="14" t="s">
        <v>629</v>
      </c>
      <c r="D149" s="14" t="s">
        <v>693</v>
      </c>
      <c r="E149" s="16">
        <v>13.32</v>
      </c>
      <c r="F149" s="16">
        <v>484.47</v>
      </c>
      <c r="G149" s="16">
        <v>375.06</v>
      </c>
      <c r="H149" s="16">
        <v>109.41</v>
      </c>
      <c r="I149" s="16">
        <v>361.74</v>
      </c>
      <c r="J149" s="16">
        <v>2.2162000000000002</v>
      </c>
      <c r="K149" s="16">
        <v>2.2233000000000001</v>
      </c>
      <c r="L149" s="16">
        <v>7.1000000000000004E-3</v>
      </c>
      <c r="M149" s="16">
        <v>361.73</v>
      </c>
      <c r="N149" s="16">
        <v>80</v>
      </c>
      <c r="O149" s="16">
        <v>80.099999999999994</v>
      </c>
      <c r="P149" s="16">
        <v>0.1</v>
      </c>
      <c r="Q149" s="16">
        <v>294.52</v>
      </c>
      <c r="R149" s="16">
        <v>294.42</v>
      </c>
      <c r="S149" s="16">
        <v>0.30199999999999999</v>
      </c>
      <c r="T149" s="16">
        <v>0.372</v>
      </c>
      <c r="U149" s="16">
        <v>1.2290000000000001</v>
      </c>
    </row>
    <row r="150" spans="1:21" ht="15" x14ac:dyDescent="0.25">
      <c r="A150" s="15">
        <v>45090</v>
      </c>
      <c r="B150" s="14" t="s">
        <v>646</v>
      </c>
      <c r="C150" s="14" t="s">
        <v>630</v>
      </c>
      <c r="D150" s="14" t="s">
        <v>692</v>
      </c>
      <c r="E150" s="16">
        <v>13.14</v>
      </c>
      <c r="F150" s="16">
        <v>381.73</v>
      </c>
      <c r="G150" s="16">
        <v>291.88</v>
      </c>
      <c r="H150" s="16">
        <v>89.85</v>
      </c>
      <c r="I150" s="16">
        <v>278.74</v>
      </c>
      <c r="J150" s="16">
        <v>2.2162000000000002</v>
      </c>
      <c r="K150" s="16">
        <v>2.3056000000000001</v>
      </c>
      <c r="L150" s="16">
        <v>8.9399999999999993E-2</v>
      </c>
      <c r="M150" s="16">
        <v>278.64999999999998</v>
      </c>
      <c r="N150" s="16">
        <v>80</v>
      </c>
      <c r="O150" s="16">
        <v>81</v>
      </c>
      <c r="P150" s="16">
        <v>1</v>
      </c>
      <c r="Q150" s="16">
        <v>294.52</v>
      </c>
      <c r="R150" s="16">
        <v>293.52</v>
      </c>
      <c r="S150" s="16">
        <v>0.32200000000000001</v>
      </c>
      <c r="T150" s="16">
        <v>0.30599999999999999</v>
      </c>
      <c r="U150" s="16">
        <v>0.94899999999999995</v>
      </c>
    </row>
    <row r="151" spans="1:21" ht="15" x14ac:dyDescent="0.25">
      <c r="A151" s="15">
        <v>45090</v>
      </c>
      <c r="B151" s="14" t="s">
        <v>646</v>
      </c>
      <c r="C151" s="14" t="s">
        <v>630</v>
      </c>
      <c r="D151" s="14" t="s">
        <v>693</v>
      </c>
      <c r="E151" s="16">
        <v>12.89</v>
      </c>
      <c r="F151" s="16">
        <v>395.26</v>
      </c>
      <c r="G151" s="16">
        <v>309.25</v>
      </c>
      <c r="H151" s="16">
        <v>86.01</v>
      </c>
      <c r="I151" s="16">
        <v>296.36</v>
      </c>
      <c r="J151" s="16">
        <v>2.2162000000000002</v>
      </c>
      <c r="K151" s="16">
        <v>2.2488999999999999</v>
      </c>
      <c r="L151" s="16">
        <v>3.27E-2</v>
      </c>
      <c r="M151" s="16">
        <v>296.33</v>
      </c>
      <c r="N151" s="16">
        <v>80</v>
      </c>
      <c r="O151" s="16">
        <v>80.5</v>
      </c>
      <c r="P151" s="16">
        <v>0.5</v>
      </c>
      <c r="Q151" s="16">
        <v>294.52</v>
      </c>
      <c r="R151" s="16">
        <v>294.02</v>
      </c>
      <c r="S151" s="16">
        <v>0.28999999999999998</v>
      </c>
      <c r="T151" s="16">
        <v>0.29299999999999998</v>
      </c>
      <c r="U151" s="16">
        <v>1.008</v>
      </c>
    </row>
    <row r="152" spans="1:21" ht="15" x14ac:dyDescent="0.25">
      <c r="A152" s="15">
        <v>45089</v>
      </c>
      <c r="B152" s="14" t="s">
        <v>647</v>
      </c>
      <c r="C152" s="14" t="s">
        <v>626</v>
      </c>
      <c r="D152" s="14" t="s">
        <v>694</v>
      </c>
      <c r="E152" s="16">
        <v>12.82</v>
      </c>
      <c r="F152" s="16">
        <v>302.63</v>
      </c>
      <c r="G152" s="16">
        <v>239.58</v>
      </c>
      <c r="H152" s="16">
        <v>63.05</v>
      </c>
      <c r="I152" s="16">
        <v>226.76</v>
      </c>
      <c r="J152" s="16">
        <v>2.2162000000000002</v>
      </c>
      <c r="K152" s="16">
        <v>4.5186999999999999</v>
      </c>
      <c r="L152" s="16">
        <v>2.3025000000000002</v>
      </c>
      <c r="M152" s="16">
        <v>224.46</v>
      </c>
      <c r="N152" s="16">
        <v>70</v>
      </c>
      <c r="O152" s="16">
        <v>78.5</v>
      </c>
      <c r="P152" s="16">
        <v>8.5</v>
      </c>
      <c r="Q152" s="16">
        <v>294.52</v>
      </c>
      <c r="R152" s="16">
        <v>286.02</v>
      </c>
      <c r="S152" s="16">
        <v>0.28100000000000003</v>
      </c>
      <c r="T152" s="16">
        <v>0.22</v>
      </c>
      <c r="U152" s="16">
        <v>0.78500000000000003</v>
      </c>
    </row>
    <row r="153" spans="1:21" ht="15" x14ac:dyDescent="0.25">
      <c r="A153" s="15">
        <v>45089</v>
      </c>
      <c r="B153" s="14" t="s">
        <v>647</v>
      </c>
      <c r="C153" s="14" t="s">
        <v>626</v>
      </c>
      <c r="D153" s="14" t="s">
        <v>695</v>
      </c>
      <c r="E153" s="16">
        <v>12.81</v>
      </c>
      <c r="F153" s="16">
        <v>302.54000000000002</v>
      </c>
      <c r="G153" s="16">
        <v>244.44</v>
      </c>
      <c r="H153" s="16">
        <v>58.1</v>
      </c>
      <c r="I153" s="16">
        <v>231.63</v>
      </c>
      <c r="J153" s="16">
        <v>2.2162000000000002</v>
      </c>
      <c r="K153" s="16">
        <v>2.8391000000000002</v>
      </c>
      <c r="L153" s="16">
        <v>0.62290000000000001</v>
      </c>
      <c r="M153" s="16">
        <v>231.01</v>
      </c>
      <c r="N153" s="16">
        <v>90</v>
      </c>
      <c r="O153" s="16">
        <v>91</v>
      </c>
      <c r="P153" s="16">
        <v>1</v>
      </c>
      <c r="Q153" s="16">
        <v>294.52</v>
      </c>
      <c r="R153" s="16">
        <v>293.52</v>
      </c>
      <c r="S153" s="16">
        <v>0.252</v>
      </c>
      <c r="T153" s="16">
        <v>0.19800000000000001</v>
      </c>
      <c r="U153" s="16">
        <v>0.78700000000000003</v>
      </c>
    </row>
    <row r="154" spans="1:21" ht="15" x14ac:dyDescent="0.25">
      <c r="A154" s="15">
        <v>45089</v>
      </c>
      <c r="B154" s="14" t="s">
        <v>647</v>
      </c>
      <c r="C154" s="14" t="s">
        <v>626</v>
      </c>
      <c r="D154" s="14" t="s">
        <v>693</v>
      </c>
      <c r="E154" s="16">
        <v>12.74</v>
      </c>
      <c r="F154" s="16">
        <v>495.48</v>
      </c>
      <c r="G154" s="16">
        <v>377.88</v>
      </c>
      <c r="H154" s="16">
        <v>117.6</v>
      </c>
      <c r="I154" s="16">
        <v>365.14</v>
      </c>
      <c r="J154" s="16">
        <v>2.2162000000000002</v>
      </c>
      <c r="K154" s="16">
        <v>2.2885</v>
      </c>
      <c r="L154" s="16">
        <v>7.2300000000000003E-2</v>
      </c>
      <c r="M154" s="16">
        <v>365.07</v>
      </c>
      <c r="N154" s="16">
        <v>80</v>
      </c>
      <c r="O154" s="16">
        <v>80.099999999999994</v>
      </c>
      <c r="P154" s="16">
        <v>0.1</v>
      </c>
      <c r="Q154" s="16">
        <v>294.52</v>
      </c>
      <c r="R154" s="16">
        <v>294.42</v>
      </c>
      <c r="S154" s="16">
        <v>0.32200000000000001</v>
      </c>
      <c r="T154" s="16">
        <v>0.39900000000000002</v>
      </c>
      <c r="U154" s="16">
        <v>1.24</v>
      </c>
    </row>
    <row r="155" spans="1:21" ht="15" x14ac:dyDescent="0.25">
      <c r="A155" s="15">
        <v>45089</v>
      </c>
      <c r="B155" s="14" t="s">
        <v>647</v>
      </c>
      <c r="C155" s="14" t="s">
        <v>627</v>
      </c>
      <c r="D155" s="14" t="s">
        <v>692</v>
      </c>
      <c r="E155" s="16">
        <v>13.33</v>
      </c>
      <c r="F155" s="16">
        <v>391.22</v>
      </c>
      <c r="G155" s="16">
        <v>316.26</v>
      </c>
      <c r="H155" s="16">
        <v>74.959999999999994</v>
      </c>
      <c r="I155" s="16">
        <v>302.93</v>
      </c>
      <c r="J155" s="16">
        <v>2.2162000000000002</v>
      </c>
      <c r="K155" s="16">
        <v>2.4439000000000002</v>
      </c>
      <c r="L155" s="16">
        <v>0.22770000000000001</v>
      </c>
      <c r="M155" s="16">
        <v>302.7</v>
      </c>
      <c r="N155" s="16">
        <v>80</v>
      </c>
      <c r="O155" s="16">
        <v>81</v>
      </c>
      <c r="P155" s="16">
        <v>1</v>
      </c>
      <c r="Q155" s="16">
        <v>294.52</v>
      </c>
      <c r="R155" s="16">
        <v>293.52</v>
      </c>
      <c r="S155" s="16">
        <v>0.248</v>
      </c>
      <c r="T155" s="16">
        <v>0.255</v>
      </c>
      <c r="U155" s="16">
        <v>1.0309999999999999</v>
      </c>
    </row>
    <row r="156" spans="1:21" ht="15" x14ac:dyDescent="0.25">
      <c r="A156" s="15">
        <v>45089</v>
      </c>
      <c r="B156" s="14" t="s">
        <v>647</v>
      </c>
      <c r="C156" s="14" t="s">
        <v>627</v>
      </c>
      <c r="D156" s="14" t="s">
        <v>693</v>
      </c>
      <c r="E156" s="16">
        <v>12.78</v>
      </c>
      <c r="F156" s="16">
        <v>427.51</v>
      </c>
      <c r="G156" s="16">
        <v>331.96</v>
      </c>
      <c r="H156" s="16">
        <v>95.55</v>
      </c>
      <c r="I156" s="16">
        <v>319.18</v>
      </c>
      <c r="J156" s="16">
        <v>2.2162000000000002</v>
      </c>
      <c r="K156" s="16">
        <v>2.4935999999999998</v>
      </c>
      <c r="L156" s="16">
        <v>0.27739999999999998</v>
      </c>
      <c r="M156" s="16">
        <v>318.89999999999998</v>
      </c>
      <c r="N156" s="16">
        <v>80</v>
      </c>
      <c r="O156" s="16">
        <v>80.2</v>
      </c>
      <c r="P156" s="16">
        <v>0.2</v>
      </c>
      <c r="Q156" s="16">
        <v>294.52</v>
      </c>
      <c r="R156" s="16">
        <v>294.32</v>
      </c>
      <c r="S156" s="16">
        <v>0.3</v>
      </c>
      <c r="T156" s="16">
        <v>0.32500000000000001</v>
      </c>
      <c r="U156" s="16">
        <v>1.0840000000000001</v>
      </c>
    </row>
    <row r="157" spans="1:21" ht="15" x14ac:dyDescent="0.25">
      <c r="A157" s="15">
        <v>45089</v>
      </c>
      <c r="B157" s="14" t="s">
        <v>647</v>
      </c>
      <c r="C157" s="14" t="s">
        <v>628</v>
      </c>
      <c r="D157" s="14" t="s">
        <v>692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1:21" ht="15" x14ac:dyDescent="0.25">
      <c r="A158" s="15">
        <v>45089</v>
      </c>
      <c r="B158" s="14" t="s">
        <v>647</v>
      </c>
      <c r="C158" s="14" t="s">
        <v>628</v>
      </c>
      <c r="D158" s="14" t="s">
        <v>693</v>
      </c>
      <c r="E158" s="16">
        <v>13.34</v>
      </c>
      <c r="F158" s="16">
        <v>421.96</v>
      </c>
      <c r="G158" s="16">
        <v>327.73</v>
      </c>
      <c r="H158" s="16">
        <v>94.23</v>
      </c>
      <c r="I158" s="16">
        <v>314.39</v>
      </c>
      <c r="J158" s="16">
        <v>2.2162000000000002</v>
      </c>
      <c r="K158" s="16">
        <v>4.2533000000000003</v>
      </c>
      <c r="L158" s="16">
        <v>2.0371000000000001</v>
      </c>
      <c r="M158" s="16">
        <v>312.35000000000002</v>
      </c>
      <c r="N158" s="16">
        <v>90</v>
      </c>
      <c r="O158" s="16">
        <v>93</v>
      </c>
      <c r="P158" s="16">
        <v>3</v>
      </c>
      <c r="Q158" s="16">
        <v>294.52</v>
      </c>
      <c r="R158" s="16">
        <v>291.52</v>
      </c>
      <c r="S158" s="16">
        <v>0.30199999999999999</v>
      </c>
      <c r="T158" s="16">
        <v>0.32300000000000001</v>
      </c>
      <c r="U158" s="16">
        <v>1.071</v>
      </c>
    </row>
    <row r="159" spans="1:21" ht="15" x14ac:dyDescent="0.25">
      <c r="A159" s="15">
        <v>45089</v>
      </c>
      <c r="B159" s="14" t="s">
        <v>647</v>
      </c>
      <c r="C159" s="14" t="s">
        <v>629</v>
      </c>
      <c r="D159" s="14" t="s">
        <v>692</v>
      </c>
      <c r="E159" s="16">
        <v>13.32</v>
      </c>
      <c r="F159" s="16">
        <v>355.34</v>
      </c>
      <c r="G159" s="16">
        <v>288.43</v>
      </c>
      <c r="H159" s="16">
        <v>66.91</v>
      </c>
      <c r="I159" s="16">
        <v>275.11</v>
      </c>
      <c r="J159" s="16">
        <v>2.2162000000000002</v>
      </c>
      <c r="K159" s="16">
        <v>3.2292999999999998</v>
      </c>
      <c r="L159" s="16">
        <v>1.0130999999999999</v>
      </c>
      <c r="M159" s="16">
        <v>274.10000000000002</v>
      </c>
      <c r="N159" s="16">
        <v>80</v>
      </c>
      <c r="O159" s="16">
        <v>80.900000000000006</v>
      </c>
      <c r="P159" s="16">
        <v>0.9</v>
      </c>
      <c r="Q159" s="16">
        <v>294.52</v>
      </c>
      <c r="R159" s="16">
        <v>293.62</v>
      </c>
      <c r="S159" s="16">
        <v>0.24399999999999999</v>
      </c>
      <c r="T159" s="16">
        <v>0.22800000000000001</v>
      </c>
      <c r="U159" s="16">
        <v>0.93300000000000005</v>
      </c>
    </row>
    <row r="160" spans="1:21" ht="15" x14ac:dyDescent="0.25">
      <c r="A160" s="15">
        <v>45089</v>
      </c>
      <c r="B160" s="14" t="s">
        <v>647</v>
      </c>
      <c r="C160" s="14" t="s">
        <v>629</v>
      </c>
      <c r="D160" s="14" t="s">
        <v>693</v>
      </c>
      <c r="E160" s="16">
        <v>13.31</v>
      </c>
      <c r="F160" s="16">
        <v>462.3</v>
      </c>
      <c r="G160" s="16">
        <v>365.94</v>
      </c>
      <c r="H160" s="16">
        <v>96.36</v>
      </c>
      <c r="I160" s="16">
        <v>352.63</v>
      </c>
      <c r="J160" s="16">
        <v>2.2162000000000002</v>
      </c>
      <c r="K160" s="16">
        <v>2.3637999999999999</v>
      </c>
      <c r="L160" s="16">
        <v>0.14760000000000001</v>
      </c>
      <c r="M160" s="16">
        <v>352.48</v>
      </c>
      <c r="N160" s="16">
        <v>80</v>
      </c>
      <c r="O160" s="16">
        <v>80.900000000000006</v>
      </c>
      <c r="P160" s="16">
        <v>0.9</v>
      </c>
      <c r="Q160" s="16">
        <v>294.52</v>
      </c>
      <c r="R160" s="16">
        <v>293.62</v>
      </c>
      <c r="S160" s="16">
        <v>0.27300000000000002</v>
      </c>
      <c r="T160" s="16">
        <v>0.32800000000000001</v>
      </c>
      <c r="U160" s="16">
        <v>1.2</v>
      </c>
    </row>
    <row r="161" spans="1:21" ht="15" x14ac:dyDescent="0.25">
      <c r="A161" s="15">
        <v>45089</v>
      </c>
      <c r="B161" s="14" t="s">
        <v>647</v>
      </c>
      <c r="C161" s="14" t="s">
        <v>630</v>
      </c>
      <c r="D161" s="14" t="s">
        <v>692</v>
      </c>
      <c r="E161" s="16">
        <v>12.81</v>
      </c>
      <c r="F161" s="16">
        <v>354.99</v>
      </c>
      <c r="G161" s="16">
        <v>287.74</v>
      </c>
      <c r="H161" s="16">
        <v>67.25</v>
      </c>
      <c r="I161" s="16">
        <v>274.93</v>
      </c>
      <c r="J161" s="16">
        <v>2.2162000000000002</v>
      </c>
      <c r="K161" s="16">
        <v>4.5796999999999999</v>
      </c>
      <c r="L161" s="16">
        <v>2.3635000000000002</v>
      </c>
      <c r="M161" s="16">
        <v>272.57</v>
      </c>
      <c r="N161" s="16">
        <v>80</v>
      </c>
      <c r="O161" s="16">
        <v>82.5</v>
      </c>
      <c r="P161" s="16">
        <v>2.5</v>
      </c>
      <c r="Q161" s="16">
        <v>294.52</v>
      </c>
      <c r="R161" s="16">
        <v>292.02</v>
      </c>
      <c r="S161" s="16">
        <v>0.247</v>
      </c>
      <c r="T161" s="16">
        <v>0.23</v>
      </c>
      <c r="U161" s="16">
        <v>0.93300000000000005</v>
      </c>
    </row>
    <row r="162" spans="1:21" ht="15" x14ac:dyDescent="0.25">
      <c r="A162" s="15">
        <v>45089</v>
      </c>
      <c r="B162" s="14" t="s">
        <v>647</v>
      </c>
      <c r="C162" s="14" t="s">
        <v>630</v>
      </c>
      <c r="D162" s="14" t="s">
        <v>693</v>
      </c>
      <c r="E162" s="16">
        <v>12.8</v>
      </c>
      <c r="F162" s="16">
        <v>431.09</v>
      </c>
      <c r="G162" s="16">
        <v>340.63</v>
      </c>
      <c r="H162" s="16">
        <v>90.46</v>
      </c>
      <c r="I162" s="16">
        <v>327.83</v>
      </c>
      <c r="J162" s="16">
        <v>2.2162000000000002</v>
      </c>
      <c r="K162" s="16">
        <v>3.2805</v>
      </c>
      <c r="L162" s="16">
        <v>1.0643</v>
      </c>
      <c r="M162" s="16">
        <v>326.77</v>
      </c>
      <c r="N162" s="16">
        <v>80</v>
      </c>
      <c r="O162" s="16">
        <v>82</v>
      </c>
      <c r="P162" s="16">
        <v>2</v>
      </c>
      <c r="Q162" s="16">
        <v>294.52</v>
      </c>
      <c r="R162" s="16">
        <v>292.52</v>
      </c>
      <c r="S162" s="16">
        <v>0.27700000000000002</v>
      </c>
      <c r="T162" s="16">
        <v>0.309</v>
      </c>
      <c r="U162" s="16">
        <v>1.117</v>
      </c>
    </row>
    <row r="163" spans="1:21" ht="15" x14ac:dyDescent="0.25">
      <c r="A163" s="15">
        <v>45089</v>
      </c>
      <c r="B163" s="14" t="s">
        <v>648</v>
      </c>
      <c r="C163" s="14" t="s">
        <v>626</v>
      </c>
      <c r="D163" s="14" t="s">
        <v>692</v>
      </c>
      <c r="E163" s="16">
        <v>12.79</v>
      </c>
      <c r="F163" s="16">
        <v>313.55</v>
      </c>
      <c r="G163" s="16">
        <v>256.88</v>
      </c>
      <c r="H163" s="16">
        <v>56.67</v>
      </c>
      <c r="I163" s="16">
        <v>244.09</v>
      </c>
      <c r="J163" s="16">
        <v>2.2162000000000002</v>
      </c>
      <c r="K163" s="16">
        <v>3.8540000000000001</v>
      </c>
      <c r="L163" s="16">
        <v>1.6377999999999999</v>
      </c>
      <c r="M163" s="16">
        <v>242.45</v>
      </c>
      <c r="N163" s="16">
        <v>80</v>
      </c>
      <c r="O163" s="16">
        <v>85</v>
      </c>
      <c r="P163" s="16">
        <v>5</v>
      </c>
      <c r="Q163" s="16">
        <v>294.52</v>
      </c>
      <c r="R163" s="16">
        <v>289.52</v>
      </c>
      <c r="S163" s="16">
        <v>0.23400000000000001</v>
      </c>
      <c r="T163" s="16">
        <v>0.19600000000000001</v>
      </c>
      <c r="U163" s="16">
        <v>0.83699999999999997</v>
      </c>
    </row>
    <row r="164" spans="1:21" ht="15" x14ac:dyDescent="0.25">
      <c r="A164" s="15">
        <v>45089</v>
      </c>
      <c r="B164" s="14" t="s">
        <v>648</v>
      </c>
      <c r="C164" s="14" t="s">
        <v>626</v>
      </c>
      <c r="D164" s="14" t="s">
        <v>693</v>
      </c>
      <c r="E164" s="16">
        <v>12.8</v>
      </c>
      <c r="F164" s="16">
        <v>368.27</v>
      </c>
      <c r="G164" s="16">
        <v>296.73</v>
      </c>
      <c r="H164" s="16">
        <v>71.540000000000006</v>
      </c>
      <c r="I164" s="16">
        <v>283.93</v>
      </c>
      <c r="J164" s="16">
        <v>2.2162000000000002</v>
      </c>
      <c r="K164" s="16">
        <v>2.4245999999999999</v>
      </c>
      <c r="L164" s="16">
        <v>0.2084</v>
      </c>
      <c r="M164" s="16">
        <v>283.72000000000003</v>
      </c>
      <c r="N164" s="16">
        <v>80</v>
      </c>
      <c r="O164" s="16">
        <v>80.900000000000006</v>
      </c>
      <c r="P164" s="16">
        <v>0.9</v>
      </c>
      <c r="Q164" s="16">
        <v>294.52</v>
      </c>
      <c r="R164" s="16">
        <v>293.62</v>
      </c>
      <c r="S164" s="16">
        <v>0.252</v>
      </c>
      <c r="T164" s="16">
        <v>0.24399999999999999</v>
      </c>
      <c r="U164" s="16">
        <v>0.96599999999999997</v>
      </c>
    </row>
    <row r="165" spans="1:21" ht="15" x14ac:dyDescent="0.25">
      <c r="A165" s="15">
        <v>45089</v>
      </c>
      <c r="B165" s="14" t="s">
        <v>648</v>
      </c>
      <c r="C165" s="14" t="s">
        <v>627</v>
      </c>
      <c r="D165" s="14" t="s">
        <v>692</v>
      </c>
      <c r="E165" s="16">
        <v>13.38</v>
      </c>
      <c r="F165" s="16">
        <v>269.33999999999997</v>
      </c>
      <c r="G165" s="16">
        <v>224.43</v>
      </c>
      <c r="H165" s="16">
        <v>44.91</v>
      </c>
      <c r="I165" s="16">
        <v>211.05</v>
      </c>
      <c r="J165" s="16">
        <v>2.2162000000000002</v>
      </c>
      <c r="K165" s="16">
        <v>4.3879999999999999</v>
      </c>
      <c r="L165" s="16">
        <v>2.1718000000000002</v>
      </c>
      <c r="M165" s="16">
        <v>208.88</v>
      </c>
      <c r="N165" s="16">
        <v>80</v>
      </c>
      <c r="O165" s="16">
        <v>85</v>
      </c>
      <c r="P165" s="16">
        <v>5</v>
      </c>
      <c r="Q165" s="16">
        <v>294.52</v>
      </c>
      <c r="R165" s="16">
        <v>289.52</v>
      </c>
      <c r="S165" s="16">
        <v>0.215</v>
      </c>
      <c r="T165" s="16">
        <v>0.155</v>
      </c>
      <c r="U165" s="16">
        <v>0.72099999999999997</v>
      </c>
    </row>
    <row r="166" spans="1:21" ht="15" x14ac:dyDescent="0.25">
      <c r="A166" s="15">
        <v>45089</v>
      </c>
      <c r="B166" s="14" t="s">
        <v>648</v>
      </c>
      <c r="C166" s="14" t="s">
        <v>627</v>
      </c>
      <c r="D166" s="14" t="s">
        <v>693</v>
      </c>
      <c r="E166" s="16">
        <v>13.23</v>
      </c>
      <c r="F166" s="16">
        <v>427.26</v>
      </c>
      <c r="G166" s="16">
        <v>331.94</v>
      </c>
      <c r="H166" s="16">
        <v>95.32</v>
      </c>
      <c r="I166" s="16">
        <v>318.70999999999998</v>
      </c>
      <c r="J166" s="16">
        <v>2.2162000000000002</v>
      </c>
      <c r="K166" s="16">
        <v>3.4422999999999999</v>
      </c>
      <c r="L166" s="16">
        <v>1.2261</v>
      </c>
      <c r="M166" s="16">
        <v>317.48</v>
      </c>
      <c r="N166" s="16">
        <v>80</v>
      </c>
      <c r="O166" s="16">
        <v>85</v>
      </c>
      <c r="P166" s="16">
        <v>5</v>
      </c>
      <c r="Q166" s="16">
        <v>294.52</v>
      </c>
      <c r="R166" s="16">
        <v>289.52</v>
      </c>
      <c r="S166" s="16">
        <v>0.3</v>
      </c>
      <c r="T166" s="16">
        <v>0.32900000000000001</v>
      </c>
      <c r="U166" s="16">
        <v>1.097</v>
      </c>
    </row>
    <row r="167" spans="1:21" ht="15" x14ac:dyDescent="0.25">
      <c r="A167" s="15">
        <v>45089</v>
      </c>
      <c r="B167" s="14" t="s">
        <v>648</v>
      </c>
      <c r="C167" s="14" t="s">
        <v>628</v>
      </c>
      <c r="D167" s="14" t="s">
        <v>692</v>
      </c>
      <c r="E167" s="16">
        <v>13.39</v>
      </c>
      <c r="F167" s="16">
        <v>359.72</v>
      </c>
      <c r="G167" s="16">
        <v>291.91000000000003</v>
      </c>
      <c r="H167" s="16">
        <v>67.81</v>
      </c>
      <c r="I167" s="16">
        <v>278.52</v>
      </c>
      <c r="J167" s="16">
        <v>2.2162000000000002</v>
      </c>
      <c r="K167" s="16">
        <v>3.0619000000000001</v>
      </c>
      <c r="L167" s="16">
        <v>0.84570000000000001</v>
      </c>
      <c r="M167" s="16">
        <v>277.67</v>
      </c>
      <c r="N167" s="16">
        <v>80</v>
      </c>
      <c r="O167" s="16">
        <v>81.5</v>
      </c>
      <c r="P167" s="16">
        <v>1.5</v>
      </c>
      <c r="Q167" s="16">
        <v>294.52</v>
      </c>
      <c r="R167" s="16">
        <v>293.02</v>
      </c>
      <c r="S167" s="16">
        <v>0.24399999999999999</v>
      </c>
      <c r="T167" s="16">
        <v>0.23100000000000001</v>
      </c>
      <c r="U167" s="16">
        <v>0.94799999999999995</v>
      </c>
    </row>
    <row r="168" spans="1:21" ht="15" x14ac:dyDescent="0.25">
      <c r="A168" s="15">
        <v>45089</v>
      </c>
      <c r="B168" s="14" t="s">
        <v>648</v>
      </c>
      <c r="C168" s="14" t="s">
        <v>628</v>
      </c>
      <c r="D168" s="14" t="s">
        <v>693</v>
      </c>
      <c r="E168" s="16">
        <v>12.77</v>
      </c>
      <c r="F168" s="16">
        <v>456.33</v>
      </c>
      <c r="G168" s="16">
        <v>353.56</v>
      </c>
      <c r="H168" s="16">
        <v>102.77</v>
      </c>
      <c r="I168" s="16">
        <v>340.79</v>
      </c>
      <c r="J168" s="16">
        <v>2.2162000000000002</v>
      </c>
      <c r="K168" s="16">
        <v>2.2530000000000001</v>
      </c>
      <c r="L168" s="16">
        <v>3.6799999999999999E-2</v>
      </c>
      <c r="M168" s="16">
        <v>340.75</v>
      </c>
      <c r="N168" s="16">
        <v>80</v>
      </c>
      <c r="O168" s="16">
        <v>80.099999999999994</v>
      </c>
      <c r="P168" s="16">
        <v>0.1</v>
      </c>
      <c r="Q168" s="16">
        <v>294.52</v>
      </c>
      <c r="R168" s="16">
        <v>294.42</v>
      </c>
      <c r="S168" s="16">
        <v>0.30199999999999999</v>
      </c>
      <c r="T168" s="16">
        <v>0.34899999999999998</v>
      </c>
      <c r="U168" s="16">
        <v>1.157</v>
      </c>
    </row>
    <row r="169" spans="1:21" ht="15" x14ac:dyDescent="0.25">
      <c r="A169" s="15">
        <v>45089</v>
      </c>
      <c r="B169" s="14" t="s">
        <v>648</v>
      </c>
      <c r="C169" s="14" t="s">
        <v>629</v>
      </c>
      <c r="D169" s="14" t="s">
        <v>692</v>
      </c>
      <c r="E169" s="16">
        <v>12.74</v>
      </c>
      <c r="F169" s="16">
        <v>251.77</v>
      </c>
      <c r="G169" s="16">
        <v>193.38</v>
      </c>
      <c r="H169" s="16">
        <v>58.39</v>
      </c>
      <c r="I169" s="16">
        <v>180.64</v>
      </c>
      <c r="J169" s="16">
        <v>2.2162000000000002</v>
      </c>
      <c r="K169" s="16">
        <v>15.0288</v>
      </c>
      <c r="L169" s="16">
        <v>12.8126</v>
      </c>
      <c r="M169" s="16">
        <v>167.83</v>
      </c>
      <c r="N169" s="16">
        <v>70</v>
      </c>
      <c r="O169" s="16">
        <v>93</v>
      </c>
      <c r="P169" s="16">
        <v>23</v>
      </c>
      <c r="Q169" s="16">
        <v>294.52</v>
      </c>
      <c r="R169" s="16">
        <v>271.52</v>
      </c>
      <c r="S169" s="16">
        <v>0.34799999999999998</v>
      </c>
      <c r="T169" s="16">
        <v>0.215</v>
      </c>
      <c r="U169" s="16">
        <v>0.61799999999999999</v>
      </c>
    </row>
    <row r="170" spans="1:21" ht="15" x14ac:dyDescent="0.25">
      <c r="A170" s="15">
        <v>45089</v>
      </c>
      <c r="B170" s="14" t="s">
        <v>648</v>
      </c>
      <c r="C170" s="14" t="s">
        <v>629</v>
      </c>
      <c r="D170" s="14" t="s">
        <v>693</v>
      </c>
      <c r="E170" s="16">
        <v>12.8</v>
      </c>
      <c r="F170" s="16">
        <v>416.18</v>
      </c>
      <c r="G170" s="16">
        <v>324.45</v>
      </c>
      <c r="H170" s="16">
        <v>91.73</v>
      </c>
      <c r="I170" s="16">
        <v>311.64999999999998</v>
      </c>
      <c r="J170" s="16">
        <v>2.2162000000000002</v>
      </c>
      <c r="K170" s="16">
        <v>4.6500000000000004</v>
      </c>
      <c r="L170" s="16">
        <v>2.4338000000000002</v>
      </c>
      <c r="M170" s="16">
        <v>309.22000000000003</v>
      </c>
      <c r="N170" s="16">
        <v>80</v>
      </c>
      <c r="O170" s="16">
        <v>85</v>
      </c>
      <c r="P170" s="16">
        <v>5</v>
      </c>
      <c r="Q170" s="16">
        <v>294.52</v>
      </c>
      <c r="R170" s="16">
        <v>289.52</v>
      </c>
      <c r="S170" s="16">
        <v>0.29699999999999999</v>
      </c>
      <c r="T170" s="16">
        <v>0.317</v>
      </c>
      <c r="U170" s="16">
        <v>1.0680000000000001</v>
      </c>
    </row>
    <row r="171" spans="1:21" ht="15" x14ac:dyDescent="0.25">
      <c r="A171" s="15">
        <v>45089</v>
      </c>
      <c r="B171" s="14" t="s">
        <v>648</v>
      </c>
      <c r="C171" s="14" t="s">
        <v>630</v>
      </c>
      <c r="D171" s="14" t="s">
        <v>692</v>
      </c>
      <c r="E171" s="16">
        <v>12.75</v>
      </c>
      <c r="F171" s="16">
        <v>233.07</v>
      </c>
      <c r="G171" s="16">
        <v>163.41999999999999</v>
      </c>
      <c r="H171" s="16">
        <v>69.650000000000006</v>
      </c>
      <c r="I171" s="16">
        <v>150.66999999999999</v>
      </c>
      <c r="J171" s="16">
        <v>2.2162000000000002</v>
      </c>
      <c r="K171" s="16">
        <v>7.7430000000000003</v>
      </c>
      <c r="L171" s="16">
        <v>5.5267999999999997</v>
      </c>
      <c r="M171" s="16">
        <v>145.13999999999999</v>
      </c>
      <c r="N171" s="16">
        <v>70</v>
      </c>
      <c r="O171" s="16">
        <v>86.5</v>
      </c>
      <c r="P171" s="16">
        <v>16.5</v>
      </c>
      <c r="Q171" s="16">
        <v>294.52</v>
      </c>
      <c r="R171" s="16">
        <v>278.02</v>
      </c>
      <c r="S171" s="16">
        <v>0.48</v>
      </c>
      <c r="T171" s="16">
        <v>0.251</v>
      </c>
      <c r="U171" s="16">
        <v>0.52200000000000002</v>
      </c>
    </row>
    <row r="172" spans="1:21" ht="15" x14ac:dyDescent="0.25">
      <c r="A172" s="15">
        <v>45089</v>
      </c>
      <c r="B172" s="14" t="s">
        <v>648</v>
      </c>
      <c r="C172" s="14" t="s">
        <v>630</v>
      </c>
      <c r="D172" s="14" t="s">
        <v>693</v>
      </c>
      <c r="E172" s="16">
        <v>13.4</v>
      </c>
      <c r="F172" s="16">
        <v>411.13</v>
      </c>
      <c r="G172" s="16">
        <v>297.49</v>
      </c>
      <c r="H172" s="16">
        <v>113.64</v>
      </c>
      <c r="I172" s="16">
        <v>284.08999999999997</v>
      </c>
      <c r="J172" s="16">
        <v>2.2162000000000002</v>
      </c>
      <c r="K172" s="16">
        <v>2.9428999999999998</v>
      </c>
      <c r="L172" s="16">
        <v>0.72670000000000001</v>
      </c>
      <c r="M172" s="16">
        <v>283.36</v>
      </c>
      <c r="N172" s="16">
        <v>80</v>
      </c>
      <c r="O172" s="16">
        <v>82</v>
      </c>
      <c r="P172" s="16">
        <v>2</v>
      </c>
      <c r="Q172" s="16">
        <v>294.52</v>
      </c>
      <c r="R172" s="16">
        <v>292.52</v>
      </c>
      <c r="S172" s="16">
        <v>0.40100000000000002</v>
      </c>
      <c r="T172" s="16">
        <v>0.38800000000000001</v>
      </c>
      <c r="U172" s="16">
        <v>0.96899999999999997</v>
      </c>
    </row>
    <row r="173" spans="1:21" ht="15" x14ac:dyDescent="0.25">
      <c r="A173" s="15">
        <v>45089</v>
      </c>
      <c r="B173" s="14" t="s">
        <v>649</v>
      </c>
      <c r="C173" s="14" t="s">
        <v>626</v>
      </c>
      <c r="D173" s="14" t="s">
        <v>692</v>
      </c>
      <c r="E173" s="16">
        <v>12.88</v>
      </c>
      <c r="F173" s="16">
        <v>303.79000000000002</v>
      </c>
      <c r="G173" s="16">
        <v>251.05</v>
      </c>
      <c r="H173" s="16">
        <v>52.74</v>
      </c>
      <c r="I173" s="16">
        <v>238.17</v>
      </c>
      <c r="J173" s="16">
        <v>2.2162000000000002</v>
      </c>
      <c r="K173" s="16">
        <v>4.2511999999999999</v>
      </c>
      <c r="L173" s="16">
        <v>2.0350000000000001</v>
      </c>
      <c r="M173" s="16">
        <v>236.14</v>
      </c>
      <c r="N173" s="16">
        <v>80</v>
      </c>
      <c r="O173" s="16">
        <v>84.5</v>
      </c>
      <c r="P173" s="16">
        <v>4.5</v>
      </c>
      <c r="Q173" s="16">
        <v>294.52</v>
      </c>
      <c r="R173" s="16">
        <v>290.02</v>
      </c>
      <c r="S173" s="16">
        <v>0.223</v>
      </c>
      <c r="T173" s="16">
        <v>0.182</v>
      </c>
      <c r="U173" s="16">
        <v>0.81399999999999995</v>
      </c>
    </row>
    <row r="174" spans="1:21" ht="15" x14ac:dyDescent="0.25">
      <c r="A174" s="15">
        <v>45089</v>
      </c>
      <c r="B174" s="14" t="s">
        <v>649</v>
      </c>
      <c r="C174" s="14" t="s">
        <v>626</v>
      </c>
      <c r="D174" s="14" t="s">
        <v>693</v>
      </c>
      <c r="E174" s="16">
        <v>13.38</v>
      </c>
      <c r="F174" s="16">
        <v>490.44</v>
      </c>
      <c r="G174" s="16">
        <v>400.15</v>
      </c>
      <c r="H174" s="16">
        <v>90.29</v>
      </c>
      <c r="I174" s="16">
        <v>386.77</v>
      </c>
      <c r="J174" s="16">
        <v>2.2162000000000002</v>
      </c>
      <c r="K174" s="16">
        <v>2.8267000000000002</v>
      </c>
      <c r="L174" s="16">
        <v>0.61050000000000004</v>
      </c>
      <c r="M174" s="16">
        <v>386.16</v>
      </c>
      <c r="N174" s="16">
        <v>80</v>
      </c>
      <c r="O174" s="16">
        <v>81.5</v>
      </c>
      <c r="P174" s="16">
        <v>1.5</v>
      </c>
      <c r="Q174" s="16">
        <v>294.52</v>
      </c>
      <c r="R174" s="16">
        <v>293.02</v>
      </c>
      <c r="S174" s="16">
        <v>0.23400000000000001</v>
      </c>
      <c r="T174" s="16">
        <v>0.308</v>
      </c>
      <c r="U174" s="16">
        <v>1.3180000000000001</v>
      </c>
    </row>
    <row r="175" spans="1:21" ht="15" x14ac:dyDescent="0.25">
      <c r="A175" s="15">
        <v>45089</v>
      </c>
      <c r="B175" s="14" t="s">
        <v>649</v>
      </c>
      <c r="C175" s="14" t="s">
        <v>627</v>
      </c>
      <c r="D175" s="14" t="s">
        <v>692</v>
      </c>
      <c r="E175" s="16">
        <v>12.75</v>
      </c>
      <c r="F175" s="16">
        <v>308.63</v>
      </c>
      <c r="G175" s="16">
        <v>237.67</v>
      </c>
      <c r="H175" s="16">
        <v>70.959999999999994</v>
      </c>
      <c r="I175" s="16">
        <v>224.92</v>
      </c>
      <c r="J175" s="16">
        <v>2.2162000000000002</v>
      </c>
      <c r="K175" s="16">
        <v>4.6428000000000003</v>
      </c>
      <c r="L175" s="16">
        <v>2.4266000000000001</v>
      </c>
      <c r="M175" s="16">
        <v>222.49</v>
      </c>
      <c r="N175" s="16">
        <v>90</v>
      </c>
      <c r="O175" s="16">
        <v>94</v>
      </c>
      <c r="P175" s="16">
        <v>4</v>
      </c>
      <c r="Q175" s="16">
        <v>294.52</v>
      </c>
      <c r="R175" s="16">
        <v>290.52</v>
      </c>
      <c r="S175" s="16">
        <v>0.31900000000000001</v>
      </c>
      <c r="T175" s="16">
        <v>0.24399999999999999</v>
      </c>
      <c r="U175" s="16">
        <v>0.76600000000000001</v>
      </c>
    </row>
    <row r="176" spans="1:21" ht="15" x14ac:dyDescent="0.25">
      <c r="A176" s="15">
        <v>45089</v>
      </c>
      <c r="B176" s="14" t="s">
        <v>649</v>
      </c>
      <c r="C176" s="14" t="s">
        <v>627</v>
      </c>
      <c r="D176" s="14" t="s">
        <v>693</v>
      </c>
      <c r="E176" s="16">
        <v>13.21</v>
      </c>
      <c r="F176" s="16">
        <v>468.81</v>
      </c>
      <c r="G176" s="16">
        <v>358.31</v>
      </c>
      <c r="H176" s="16">
        <v>110.5</v>
      </c>
      <c r="I176" s="16">
        <v>345.1</v>
      </c>
      <c r="J176" s="16">
        <v>2.2162000000000002</v>
      </c>
      <c r="K176" s="16">
        <v>2.4380000000000002</v>
      </c>
      <c r="L176" s="16">
        <v>0.2218</v>
      </c>
      <c r="M176" s="16">
        <v>344.88</v>
      </c>
      <c r="N176" s="16">
        <v>80</v>
      </c>
      <c r="O176" s="16">
        <v>80.5</v>
      </c>
      <c r="P176" s="16">
        <v>0.5</v>
      </c>
      <c r="Q176" s="16">
        <v>294.52</v>
      </c>
      <c r="R176" s="16">
        <v>294.02</v>
      </c>
      <c r="S176" s="16">
        <v>0.32</v>
      </c>
      <c r="T176" s="16">
        <v>0.376</v>
      </c>
      <c r="U176" s="16">
        <v>1.173</v>
      </c>
    </row>
    <row r="177" spans="1:21" ht="15" x14ac:dyDescent="0.25">
      <c r="A177" s="15">
        <v>45089</v>
      </c>
      <c r="B177" s="14" t="s">
        <v>649</v>
      </c>
      <c r="C177" s="14" t="s">
        <v>628</v>
      </c>
      <c r="D177" s="14" t="s">
        <v>692</v>
      </c>
      <c r="E177" s="16">
        <v>12.98</v>
      </c>
      <c r="F177" s="16">
        <v>267.22000000000003</v>
      </c>
      <c r="G177" s="16">
        <v>194.28</v>
      </c>
      <c r="H177" s="16">
        <v>72.94</v>
      </c>
      <c r="I177" s="16">
        <v>181.3</v>
      </c>
      <c r="J177" s="16">
        <v>2.2162000000000002</v>
      </c>
      <c r="K177" s="16">
        <v>12.2699</v>
      </c>
      <c r="L177" s="16">
        <v>10.053699999999999</v>
      </c>
      <c r="M177" s="16">
        <v>171.25</v>
      </c>
      <c r="N177" s="16">
        <v>60</v>
      </c>
      <c r="O177" s="16">
        <v>89</v>
      </c>
      <c r="P177" s="16">
        <v>29</v>
      </c>
      <c r="Q177" s="16">
        <v>294.52</v>
      </c>
      <c r="R177" s="16">
        <v>265.52</v>
      </c>
      <c r="S177" s="16">
        <v>0.42599999999999999</v>
      </c>
      <c r="T177" s="16">
        <v>0.27500000000000002</v>
      </c>
      <c r="U177" s="16">
        <v>0.64500000000000002</v>
      </c>
    </row>
    <row r="178" spans="1:21" ht="15" x14ac:dyDescent="0.25">
      <c r="A178" s="15">
        <v>45089</v>
      </c>
      <c r="B178" s="14" t="s">
        <v>649</v>
      </c>
      <c r="C178" s="14" t="s">
        <v>628</v>
      </c>
      <c r="D178" s="14" t="s">
        <v>693</v>
      </c>
      <c r="E178" s="16">
        <v>12.82</v>
      </c>
      <c r="F178" s="16">
        <v>330.82</v>
      </c>
      <c r="G178" s="16">
        <v>240.59</v>
      </c>
      <c r="H178" s="16">
        <v>90.23</v>
      </c>
      <c r="I178" s="16">
        <v>227.77</v>
      </c>
      <c r="J178" s="16">
        <v>2.2162000000000002</v>
      </c>
      <c r="K178" s="16">
        <v>4.4371999999999998</v>
      </c>
      <c r="L178" s="16">
        <v>2.2210000000000001</v>
      </c>
      <c r="M178" s="16">
        <v>225.55</v>
      </c>
      <c r="N178" s="16">
        <v>80</v>
      </c>
      <c r="O178" s="16">
        <v>82</v>
      </c>
      <c r="P178" s="16">
        <v>2</v>
      </c>
      <c r="Q178" s="16">
        <v>294.52</v>
      </c>
      <c r="R178" s="16">
        <v>292.52</v>
      </c>
      <c r="S178" s="16">
        <v>0.4</v>
      </c>
      <c r="T178" s="16">
        <v>0.308</v>
      </c>
      <c r="U178" s="16">
        <v>0.77100000000000002</v>
      </c>
    </row>
    <row r="179" spans="1:21" ht="15" x14ac:dyDescent="0.25">
      <c r="A179" s="15">
        <v>45089</v>
      </c>
      <c r="B179" s="14" t="s">
        <v>649</v>
      </c>
      <c r="C179" s="14" t="s">
        <v>629</v>
      </c>
      <c r="D179" s="14" t="s">
        <v>692</v>
      </c>
      <c r="E179" s="16">
        <v>12.9</v>
      </c>
      <c r="F179" s="16">
        <v>324.7</v>
      </c>
      <c r="G179" s="16">
        <v>256.92</v>
      </c>
      <c r="H179" s="16">
        <v>67.78</v>
      </c>
      <c r="I179" s="16">
        <v>244.02</v>
      </c>
      <c r="J179" s="16">
        <v>2.2162000000000002</v>
      </c>
      <c r="K179" s="16">
        <v>3.9451999999999998</v>
      </c>
      <c r="L179" s="16">
        <v>1.7290000000000001</v>
      </c>
      <c r="M179" s="16">
        <v>242.29</v>
      </c>
      <c r="N179" s="16">
        <v>80</v>
      </c>
      <c r="O179" s="16">
        <v>83</v>
      </c>
      <c r="P179" s="16">
        <v>3</v>
      </c>
      <c r="Q179" s="16">
        <v>294.52</v>
      </c>
      <c r="R179" s="16">
        <v>291.52</v>
      </c>
      <c r="S179" s="16">
        <v>0.28000000000000003</v>
      </c>
      <c r="T179" s="16">
        <v>0.23300000000000001</v>
      </c>
      <c r="U179" s="16">
        <v>0.83099999999999996</v>
      </c>
    </row>
    <row r="180" spans="1:21" ht="15" x14ac:dyDescent="0.25">
      <c r="A180" s="15">
        <v>45089</v>
      </c>
      <c r="B180" s="14" t="s">
        <v>649</v>
      </c>
      <c r="C180" s="14" t="s">
        <v>629</v>
      </c>
      <c r="D180" s="14" t="s">
        <v>693</v>
      </c>
      <c r="E180" s="16">
        <v>12.78</v>
      </c>
      <c r="F180" s="16">
        <v>411.05</v>
      </c>
      <c r="G180" s="16">
        <v>321.18</v>
      </c>
      <c r="H180" s="16">
        <v>89.87</v>
      </c>
      <c r="I180" s="16">
        <v>308.39999999999998</v>
      </c>
      <c r="J180" s="16">
        <v>2.2162000000000002</v>
      </c>
      <c r="K180" s="16">
        <v>2.7725</v>
      </c>
      <c r="L180" s="16">
        <v>0.55630000000000002</v>
      </c>
      <c r="M180" s="16">
        <v>307.83999999999997</v>
      </c>
      <c r="N180" s="16">
        <v>80</v>
      </c>
      <c r="O180" s="16">
        <v>81.5</v>
      </c>
      <c r="P180" s="16">
        <v>1.5</v>
      </c>
      <c r="Q180" s="16">
        <v>294.52</v>
      </c>
      <c r="R180" s="16">
        <v>293.02</v>
      </c>
      <c r="S180" s="16">
        <v>0.29199999999999998</v>
      </c>
      <c r="T180" s="16">
        <v>0.307</v>
      </c>
      <c r="U180" s="16">
        <v>1.0509999999999999</v>
      </c>
    </row>
    <row r="181" spans="1:21" ht="15" x14ac:dyDescent="0.25">
      <c r="A181" s="15">
        <v>45089</v>
      </c>
      <c r="B181" s="14" t="s">
        <v>649</v>
      </c>
      <c r="C181" s="14" t="s">
        <v>630</v>
      </c>
      <c r="D181" s="14" t="s">
        <v>692</v>
      </c>
      <c r="E181" s="16">
        <v>12.92</v>
      </c>
      <c r="F181" s="16">
        <v>366.63</v>
      </c>
      <c r="G181" s="16">
        <v>286.89999999999998</v>
      </c>
      <c r="H181" s="16">
        <v>79.73</v>
      </c>
      <c r="I181" s="16">
        <v>273.98</v>
      </c>
      <c r="J181" s="16">
        <v>2.2162000000000002</v>
      </c>
      <c r="K181" s="16">
        <v>2.4420000000000002</v>
      </c>
      <c r="L181" s="16">
        <v>0.2258</v>
      </c>
      <c r="M181" s="16">
        <v>273.75</v>
      </c>
      <c r="N181" s="16">
        <v>80</v>
      </c>
      <c r="O181" s="16">
        <v>80.5</v>
      </c>
      <c r="P181" s="16">
        <v>0.5</v>
      </c>
      <c r="Q181" s="16">
        <v>294.52</v>
      </c>
      <c r="R181" s="16">
        <v>294.02</v>
      </c>
      <c r="S181" s="16">
        <v>0.29099999999999998</v>
      </c>
      <c r="T181" s="16">
        <v>0.27100000000000002</v>
      </c>
      <c r="U181" s="16">
        <v>0.93100000000000005</v>
      </c>
    </row>
    <row r="182" spans="1:21" ht="15" x14ac:dyDescent="0.25">
      <c r="A182" s="15">
        <v>45089</v>
      </c>
      <c r="B182" s="14" t="s">
        <v>649</v>
      </c>
      <c r="C182" s="14" t="s">
        <v>630</v>
      </c>
      <c r="D182" s="14" t="s">
        <v>693</v>
      </c>
      <c r="E182" s="16">
        <v>12.92</v>
      </c>
      <c r="F182" s="16">
        <v>386.51</v>
      </c>
      <c r="G182" s="16">
        <v>296.23</v>
      </c>
      <c r="H182" s="16">
        <v>90.28</v>
      </c>
      <c r="I182" s="16">
        <v>283.31</v>
      </c>
      <c r="J182" s="16">
        <v>2.2162000000000002</v>
      </c>
      <c r="K182" s="16">
        <v>2.5003000000000002</v>
      </c>
      <c r="L182" s="16">
        <v>0.28410000000000002</v>
      </c>
      <c r="M182" s="16">
        <v>283.02999999999997</v>
      </c>
      <c r="N182" s="16">
        <v>80</v>
      </c>
      <c r="O182" s="16">
        <v>80.5</v>
      </c>
      <c r="P182" s="16">
        <v>0.5</v>
      </c>
      <c r="Q182" s="16">
        <v>294.52</v>
      </c>
      <c r="R182" s="16">
        <v>294.02</v>
      </c>
      <c r="S182" s="16">
        <v>0.31900000000000001</v>
      </c>
      <c r="T182" s="16">
        <v>0.307</v>
      </c>
      <c r="U182" s="16">
        <v>0.96299999999999997</v>
      </c>
    </row>
    <row r="183" spans="1:21" ht="12.75" x14ac:dyDescent="0.2">
      <c r="A183" s="20"/>
      <c r="B183" s="20"/>
      <c r="C183" s="20"/>
      <c r="D183" s="20"/>
      <c r="E183" s="20"/>
      <c r="F183" s="20"/>
      <c r="G183" s="20"/>
    </row>
    <row r="184" spans="1:21" ht="12.75" x14ac:dyDescent="0.2">
      <c r="A184" s="20"/>
      <c r="B184" s="20"/>
      <c r="C184" s="20"/>
      <c r="D184" s="20"/>
      <c r="E184" s="20"/>
      <c r="F184" s="20"/>
      <c r="G184" s="20"/>
    </row>
    <row r="185" spans="1:21" ht="12.75" x14ac:dyDescent="0.2">
      <c r="A185" s="20"/>
      <c r="B185" s="20"/>
      <c r="C185" s="20"/>
      <c r="D185" s="20"/>
      <c r="E185" s="20"/>
      <c r="F185" s="20"/>
      <c r="G185" s="20"/>
    </row>
    <row r="186" spans="1:21" ht="12.75" x14ac:dyDescent="0.2">
      <c r="A186" s="20"/>
      <c r="B186" s="20"/>
      <c r="C186" s="20"/>
      <c r="D186" s="20"/>
      <c r="E186" s="20"/>
      <c r="F186" s="20"/>
      <c r="G186" s="20"/>
    </row>
    <row r="187" spans="1:21" ht="12.75" x14ac:dyDescent="0.2">
      <c r="A187" s="20"/>
      <c r="B187" s="20"/>
      <c r="C187" s="20"/>
      <c r="D187" s="20"/>
      <c r="E187" s="20"/>
      <c r="F187" s="20"/>
      <c r="G187" s="20"/>
    </row>
    <row r="188" spans="1:21" ht="12.75" x14ac:dyDescent="0.2">
      <c r="A188" s="20"/>
      <c r="B188" s="20"/>
      <c r="C188" s="20"/>
      <c r="D188" s="20"/>
      <c r="E188" s="20"/>
      <c r="F188" s="20"/>
      <c r="G188" s="20"/>
    </row>
    <row r="189" spans="1:21" ht="12.75" x14ac:dyDescent="0.2">
      <c r="A189" s="20"/>
      <c r="B189" s="20"/>
      <c r="C189" s="20"/>
      <c r="D189" s="20"/>
      <c r="E189" s="20"/>
      <c r="F189" s="20"/>
      <c r="G189" s="20"/>
    </row>
    <row r="190" spans="1:21" ht="12.75" x14ac:dyDescent="0.2">
      <c r="A190" s="20"/>
      <c r="B190" s="20"/>
      <c r="C190" s="20"/>
      <c r="D190" s="20"/>
      <c r="E190" s="20"/>
      <c r="F190" s="20"/>
      <c r="G190" s="20"/>
    </row>
    <row r="191" spans="1:21" ht="12.75" x14ac:dyDescent="0.2">
      <c r="A191" s="20"/>
      <c r="B191" s="20"/>
      <c r="C191" s="20"/>
      <c r="D191" s="20"/>
      <c r="E191" s="20"/>
      <c r="F191" s="20"/>
      <c r="G191" s="20"/>
    </row>
    <row r="192" spans="1:21" ht="12.75" x14ac:dyDescent="0.2">
      <c r="A192" s="20"/>
      <c r="B192" s="20"/>
      <c r="C192" s="20"/>
      <c r="D192" s="20"/>
      <c r="E192" s="20"/>
      <c r="F192" s="20"/>
      <c r="G192" s="20"/>
    </row>
    <row r="193" spans="1:7" ht="12.75" x14ac:dyDescent="0.2">
      <c r="A193" s="20"/>
      <c r="B193" s="20"/>
      <c r="C193" s="20"/>
      <c r="D193" s="20"/>
      <c r="E193" s="20"/>
      <c r="F193" s="20"/>
      <c r="G193" s="20"/>
    </row>
    <row r="194" spans="1:7" ht="12.75" x14ac:dyDescent="0.2">
      <c r="A194" s="20"/>
      <c r="B194" s="20"/>
      <c r="C194" s="20"/>
      <c r="D194" s="20"/>
      <c r="E194" s="20"/>
      <c r="F194" s="20"/>
      <c r="G194" s="20"/>
    </row>
    <row r="195" spans="1:7" ht="12.75" x14ac:dyDescent="0.2">
      <c r="A195" s="20"/>
      <c r="B195" s="20"/>
      <c r="C195" s="20"/>
      <c r="D195" s="20"/>
      <c r="E195" s="20"/>
      <c r="F195" s="20"/>
      <c r="G195" s="20"/>
    </row>
    <row r="196" spans="1:7" ht="12.75" x14ac:dyDescent="0.2">
      <c r="A196" s="20"/>
      <c r="B196" s="20"/>
      <c r="C196" s="20"/>
      <c r="D196" s="20"/>
      <c r="E196" s="20"/>
      <c r="F196" s="20"/>
      <c r="G196" s="20"/>
    </row>
    <row r="197" spans="1:7" ht="12.75" x14ac:dyDescent="0.2">
      <c r="A197" s="20"/>
      <c r="B197" s="20"/>
      <c r="C197" s="20"/>
      <c r="D197" s="20"/>
      <c r="E197" s="20"/>
      <c r="F197" s="20"/>
      <c r="G197" s="20"/>
    </row>
    <row r="198" spans="1:7" ht="12.75" x14ac:dyDescent="0.2">
      <c r="A198" s="20"/>
      <c r="B198" s="20"/>
      <c r="C198" s="20"/>
      <c r="D198" s="20"/>
      <c r="E198" s="20"/>
      <c r="F198" s="20"/>
      <c r="G198" s="20"/>
    </row>
    <row r="199" spans="1:7" ht="12.75" x14ac:dyDescent="0.2">
      <c r="A199" s="20"/>
      <c r="B199" s="20"/>
      <c r="C199" s="20"/>
      <c r="D199" s="20"/>
      <c r="E199" s="20"/>
      <c r="F199" s="20"/>
      <c r="G199" s="20"/>
    </row>
    <row r="200" spans="1:7" ht="12.75" x14ac:dyDescent="0.2">
      <c r="A200" s="20"/>
      <c r="B200" s="20"/>
      <c r="C200" s="20"/>
      <c r="D200" s="20"/>
      <c r="E200" s="20"/>
      <c r="F200" s="20"/>
      <c r="G200" s="20"/>
    </row>
    <row r="201" spans="1:7" ht="12.75" x14ac:dyDescent="0.2">
      <c r="A201" s="20"/>
      <c r="B201" s="20"/>
      <c r="C201" s="20"/>
      <c r="D201" s="20"/>
      <c r="E201" s="20"/>
      <c r="F201" s="20"/>
      <c r="G201" s="20"/>
    </row>
    <row r="202" spans="1:7" ht="12.75" x14ac:dyDescent="0.2">
      <c r="A202" s="20"/>
      <c r="B202" s="20"/>
      <c r="C202" s="20"/>
      <c r="D202" s="20"/>
      <c r="E202" s="20"/>
      <c r="F202" s="20"/>
      <c r="G202" s="20"/>
    </row>
    <row r="203" spans="1:7" ht="12.75" x14ac:dyDescent="0.2">
      <c r="A203" s="20"/>
      <c r="B203" s="20"/>
      <c r="C203" s="20"/>
      <c r="D203" s="20"/>
      <c r="E203" s="20"/>
      <c r="F203" s="20"/>
      <c r="G203" s="20"/>
    </row>
    <row r="204" spans="1:7" ht="12.75" x14ac:dyDescent="0.2">
      <c r="A204" s="20"/>
      <c r="B204" s="20"/>
      <c r="C204" s="20"/>
      <c r="D204" s="20"/>
      <c r="E204" s="20"/>
      <c r="F204" s="20"/>
      <c r="G204" s="20"/>
    </row>
    <row r="205" spans="1:7" ht="12.75" x14ac:dyDescent="0.2">
      <c r="A205" s="20"/>
      <c r="B205" s="20"/>
      <c r="C205" s="20"/>
      <c r="D205" s="20"/>
      <c r="E205" s="20"/>
      <c r="F205" s="20"/>
      <c r="G205" s="20"/>
    </row>
    <row r="206" spans="1:7" ht="12.75" x14ac:dyDescent="0.2">
      <c r="A206" s="20"/>
      <c r="B206" s="20"/>
      <c r="C206" s="20"/>
      <c r="D206" s="20"/>
      <c r="E206" s="20"/>
      <c r="F206" s="20"/>
      <c r="G206" s="20"/>
    </row>
    <row r="207" spans="1:7" ht="12.75" x14ac:dyDescent="0.2">
      <c r="A207" s="20"/>
      <c r="B207" s="20"/>
      <c r="C207" s="20"/>
      <c r="D207" s="20"/>
      <c r="E207" s="20"/>
      <c r="F207" s="20"/>
      <c r="G207" s="20"/>
    </row>
    <row r="208" spans="1:7" ht="12.75" x14ac:dyDescent="0.2">
      <c r="A208" s="20"/>
      <c r="B208" s="20"/>
      <c r="C208" s="20"/>
      <c r="D208" s="20"/>
      <c r="E208" s="20"/>
      <c r="F208" s="20"/>
      <c r="G208" s="20"/>
    </row>
    <row r="209" spans="1:7" ht="12.75" x14ac:dyDescent="0.2">
      <c r="A209" s="20"/>
      <c r="B209" s="20"/>
      <c r="C209" s="20"/>
      <c r="D209" s="20"/>
      <c r="E209" s="20"/>
      <c r="F209" s="20"/>
      <c r="G209" s="20"/>
    </row>
    <row r="210" spans="1:7" ht="12.75" x14ac:dyDescent="0.2">
      <c r="A210" s="20"/>
      <c r="B210" s="20"/>
      <c r="C210" s="20"/>
      <c r="D210" s="20"/>
      <c r="E210" s="20"/>
      <c r="F210" s="20"/>
      <c r="G210" s="20"/>
    </row>
    <row r="211" spans="1:7" ht="12.75" x14ac:dyDescent="0.2">
      <c r="A211" s="20"/>
      <c r="B211" s="20"/>
      <c r="C211" s="20"/>
      <c r="D211" s="20"/>
      <c r="E211" s="20"/>
      <c r="F211" s="20"/>
      <c r="G211" s="20"/>
    </row>
    <row r="212" spans="1:7" ht="12.75" x14ac:dyDescent="0.2">
      <c r="A212" s="20"/>
      <c r="B212" s="20"/>
      <c r="C212" s="20"/>
      <c r="D212" s="20"/>
      <c r="E212" s="20"/>
      <c r="F212" s="20"/>
      <c r="G212" s="20"/>
    </row>
    <row r="213" spans="1:7" ht="12.75" x14ac:dyDescent="0.2">
      <c r="A213" s="20"/>
      <c r="B213" s="20"/>
      <c r="C213" s="20"/>
      <c r="D213" s="20"/>
      <c r="E213" s="20"/>
      <c r="F213" s="20"/>
      <c r="G213" s="20"/>
    </row>
    <row r="214" spans="1:7" ht="12.75" x14ac:dyDescent="0.2">
      <c r="A214" s="20"/>
      <c r="B214" s="20"/>
      <c r="C214" s="20"/>
      <c r="D214" s="20"/>
      <c r="E214" s="20"/>
      <c r="F214" s="20"/>
      <c r="G214" s="20"/>
    </row>
    <row r="215" spans="1:7" ht="12.75" x14ac:dyDescent="0.2">
      <c r="A215" s="20"/>
      <c r="B215" s="20"/>
      <c r="C215" s="20"/>
      <c r="D215" s="20"/>
      <c r="E215" s="20"/>
      <c r="F215" s="20"/>
      <c r="G215" s="20"/>
    </row>
    <row r="216" spans="1:7" ht="12.75" x14ac:dyDescent="0.2">
      <c r="A216" s="20"/>
      <c r="B216" s="20"/>
      <c r="C216" s="20"/>
      <c r="D216" s="20"/>
      <c r="E216" s="20"/>
      <c r="F216" s="20"/>
      <c r="G216" s="20"/>
    </row>
    <row r="217" spans="1:7" ht="12.75" x14ac:dyDescent="0.2">
      <c r="A217" s="20"/>
      <c r="B217" s="20"/>
      <c r="C217" s="20"/>
      <c r="D217" s="20"/>
      <c r="E217" s="20"/>
      <c r="F217" s="20"/>
      <c r="G217" s="20"/>
    </row>
    <row r="218" spans="1:7" ht="12.75" x14ac:dyDescent="0.2">
      <c r="A218" s="20"/>
      <c r="B218" s="20"/>
      <c r="C218" s="20"/>
      <c r="D218" s="20"/>
      <c r="E218" s="20"/>
      <c r="F218" s="20"/>
      <c r="G218" s="20"/>
    </row>
    <row r="219" spans="1:7" ht="12.75" x14ac:dyDescent="0.2">
      <c r="A219" s="20"/>
      <c r="B219" s="20"/>
      <c r="C219" s="20"/>
      <c r="D219" s="20"/>
      <c r="E219" s="20"/>
      <c r="F219" s="20"/>
      <c r="G219" s="20"/>
    </row>
    <row r="220" spans="1:7" ht="12.75" x14ac:dyDescent="0.2">
      <c r="A220" s="20"/>
      <c r="B220" s="20"/>
      <c r="C220" s="20"/>
      <c r="D220" s="20"/>
      <c r="E220" s="20"/>
      <c r="F220" s="20"/>
      <c r="G220" s="20"/>
    </row>
    <row r="221" spans="1:7" ht="12.75" x14ac:dyDescent="0.2">
      <c r="A221" s="20"/>
      <c r="B221" s="20"/>
      <c r="C221" s="20"/>
      <c r="D221" s="20"/>
      <c r="E221" s="20"/>
      <c r="F221" s="20"/>
      <c r="G221" s="20"/>
    </row>
    <row r="222" spans="1:7" ht="12.75" x14ac:dyDescent="0.2">
      <c r="A222" s="20"/>
      <c r="B222" s="20"/>
      <c r="C222" s="20"/>
      <c r="D222" s="20"/>
      <c r="E222" s="20"/>
      <c r="F222" s="20"/>
      <c r="G222" s="20"/>
    </row>
    <row r="223" spans="1:7" ht="12.75" x14ac:dyDescent="0.2">
      <c r="A223" s="20"/>
      <c r="B223" s="20"/>
      <c r="C223" s="20"/>
      <c r="D223" s="20"/>
      <c r="E223" s="20"/>
      <c r="F223" s="20"/>
      <c r="G223" s="20"/>
    </row>
    <row r="224" spans="1:7" ht="12.75" x14ac:dyDescent="0.2">
      <c r="A224" s="20"/>
      <c r="B224" s="20"/>
      <c r="C224" s="20"/>
      <c r="D224" s="20"/>
      <c r="E224" s="20"/>
      <c r="F224" s="20"/>
      <c r="G224" s="20"/>
    </row>
    <row r="225" spans="1:7" ht="12.75" x14ac:dyDescent="0.2">
      <c r="A225" s="20"/>
      <c r="B225" s="20"/>
      <c r="C225" s="20"/>
      <c r="D225" s="20"/>
      <c r="E225" s="20"/>
      <c r="F225" s="20"/>
      <c r="G225" s="20"/>
    </row>
    <row r="226" spans="1:7" ht="12.75" x14ac:dyDescent="0.2">
      <c r="A226" s="20"/>
      <c r="B226" s="20"/>
      <c r="C226" s="20"/>
      <c r="D226" s="20"/>
      <c r="E226" s="20"/>
      <c r="F226" s="20"/>
      <c r="G226" s="20"/>
    </row>
    <row r="227" spans="1:7" ht="12.75" x14ac:dyDescent="0.2">
      <c r="A227" s="20"/>
      <c r="B227" s="20"/>
      <c r="C227" s="20"/>
      <c r="D227" s="20"/>
      <c r="E227" s="20"/>
      <c r="F227" s="20"/>
      <c r="G227" s="20"/>
    </row>
    <row r="228" spans="1:7" ht="12.75" x14ac:dyDescent="0.2">
      <c r="A228" s="20"/>
      <c r="B228" s="20"/>
      <c r="C228" s="20"/>
      <c r="D228" s="20"/>
      <c r="E228" s="20"/>
      <c r="F228" s="20"/>
      <c r="G228" s="20"/>
    </row>
    <row r="229" spans="1:7" ht="12.75" x14ac:dyDescent="0.2">
      <c r="A229" s="20"/>
      <c r="B229" s="20"/>
      <c r="C229" s="20"/>
      <c r="D229" s="20"/>
      <c r="E229" s="20"/>
      <c r="F229" s="20"/>
      <c r="G229" s="20"/>
    </row>
    <row r="230" spans="1:7" ht="12.75" x14ac:dyDescent="0.2">
      <c r="A230" s="20"/>
      <c r="B230" s="20"/>
      <c r="C230" s="20"/>
      <c r="D230" s="20"/>
      <c r="E230" s="20"/>
      <c r="F230" s="20"/>
      <c r="G230" s="20"/>
    </row>
    <row r="231" spans="1:7" ht="12.75" x14ac:dyDescent="0.2">
      <c r="A231" s="20"/>
      <c r="B231" s="20"/>
      <c r="C231" s="20"/>
      <c r="D231" s="20"/>
      <c r="E231" s="20"/>
      <c r="F231" s="20"/>
      <c r="G231" s="20"/>
    </row>
    <row r="232" spans="1:7" ht="12.75" x14ac:dyDescent="0.2">
      <c r="A232" s="20"/>
      <c r="B232" s="20"/>
      <c r="C232" s="20"/>
      <c r="D232" s="20"/>
      <c r="E232" s="20"/>
      <c r="F232" s="20"/>
      <c r="G232" s="20"/>
    </row>
    <row r="233" spans="1:7" ht="12.75" x14ac:dyDescent="0.2">
      <c r="A233" s="20"/>
      <c r="B233" s="20"/>
      <c r="C233" s="20"/>
      <c r="D233" s="20"/>
      <c r="E233" s="20"/>
      <c r="F233" s="20"/>
      <c r="G233" s="20"/>
    </row>
    <row r="234" spans="1:7" ht="12.75" x14ac:dyDescent="0.2">
      <c r="A234" s="20"/>
      <c r="B234" s="20"/>
      <c r="C234" s="20"/>
      <c r="D234" s="20"/>
      <c r="E234" s="20"/>
      <c r="F234" s="20"/>
      <c r="G234" s="20"/>
    </row>
    <row r="235" spans="1:7" ht="12.75" x14ac:dyDescent="0.2">
      <c r="A235" s="20"/>
      <c r="B235" s="20"/>
      <c r="C235" s="20"/>
      <c r="D235" s="20"/>
      <c r="E235" s="20"/>
      <c r="F235" s="20"/>
      <c r="G235" s="20"/>
    </row>
    <row r="236" spans="1:7" ht="12.75" x14ac:dyDescent="0.2">
      <c r="A236" s="20"/>
      <c r="B236" s="20"/>
      <c r="C236" s="20"/>
      <c r="D236" s="20"/>
      <c r="E236" s="20"/>
      <c r="F236" s="20"/>
      <c r="G236" s="20"/>
    </row>
    <row r="237" spans="1:7" ht="12.75" x14ac:dyDescent="0.2">
      <c r="A237" s="20"/>
      <c r="B237" s="20"/>
      <c r="C237" s="20"/>
      <c r="D237" s="20"/>
      <c r="E237" s="20"/>
      <c r="F237" s="20"/>
      <c r="G237" s="20"/>
    </row>
    <row r="238" spans="1:7" ht="12.75" x14ac:dyDescent="0.2">
      <c r="A238" s="20"/>
      <c r="B238" s="20"/>
      <c r="C238" s="20"/>
      <c r="D238" s="20"/>
      <c r="E238" s="20"/>
      <c r="F238" s="20"/>
      <c r="G238" s="20"/>
    </row>
    <row r="239" spans="1:7" ht="12.75" x14ac:dyDescent="0.2">
      <c r="A239" s="20"/>
      <c r="B239" s="20"/>
      <c r="C239" s="20"/>
      <c r="D239" s="20"/>
      <c r="E239" s="20"/>
      <c r="F239" s="20"/>
      <c r="G239" s="20"/>
    </row>
    <row r="240" spans="1:7" ht="12.75" x14ac:dyDescent="0.2">
      <c r="A240" s="20"/>
      <c r="B240" s="20"/>
      <c r="C240" s="20"/>
      <c r="D240" s="20"/>
      <c r="E240" s="20"/>
      <c r="F240" s="20"/>
      <c r="G240" s="20"/>
    </row>
    <row r="241" spans="1:7" ht="12.75" x14ac:dyDescent="0.2">
      <c r="A241" s="20"/>
      <c r="B241" s="20"/>
      <c r="C241" s="20"/>
      <c r="D241" s="20"/>
      <c r="E241" s="20"/>
      <c r="F241" s="20"/>
      <c r="G241" s="20"/>
    </row>
    <row r="242" spans="1:7" ht="12.75" x14ac:dyDescent="0.2">
      <c r="A242" s="20"/>
      <c r="B242" s="20"/>
      <c r="C242" s="20"/>
      <c r="D242" s="20"/>
      <c r="E242" s="20"/>
      <c r="F242" s="20"/>
      <c r="G242" s="20"/>
    </row>
    <row r="243" spans="1:7" ht="12.75" x14ac:dyDescent="0.2">
      <c r="A243" s="20"/>
      <c r="B243" s="20"/>
      <c r="C243" s="20"/>
      <c r="D243" s="20"/>
      <c r="E243" s="20"/>
      <c r="F243" s="20"/>
      <c r="G243" s="20"/>
    </row>
    <row r="244" spans="1:7" ht="12.75" x14ac:dyDescent="0.2">
      <c r="A244" s="20"/>
      <c r="B244" s="20"/>
      <c r="C244" s="20"/>
      <c r="D244" s="20"/>
      <c r="E244" s="20"/>
      <c r="F244" s="20"/>
      <c r="G244" s="20"/>
    </row>
    <row r="245" spans="1:7" ht="12.75" x14ac:dyDescent="0.2">
      <c r="A245" s="20"/>
      <c r="B245" s="20"/>
      <c r="C245" s="20"/>
      <c r="D245" s="20"/>
      <c r="E245" s="20"/>
      <c r="F245" s="20"/>
      <c r="G245" s="20"/>
    </row>
    <row r="246" spans="1:7" ht="12.75" x14ac:dyDescent="0.2">
      <c r="A246" s="20"/>
      <c r="B246" s="20"/>
      <c r="C246" s="20"/>
      <c r="D246" s="20"/>
      <c r="E246" s="20"/>
      <c r="F246" s="20"/>
      <c r="G246" s="20"/>
    </row>
    <row r="247" spans="1:7" ht="12.75" x14ac:dyDescent="0.2">
      <c r="A247" s="20"/>
      <c r="B247" s="20"/>
      <c r="C247" s="20"/>
      <c r="D247" s="20"/>
      <c r="E247" s="20"/>
      <c r="F247" s="20"/>
      <c r="G247" s="20"/>
    </row>
    <row r="248" spans="1:7" ht="12.75" x14ac:dyDescent="0.2">
      <c r="A248" s="20"/>
      <c r="B248" s="20"/>
      <c r="C248" s="20"/>
      <c r="D248" s="20"/>
      <c r="E248" s="20"/>
      <c r="F248" s="20"/>
      <c r="G248" s="20"/>
    </row>
    <row r="249" spans="1:7" ht="12.75" x14ac:dyDescent="0.2">
      <c r="A249" s="20"/>
      <c r="B249" s="20"/>
      <c r="C249" s="20"/>
      <c r="D249" s="20"/>
      <c r="E249" s="20"/>
      <c r="F249" s="20"/>
      <c r="G249" s="20"/>
    </row>
    <row r="250" spans="1:7" ht="12.75" x14ac:dyDescent="0.2">
      <c r="A250" s="20"/>
      <c r="B250" s="20"/>
      <c r="C250" s="20"/>
      <c r="D250" s="20"/>
      <c r="E250" s="20"/>
      <c r="F250" s="20"/>
      <c r="G250" s="20"/>
    </row>
    <row r="251" spans="1:7" ht="12.75" x14ac:dyDescent="0.2">
      <c r="A251" s="20"/>
      <c r="B251" s="20"/>
      <c r="C251" s="20"/>
      <c r="D251" s="20"/>
      <c r="E251" s="20"/>
      <c r="F251" s="20"/>
      <c r="G251" s="20"/>
    </row>
    <row r="252" spans="1:7" ht="12.75" x14ac:dyDescent="0.2">
      <c r="A252" s="20"/>
      <c r="B252" s="20"/>
      <c r="C252" s="20"/>
      <c r="D252" s="20"/>
      <c r="E252" s="20"/>
      <c r="F252" s="20"/>
      <c r="G252" s="20"/>
    </row>
    <row r="253" spans="1:7" ht="12.75" x14ac:dyDescent="0.2">
      <c r="A253" s="20"/>
      <c r="B253" s="20"/>
      <c r="C253" s="20"/>
      <c r="D253" s="20"/>
      <c r="E253" s="20"/>
      <c r="F253" s="20"/>
      <c r="G253" s="20"/>
    </row>
    <row r="254" spans="1:7" ht="12.75" x14ac:dyDescent="0.2">
      <c r="A254" s="20"/>
      <c r="B254" s="20"/>
      <c r="C254" s="20"/>
      <c r="D254" s="20"/>
      <c r="E254" s="20"/>
      <c r="F254" s="20"/>
      <c r="G254" s="20"/>
    </row>
    <row r="255" spans="1:7" ht="12.75" x14ac:dyDescent="0.2">
      <c r="A255" s="20"/>
      <c r="B255" s="20"/>
      <c r="C255" s="20"/>
      <c r="D255" s="20"/>
      <c r="E255" s="20"/>
      <c r="F255" s="20"/>
      <c r="G255" s="20"/>
    </row>
    <row r="256" spans="1:7" ht="12.75" x14ac:dyDescent="0.2">
      <c r="A256" s="20"/>
      <c r="B256" s="20"/>
      <c r="C256" s="20"/>
      <c r="D256" s="20"/>
      <c r="E256" s="20"/>
      <c r="F256" s="20"/>
      <c r="G256" s="20"/>
    </row>
    <row r="257" spans="1:7" ht="12.75" x14ac:dyDescent="0.2">
      <c r="A257" s="20"/>
      <c r="B257" s="20"/>
      <c r="C257" s="20"/>
      <c r="D257" s="20"/>
      <c r="E257" s="20"/>
      <c r="F257" s="20"/>
      <c r="G257" s="20"/>
    </row>
    <row r="258" spans="1:7" ht="12.75" x14ac:dyDescent="0.2">
      <c r="A258" s="20"/>
      <c r="B258" s="20"/>
      <c r="C258" s="20"/>
      <c r="D258" s="20"/>
      <c r="E258" s="20"/>
      <c r="F258" s="20"/>
      <c r="G258" s="20"/>
    </row>
    <row r="259" spans="1:7" ht="12.75" x14ac:dyDescent="0.2">
      <c r="A259" s="20"/>
      <c r="B259" s="20"/>
      <c r="C259" s="20"/>
      <c r="D259" s="20"/>
      <c r="E259" s="20"/>
      <c r="F259" s="20"/>
      <c r="G259" s="20"/>
    </row>
    <row r="260" spans="1:7" ht="12.75" x14ac:dyDescent="0.2">
      <c r="A260" s="20"/>
      <c r="B260" s="20"/>
      <c r="C260" s="20"/>
      <c r="D260" s="20"/>
      <c r="E260" s="20"/>
      <c r="F260" s="20"/>
      <c r="G260" s="20"/>
    </row>
    <row r="261" spans="1:7" ht="12.75" x14ac:dyDescent="0.2">
      <c r="A261" s="20"/>
      <c r="B261" s="20"/>
      <c r="C261" s="20"/>
      <c r="D261" s="20"/>
      <c r="E261" s="20"/>
      <c r="F261" s="20"/>
      <c r="G261" s="20"/>
    </row>
    <row r="262" spans="1:7" ht="12.75" x14ac:dyDescent="0.2">
      <c r="A262" s="20"/>
      <c r="B262" s="20"/>
      <c r="C262" s="20"/>
      <c r="D262" s="20"/>
      <c r="E262" s="20"/>
      <c r="F262" s="20"/>
      <c r="G262" s="20"/>
    </row>
    <row r="263" spans="1:7" ht="12.75" x14ac:dyDescent="0.2">
      <c r="A263" s="20"/>
      <c r="B263" s="20"/>
      <c r="C263" s="20"/>
      <c r="D263" s="20"/>
      <c r="E263" s="20"/>
      <c r="F263" s="20"/>
      <c r="G263" s="20"/>
    </row>
    <row r="264" spans="1:7" ht="12.75" x14ac:dyDescent="0.2">
      <c r="A264" s="20"/>
      <c r="B264" s="20"/>
      <c r="C264" s="20"/>
      <c r="D264" s="20"/>
      <c r="E264" s="20"/>
      <c r="F264" s="20"/>
      <c r="G264" s="20"/>
    </row>
    <row r="265" spans="1:7" ht="12.75" x14ac:dyDescent="0.2">
      <c r="A265" s="20"/>
      <c r="B265" s="20"/>
      <c r="C265" s="20"/>
      <c r="D265" s="20"/>
      <c r="E265" s="20"/>
      <c r="F265" s="20"/>
      <c r="G265" s="20"/>
    </row>
    <row r="266" spans="1:7" ht="12.75" x14ac:dyDescent="0.2">
      <c r="A266" s="20"/>
      <c r="B266" s="20"/>
      <c r="C266" s="20"/>
      <c r="D266" s="20"/>
      <c r="E266" s="20"/>
      <c r="F266" s="20"/>
      <c r="G266" s="20"/>
    </row>
    <row r="267" spans="1:7" ht="12.75" x14ac:dyDescent="0.2">
      <c r="A267" s="20"/>
      <c r="B267" s="20"/>
      <c r="C267" s="20"/>
      <c r="D267" s="20"/>
      <c r="E267" s="20"/>
      <c r="F267" s="20"/>
      <c r="G267" s="20"/>
    </row>
    <row r="268" spans="1:7" ht="12.75" x14ac:dyDescent="0.2">
      <c r="A268" s="20"/>
      <c r="B268" s="20"/>
      <c r="C268" s="20"/>
      <c r="D268" s="20"/>
      <c r="E268" s="20"/>
      <c r="F268" s="20"/>
      <c r="G268" s="20"/>
    </row>
    <row r="269" spans="1:7" ht="12.75" x14ac:dyDescent="0.2">
      <c r="A269" s="20"/>
      <c r="B269" s="20"/>
      <c r="C269" s="20"/>
      <c r="D269" s="20"/>
      <c r="E269" s="20"/>
      <c r="F269" s="20"/>
      <c r="G269" s="20"/>
    </row>
    <row r="270" spans="1:7" ht="12.75" x14ac:dyDescent="0.2">
      <c r="A270" s="20"/>
      <c r="B270" s="20"/>
      <c r="C270" s="20"/>
      <c r="D270" s="20"/>
      <c r="E270" s="20"/>
      <c r="F270" s="20"/>
      <c r="G270" s="20"/>
    </row>
    <row r="271" spans="1:7" ht="12.75" x14ac:dyDescent="0.2">
      <c r="A271" s="20"/>
      <c r="B271" s="20"/>
      <c r="C271" s="20"/>
      <c r="D271" s="20"/>
      <c r="E271" s="20"/>
      <c r="F271" s="20"/>
      <c r="G271" s="20"/>
    </row>
    <row r="272" spans="1:7" ht="12.75" x14ac:dyDescent="0.2">
      <c r="A272" s="20"/>
      <c r="B272" s="20"/>
      <c r="C272" s="20"/>
      <c r="D272" s="20"/>
      <c r="E272" s="20"/>
      <c r="F272" s="20"/>
      <c r="G272" s="20"/>
    </row>
    <row r="273" spans="1:7" ht="12.75" x14ac:dyDescent="0.2">
      <c r="A273" s="20"/>
      <c r="B273" s="20"/>
      <c r="C273" s="20"/>
      <c r="D273" s="20"/>
      <c r="E273" s="20"/>
      <c r="F273" s="20"/>
      <c r="G273" s="20"/>
    </row>
    <row r="274" spans="1:7" ht="12.75" x14ac:dyDescent="0.2">
      <c r="A274" s="20"/>
      <c r="B274" s="20"/>
      <c r="C274" s="20"/>
      <c r="D274" s="20"/>
      <c r="E274" s="20"/>
      <c r="F274" s="20"/>
      <c r="G274" s="20"/>
    </row>
    <row r="275" spans="1:7" ht="12.75" x14ac:dyDescent="0.2">
      <c r="A275" s="20"/>
      <c r="B275" s="20"/>
      <c r="C275" s="20"/>
      <c r="D275" s="20"/>
      <c r="E275" s="20"/>
      <c r="F275" s="20"/>
      <c r="G275" s="20"/>
    </row>
    <row r="276" spans="1:7" ht="12.75" x14ac:dyDescent="0.2">
      <c r="A276" s="20"/>
      <c r="B276" s="20"/>
      <c r="C276" s="20"/>
      <c r="D276" s="20"/>
      <c r="E276" s="20"/>
      <c r="F276" s="20"/>
      <c r="G276" s="20"/>
    </row>
    <row r="277" spans="1:7" ht="12.75" x14ac:dyDescent="0.2">
      <c r="A277" s="20"/>
      <c r="B277" s="20"/>
      <c r="C277" s="20"/>
      <c r="D277" s="20"/>
      <c r="E277" s="20"/>
      <c r="F277" s="20"/>
      <c r="G277" s="20"/>
    </row>
    <row r="278" spans="1:7" ht="12.75" x14ac:dyDescent="0.2">
      <c r="A278" s="20"/>
      <c r="B278" s="20"/>
      <c r="C278" s="20"/>
      <c r="D278" s="20"/>
      <c r="E278" s="20"/>
      <c r="F278" s="20"/>
      <c r="G278" s="20"/>
    </row>
    <row r="279" spans="1:7" ht="12.75" x14ac:dyDescent="0.2">
      <c r="A279" s="20"/>
      <c r="B279" s="20"/>
      <c r="C279" s="20"/>
      <c r="D279" s="20"/>
      <c r="E279" s="20"/>
      <c r="F279" s="20"/>
      <c r="G279" s="20"/>
    </row>
    <row r="280" spans="1:7" ht="12.75" x14ac:dyDescent="0.2">
      <c r="A280" s="20"/>
      <c r="B280" s="20"/>
      <c r="C280" s="20"/>
      <c r="D280" s="20"/>
      <c r="E280" s="20"/>
      <c r="F280" s="20"/>
      <c r="G280" s="20"/>
    </row>
    <row r="281" spans="1:7" ht="12.75" x14ac:dyDescent="0.2">
      <c r="A281" s="20"/>
      <c r="B281" s="20"/>
      <c r="C281" s="20"/>
      <c r="D281" s="20"/>
      <c r="E281" s="20"/>
      <c r="F281" s="20"/>
      <c r="G281" s="20"/>
    </row>
    <row r="282" spans="1:7" ht="12.75" x14ac:dyDescent="0.2">
      <c r="A282" s="20"/>
      <c r="B282" s="20"/>
      <c r="C282" s="20"/>
      <c r="D282" s="20"/>
      <c r="E282" s="20"/>
      <c r="F282" s="20"/>
      <c r="G282" s="20"/>
    </row>
    <row r="283" spans="1:7" ht="12.75" x14ac:dyDescent="0.2">
      <c r="A283" s="20"/>
      <c r="B283" s="20"/>
      <c r="C283" s="20"/>
      <c r="D283" s="20"/>
      <c r="E283" s="20"/>
      <c r="F283" s="20"/>
      <c r="G283" s="20"/>
    </row>
    <row r="284" spans="1:7" ht="12.75" x14ac:dyDescent="0.2">
      <c r="A284" s="20"/>
      <c r="B284" s="20"/>
      <c r="C284" s="20"/>
      <c r="D284" s="20"/>
      <c r="E284" s="20"/>
      <c r="F284" s="20"/>
      <c r="G284" s="20"/>
    </row>
    <row r="285" spans="1:7" ht="12.75" x14ac:dyDescent="0.2">
      <c r="A285" s="20"/>
      <c r="B285" s="20"/>
      <c r="C285" s="20"/>
      <c r="D285" s="20"/>
      <c r="E285" s="20"/>
      <c r="F285" s="20"/>
      <c r="G285" s="20"/>
    </row>
    <row r="286" spans="1:7" ht="12.75" x14ac:dyDescent="0.2">
      <c r="A286" s="20"/>
      <c r="B286" s="20"/>
      <c r="C286" s="20"/>
      <c r="D286" s="20"/>
      <c r="E286" s="20"/>
      <c r="F286" s="20"/>
      <c r="G286" s="20"/>
    </row>
    <row r="287" spans="1:7" ht="12.75" x14ac:dyDescent="0.2">
      <c r="A287" s="20"/>
      <c r="B287" s="20"/>
      <c r="C287" s="20"/>
      <c r="D287" s="20"/>
      <c r="E287" s="20"/>
      <c r="F287" s="20"/>
      <c r="G287" s="20"/>
    </row>
    <row r="288" spans="1:7" ht="12.75" x14ac:dyDescent="0.2">
      <c r="A288" s="20"/>
      <c r="B288" s="20"/>
      <c r="C288" s="20"/>
      <c r="D288" s="20"/>
      <c r="E288" s="20"/>
      <c r="F288" s="20"/>
      <c r="G288" s="20"/>
    </row>
    <row r="289" spans="1:7" ht="12.75" x14ac:dyDescent="0.2">
      <c r="A289" s="20"/>
      <c r="B289" s="20"/>
      <c r="C289" s="20"/>
      <c r="D289" s="20"/>
      <c r="E289" s="20"/>
      <c r="F289" s="20"/>
      <c r="G289" s="20"/>
    </row>
    <row r="290" spans="1:7" ht="12.75" x14ac:dyDescent="0.2">
      <c r="A290" s="20"/>
      <c r="B290" s="20"/>
      <c r="C290" s="20"/>
      <c r="D290" s="20"/>
      <c r="E290" s="20"/>
      <c r="F290" s="20"/>
      <c r="G290" s="20"/>
    </row>
    <row r="291" spans="1:7" ht="12.75" x14ac:dyDescent="0.2">
      <c r="A291" s="20"/>
      <c r="B291" s="20"/>
      <c r="C291" s="20"/>
      <c r="D291" s="20"/>
      <c r="E291" s="20"/>
      <c r="F291" s="20"/>
      <c r="G291" s="20"/>
    </row>
    <row r="292" spans="1:7" ht="12.75" x14ac:dyDescent="0.2">
      <c r="A292" s="20"/>
      <c r="B292" s="20"/>
      <c r="C292" s="20"/>
      <c r="D292" s="20"/>
      <c r="E292" s="20"/>
      <c r="F292" s="20"/>
      <c r="G292" s="20"/>
    </row>
    <row r="293" spans="1:7" ht="12.75" x14ac:dyDescent="0.2">
      <c r="A293" s="20"/>
      <c r="B293" s="20"/>
      <c r="C293" s="20"/>
      <c r="D293" s="20"/>
      <c r="E293" s="20"/>
      <c r="F293" s="20"/>
      <c r="G293" s="20"/>
    </row>
    <row r="294" spans="1:7" ht="12.75" x14ac:dyDescent="0.2">
      <c r="A294" s="20"/>
      <c r="B294" s="20"/>
      <c r="C294" s="20"/>
      <c r="D294" s="20"/>
      <c r="E294" s="20"/>
      <c r="F294" s="20"/>
      <c r="G294" s="20"/>
    </row>
    <row r="295" spans="1:7" ht="12.75" x14ac:dyDescent="0.2">
      <c r="A295" s="20"/>
      <c r="B295" s="20"/>
      <c r="C295" s="20"/>
      <c r="D295" s="20"/>
      <c r="E295" s="20"/>
      <c r="F295" s="20"/>
      <c r="G295" s="20"/>
    </row>
    <row r="296" spans="1:7" ht="12.75" x14ac:dyDescent="0.2">
      <c r="A296" s="20"/>
      <c r="B296" s="20"/>
      <c r="C296" s="20"/>
      <c r="D296" s="20"/>
      <c r="E296" s="20"/>
      <c r="F296" s="20"/>
      <c r="G296" s="20"/>
    </row>
    <row r="297" spans="1:7" ht="12.75" x14ac:dyDescent="0.2">
      <c r="A297" s="20"/>
      <c r="B297" s="20"/>
      <c r="C297" s="20"/>
      <c r="D297" s="20"/>
      <c r="E297" s="20"/>
      <c r="F297" s="20"/>
      <c r="G297" s="20"/>
    </row>
    <row r="298" spans="1:7" ht="12.75" x14ac:dyDescent="0.2">
      <c r="A298" s="20"/>
      <c r="B298" s="20"/>
      <c r="C298" s="20"/>
      <c r="D298" s="20"/>
      <c r="E298" s="20"/>
      <c r="F298" s="20"/>
      <c r="G298" s="20"/>
    </row>
    <row r="299" spans="1:7" ht="12.75" x14ac:dyDescent="0.2">
      <c r="A299" s="20"/>
      <c r="B299" s="20"/>
      <c r="C299" s="20"/>
      <c r="D299" s="20"/>
      <c r="E299" s="20"/>
      <c r="F299" s="20"/>
      <c r="G299" s="20"/>
    </row>
    <row r="300" spans="1:7" ht="12.75" x14ac:dyDescent="0.2">
      <c r="A300" s="20"/>
      <c r="B300" s="20"/>
      <c r="C300" s="20"/>
      <c r="D300" s="20"/>
      <c r="E300" s="20"/>
      <c r="F300" s="20"/>
      <c r="G300" s="20"/>
    </row>
    <row r="301" spans="1:7" ht="12.75" x14ac:dyDescent="0.2">
      <c r="A301" s="20"/>
      <c r="B301" s="20"/>
      <c r="C301" s="20"/>
      <c r="D301" s="20"/>
      <c r="E301" s="20"/>
      <c r="F301" s="20"/>
      <c r="G301" s="20"/>
    </row>
    <row r="302" spans="1:7" ht="12.75" x14ac:dyDescent="0.2">
      <c r="A302" s="20"/>
      <c r="B302" s="20"/>
      <c r="C302" s="20"/>
      <c r="D302" s="20"/>
      <c r="E302" s="20"/>
      <c r="F302" s="20"/>
      <c r="G302" s="20"/>
    </row>
    <row r="303" spans="1:7" ht="12.75" x14ac:dyDescent="0.2">
      <c r="A303" s="20"/>
      <c r="B303" s="20"/>
      <c r="C303" s="20"/>
      <c r="D303" s="20"/>
      <c r="E303" s="20"/>
      <c r="F303" s="20"/>
      <c r="G303" s="20"/>
    </row>
    <row r="304" spans="1:7" ht="12.75" x14ac:dyDescent="0.2">
      <c r="A304" s="20"/>
      <c r="B304" s="20"/>
      <c r="C304" s="20"/>
      <c r="D304" s="20"/>
      <c r="E304" s="20"/>
      <c r="F304" s="20"/>
      <c r="G304" s="20"/>
    </row>
    <row r="305" spans="1:7" ht="12.75" x14ac:dyDescent="0.2">
      <c r="A305" s="20"/>
      <c r="B305" s="20"/>
      <c r="C305" s="20"/>
      <c r="D305" s="20"/>
      <c r="E305" s="20"/>
      <c r="F305" s="20"/>
      <c r="G305" s="20"/>
    </row>
    <row r="306" spans="1:7" ht="12.75" x14ac:dyDescent="0.2">
      <c r="A306" s="20"/>
      <c r="B306" s="20"/>
      <c r="C306" s="20"/>
      <c r="D306" s="20"/>
      <c r="E306" s="20"/>
      <c r="F306" s="20"/>
      <c r="G306" s="20"/>
    </row>
    <row r="307" spans="1:7" ht="12.75" x14ac:dyDescent="0.2">
      <c r="A307" s="20"/>
      <c r="B307" s="20"/>
      <c r="C307" s="20"/>
      <c r="D307" s="20"/>
      <c r="E307" s="20"/>
      <c r="F307" s="20"/>
      <c r="G307" s="20"/>
    </row>
    <row r="308" spans="1:7" ht="12.75" x14ac:dyDescent="0.2">
      <c r="A308" s="20"/>
      <c r="B308" s="20"/>
      <c r="C308" s="20"/>
      <c r="D308" s="20"/>
      <c r="E308" s="20"/>
      <c r="F308" s="20"/>
      <c r="G308" s="20"/>
    </row>
    <row r="309" spans="1:7" ht="12.75" x14ac:dyDescent="0.2">
      <c r="A309" s="20"/>
      <c r="B309" s="20"/>
      <c r="C309" s="20"/>
      <c r="D309" s="20"/>
      <c r="E309" s="20"/>
      <c r="F309" s="20"/>
      <c r="G309" s="20"/>
    </row>
    <row r="310" spans="1:7" ht="12.75" x14ac:dyDescent="0.2">
      <c r="A310" s="20"/>
      <c r="B310" s="20"/>
      <c r="C310" s="20"/>
      <c r="D310" s="20"/>
      <c r="E310" s="20"/>
      <c r="F310" s="20"/>
      <c r="G310" s="20"/>
    </row>
    <row r="311" spans="1:7" ht="12.75" x14ac:dyDescent="0.2">
      <c r="A311" s="20"/>
      <c r="B311" s="20"/>
      <c r="C311" s="20"/>
      <c r="D311" s="20"/>
      <c r="E311" s="20"/>
      <c r="F311" s="20"/>
      <c r="G311" s="20"/>
    </row>
    <row r="312" spans="1:7" ht="12.75" x14ac:dyDescent="0.2">
      <c r="A312" s="20"/>
      <c r="B312" s="20"/>
      <c r="C312" s="20"/>
      <c r="D312" s="20"/>
      <c r="E312" s="20"/>
      <c r="F312" s="20"/>
      <c r="G312" s="20"/>
    </row>
    <row r="313" spans="1:7" ht="12.75" x14ac:dyDescent="0.2">
      <c r="A313" s="20"/>
      <c r="B313" s="20"/>
      <c r="C313" s="20"/>
      <c r="D313" s="20"/>
      <c r="E313" s="20"/>
      <c r="F313" s="20"/>
      <c r="G313" s="20"/>
    </row>
    <row r="314" spans="1:7" ht="12.75" x14ac:dyDescent="0.2">
      <c r="A314" s="20"/>
      <c r="B314" s="20"/>
      <c r="C314" s="20"/>
      <c r="D314" s="20"/>
      <c r="E314" s="20"/>
      <c r="F314" s="20"/>
      <c r="G314" s="20"/>
    </row>
    <row r="315" spans="1:7" ht="12.75" x14ac:dyDescent="0.2">
      <c r="A315" s="20"/>
      <c r="B315" s="20"/>
      <c r="C315" s="20"/>
      <c r="D315" s="20"/>
      <c r="E315" s="20"/>
      <c r="F315" s="20"/>
      <c r="G315" s="20"/>
    </row>
    <row r="316" spans="1:7" ht="12.75" x14ac:dyDescent="0.2">
      <c r="A316" s="20"/>
      <c r="B316" s="20"/>
      <c r="C316" s="20"/>
      <c r="D316" s="20"/>
      <c r="E316" s="20"/>
      <c r="F316" s="20"/>
      <c r="G316" s="20"/>
    </row>
    <row r="317" spans="1:7" ht="12.75" x14ac:dyDescent="0.2">
      <c r="A317" s="20"/>
      <c r="B317" s="20"/>
      <c r="C317" s="20"/>
      <c r="D317" s="20"/>
      <c r="E317" s="20"/>
      <c r="F317" s="20"/>
      <c r="G317" s="20"/>
    </row>
    <row r="318" spans="1:7" ht="12.75" x14ac:dyDescent="0.2">
      <c r="A318" s="20"/>
      <c r="B318" s="20"/>
      <c r="C318" s="20"/>
      <c r="D318" s="20"/>
      <c r="E318" s="20"/>
      <c r="F318" s="20"/>
      <c r="G318" s="20"/>
    </row>
    <row r="319" spans="1:7" ht="12.75" x14ac:dyDescent="0.2">
      <c r="A319" s="20"/>
      <c r="B319" s="20"/>
      <c r="C319" s="20"/>
      <c r="D319" s="20"/>
      <c r="E319" s="20"/>
      <c r="F319" s="20"/>
      <c r="G319" s="20"/>
    </row>
    <row r="320" spans="1:7" ht="12.75" x14ac:dyDescent="0.2">
      <c r="A320" s="20"/>
      <c r="B320" s="20"/>
      <c r="C320" s="20"/>
      <c r="D320" s="20"/>
      <c r="E320" s="20"/>
      <c r="F320" s="20"/>
      <c r="G320" s="20"/>
    </row>
    <row r="321" spans="1:7" ht="12.75" x14ac:dyDescent="0.2">
      <c r="A321" s="20"/>
      <c r="B321" s="20"/>
      <c r="C321" s="20"/>
      <c r="D321" s="20"/>
      <c r="E321" s="20"/>
      <c r="F321" s="20"/>
      <c r="G321" s="20"/>
    </row>
    <row r="322" spans="1:7" ht="12.75" x14ac:dyDescent="0.2">
      <c r="A322" s="20"/>
      <c r="B322" s="20"/>
      <c r="C322" s="20"/>
      <c r="D322" s="20"/>
      <c r="E322" s="20"/>
      <c r="F322" s="20"/>
      <c r="G322" s="20"/>
    </row>
    <row r="323" spans="1:7" ht="12.75" x14ac:dyDescent="0.2">
      <c r="A323" s="20"/>
      <c r="B323" s="20"/>
      <c r="C323" s="20"/>
      <c r="D323" s="20"/>
      <c r="E323" s="20"/>
      <c r="F323" s="20"/>
      <c r="G323" s="20"/>
    </row>
    <row r="324" spans="1:7" ht="12.75" x14ac:dyDescent="0.2">
      <c r="A324" s="20"/>
      <c r="B324" s="20"/>
      <c r="C324" s="20"/>
      <c r="D324" s="20"/>
      <c r="E324" s="20"/>
      <c r="F324" s="20"/>
      <c r="G324" s="20"/>
    </row>
    <row r="325" spans="1:7" ht="12.75" x14ac:dyDescent="0.2">
      <c r="A325" s="20"/>
      <c r="B325" s="20"/>
      <c r="C325" s="20"/>
      <c r="D325" s="20"/>
      <c r="E325" s="20"/>
      <c r="F325" s="20"/>
      <c r="G325" s="20"/>
    </row>
    <row r="326" spans="1:7" ht="12.75" x14ac:dyDescent="0.2">
      <c r="A326" s="20"/>
      <c r="B326" s="20"/>
      <c r="C326" s="20"/>
      <c r="D326" s="20"/>
      <c r="E326" s="20"/>
      <c r="F326" s="20"/>
      <c r="G326" s="20"/>
    </row>
    <row r="327" spans="1:7" ht="12.75" x14ac:dyDescent="0.2">
      <c r="A327" s="20"/>
      <c r="B327" s="20"/>
      <c r="C327" s="20"/>
      <c r="D327" s="20"/>
      <c r="E327" s="20"/>
      <c r="F327" s="20"/>
      <c r="G327" s="20"/>
    </row>
    <row r="328" spans="1:7" ht="12.75" x14ac:dyDescent="0.2">
      <c r="A328" s="20"/>
      <c r="B328" s="20"/>
      <c r="C328" s="20"/>
      <c r="D328" s="20"/>
      <c r="E328" s="20"/>
      <c r="F328" s="20"/>
      <c r="G328" s="20"/>
    </row>
    <row r="329" spans="1:7" ht="12.75" x14ac:dyDescent="0.2">
      <c r="A329" s="20"/>
      <c r="B329" s="20"/>
      <c r="C329" s="20"/>
      <c r="D329" s="20"/>
      <c r="E329" s="20"/>
      <c r="F329" s="20"/>
      <c r="G329" s="20"/>
    </row>
    <row r="330" spans="1:7" ht="12.75" x14ac:dyDescent="0.2">
      <c r="A330" s="20"/>
      <c r="B330" s="20"/>
      <c r="C330" s="20"/>
      <c r="D330" s="20"/>
      <c r="E330" s="20"/>
      <c r="F330" s="20"/>
      <c r="G330" s="20"/>
    </row>
    <row r="331" spans="1:7" ht="12.75" x14ac:dyDescent="0.2">
      <c r="A331" s="20"/>
      <c r="B331" s="20"/>
      <c r="C331" s="20"/>
      <c r="D331" s="20"/>
      <c r="E331" s="20"/>
      <c r="F331" s="20"/>
      <c r="G331" s="20"/>
    </row>
    <row r="332" spans="1:7" ht="12.75" x14ac:dyDescent="0.2">
      <c r="A332" s="20"/>
      <c r="B332" s="20"/>
      <c r="C332" s="20"/>
      <c r="D332" s="20"/>
      <c r="E332" s="20"/>
      <c r="F332" s="20"/>
      <c r="G332" s="20"/>
    </row>
    <row r="333" spans="1:7" ht="12.75" x14ac:dyDescent="0.2">
      <c r="A333" s="20"/>
      <c r="B333" s="20"/>
      <c r="C333" s="20"/>
      <c r="D333" s="20"/>
      <c r="E333" s="20"/>
      <c r="F333" s="20"/>
      <c r="G333" s="20"/>
    </row>
    <row r="334" spans="1:7" ht="12.75" x14ac:dyDescent="0.2">
      <c r="A334" s="20"/>
      <c r="B334" s="20"/>
      <c r="C334" s="20"/>
      <c r="D334" s="20"/>
      <c r="E334" s="20"/>
      <c r="F334" s="20"/>
      <c r="G334" s="20"/>
    </row>
    <row r="335" spans="1:7" ht="12.75" x14ac:dyDescent="0.2">
      <c r="A335" s="20"/>
      <c r="B335" s="20"/>
      <c r="C335" s="20"/>
      <c r="D335" s="20"/>
      <c r="E335" s="20"/>
      <c r="F335" s="20"/>
      <c r="G335" s="20"/>
    </row>
    <row r="336" spans="1:7" ht="12.75" x14ac:dyDescent="0.2">
      <c r="A336" s="20"/>
      <c r="B336" s="20"/>
      <c r="C336" s="20"/>
      <c r="D336" s="20"/>
      <c r="E336" s="20"/>
      <c r="F336" s="20"/>
      <c r="G336" s="20"/>
    </row>
    <row r="337" spans="1:7" ht="12.75" x14ac:dyDescent="0.2">
      <c r="A337" s="20"/>
      <c r="B337" s="20"/>
      <c r="C337" s="20"/>
      <c r="D337" s="20"/>
      <c r="E337" s="20"/>
      <c r="F337" s="20"/>
      <c r="G337" s="20"/>
    </row>
    <row r="338" spans="1:7" ht="12.75" x14ac:dyDescent="0.2">
      <c r="A338" s="20"/>
      <c r="B338" s="20"/>
      <c r="C338" s="20"/>
      <c r="D338" s="20"/>
      <c r="E338" s="20"/>
      <c r="F338" s="20"/>
      <c r="G338" s="20"/>
    </row>
    <row r="339" spans="1:7" ht="12.75" x14ac:dyDescent="0.2">
      <c r="A339" s="20"/>
      <c r="B339" s="20"/>
      <c r="C339" s="20"/>
      <c r="D339" s="20"/>
      <c r="E339" s="20"/>
      <c r="F339" s="20"/>
      <c r="G339" s="20"/>
    </row>
    <row r="340" spans="1:7" ht="12.75" x14ac:dyDescent="0.2">
      <c r="A340" s="20"/>
      <c r="B340" s="20"/>
      <c r="C340" s="20"/>
      <c r="D340" s="20"/>
      <c r="E340" s="20"/>
      <c r="F340" s="20"/>
      <c r="G340" s="20"/>
    </row>
    <row r="341" spans="1:7" ht="12.75" x14ac:dyDescent="0.2">
      <c r="A341" s="20"/>
      <c r="B341" s="20"/>
      <c r="C341" s="20"/>
      <c r="D341" s="20"/>
      <c r="E341" s="20"/>
      <c r="F341" s="20"/>
      <c r="G341" s="20"/>
    </row>
    <row r="342" spans="1:7" ht="12.75" x14ac:dyDescent="0.2">
      <c r="A342" s="20"/>
      <c r="B342" s="20"/>
      <c r="C342" s="20"/>
      <c r="D342" s="20"/>
      <c r="E342" s="20"/>
      <c r="F342" s="20"/>
      <c r="G342" s="20"/>
    </row>
    <row r="343" spans="1:7" ht="12.75" x14ac:dyDescent="0.2">
      <c r="A343" s="20"/>
      <c r="B343" s="20"/>
      <c r="C343" s="20"/>
      <c r="D343" s="20"/>
      <c r="E343" s="20"/>
      <c r="F343" s="20"/>
      <c r="G343" s="20"/>
    </row>
    <row r="344" spans="1:7" ht="12.75" x14ac:dyDescent="0.2">
      <c r="A344" s="20"/>
      <c r="B344" s="20"/>
      <c r="C344" s="20"/>
      <c r="D344" s="20"/>
      <c r="E344" s="20"/>
      <c r="F344" s="20"/>
      <c r="G344" s="20"/>
    </row>
    <row r="345" spans="1:7" ht="12.75" x14ac:dyDescent="0.2">
      <c r="A345" s="20"/>
      <c r="B345" s="20"/>
      <c r="C345" s="20"/>
      <c r="D345" s="20"/>
      <c r="E345" s="20"/>
      <c r="F345" s="20"/>
      <c r="G345" s="20"/>
    </row>
    <row r="346" spans="1:7" ht="12.75" x14ac:dyDescent="0.2">
      <c r="A346" s="20"/>
      <c r="B346" s="20"/>
      <c r="C346" s="20"/>
      <c r="D346" s="20"/>
      <c r="E346" s="20"/>
      <c r="F346" s="20"/>
      <c r="G346" s="20"/>
    </row>
    <row r="347" spans="1:7" ht="12.75" x14ac:dyDescent="0.2">
      <c r="A347" s="20"/>
      <c r="B347" s="20"/>
      <c r="C347" s="20"/>
      <c r="D347" s="20"/>
      <c r="E347" s="20"/>
      <c r="F347" s="20"/>
      <c r="G347" s="20"/>
    </row>
    <row r="348" spans="1:7" ht="12.75" x14ac:dyDescent="0.2">
      <c r="A348" s="20"/>
      <c r="B348" s="20"/>
      <c r="C348" s="20"/>
      <c r="D348" s="20"/>
      <c r="E348" s="20"/>
      <c r="F348" s="20"/>
      <c r="G348" s="20"/>
    </row>
    <row r="349" spans="1:7" ht="12.75" x14ac:dyDescent="0.2">
      <c r="A349" s="20"/>
      <c r="B349" s="20"/>
      <c r="C349" s="20"/>
      <c r="D349" s="20"/>
      <c r="E349" s="20"/>
      <c r="F349" s="20"/>
      <c r="G349" s="20"/>
    </row>
    <row r="350" spans="1:7" ht="12.75" x14ac:dyDescent="0.2">
      <c r="A350" s="20"/>
      <c r="B350" s="20"/>
      <c r="C350" s="20"/>
      <c r="D350" s="20"/>
      <c r="E350" s="20"/>
      <c r="F350" s="20"/>
      <c r="G350" s="20"/>
    </row>
    <row r="351" spans="1:7" ht="12.75" x14ac:dyDescent="0.2">
      <c r="A351" s="20"/>
      <c r="B351" s="20"/>
      <c r="C351" s="20"/>
      <c r="D351" s="20"/>
      <c r="E351" s="20"/>
      <c r="F351" s="20"/>
      <c r="G351" s="20"/>
    </row>
    <row r="352" spans="1:7" ht="12.75" x14ac:dyDescent="0.2">
      <c r="A352" s="20"/>
      <c r="B352" s="20"/>
      <c r="C352" s="20"/>
      <c r="D352" s="20"/>
      <c r="E352" s="20"/>
      <c r="F352" s="20"/>
      <c r="G352" s="20"/>
    </row>
    <row r="353" spans="1:7" ht="12.75" x14ac:dyDescent="0.2">
      <c r="A353" s="20"/>
      <c r="B353" s="20"/>
      <c r="C353" s="20"/>
      <c r="D353" s="20"/>
      <c r="E353" s="20"/>
      <c r="F353" s="20"/>
      <c r="G353" s="20"/>
    </row>
    <row r="354" spans="1:7" ht="12.75" x14ac:dyDescent="0.2">
      <c r="A354" s="20"/>
      <c r="B354" s="20"/>
      <c r="C354" s="20"/>
      <c r="D354" s="20"/>
      <c r="E354" s="20"/>
      <c r="F354" s="20"/>
      <c r="G354" s="20"/>
    </row>
    <row r="355" spans="1:7" ht="12.75" x14ac:dyDescent="0.2">
      <c r="A355" s="20"/>
      <c r="B355" s="20"/>
      <c r="C355" s="20"/>
      <c r="D355" s="20"/>
      <c r="E355" s="20"/>
      <c r="F355" s="20"/>
      <c r="G355" s="20"/>
    </row>
    <row r="356" spans="1:7" ht="12.75" x14ac:dyDescent="0.2">
      <c r="A356" s="20"/>
      <c r="B356" s="20"/>
      <c r="C356" s="20"/>
      <c r="D356" s="20"/>
      <c r="E356" s="20"/>
      <c r="F356" s="20"/>
      <c r="G356" s="20"/>
    </row>
    <row r="357" spans="1:7" ht="12.75" x14ac:dyDescent="0.2">
      <c r="A357" s="20"/>
      <c r="B357" s="20"/>
      <c r="C357" s="20"/>
      <c r="D357" s="20"/>
      <c r="E357" s="20"/>
      <c r="F357" s="20"/>
      <c r="G357" s="20"/>
    </row>
    <row r="358" spans="1:7" ht="12.75" x14ac:dyDescent="0.2">
      <c r="A358" s="20"/>
      <c r="B358" s="20"/>
      <c r="C358" s="20"/>
      <c r="D358" s="20"/>
      <c r="E358" s="20"/>
      <c r="F358" s="20"/>
      <c r="G358" s="20"/>
    </row>
    <row r="359" spans="1:7" ht="12.75" x14ac:dyDescent="0.2">
      <c r="A359" s="20"/>
      <c r="B359" s="20"/>
      <c r="C359" s="20"/>
      <c r="D359" s="20"/>
      <c r="E359" s="20"/>
      <c r="F359" s="20"/>
      <c r="G359" s="20"/>
    </row>
    <row r="360" spans="1:7" ht="12.75" x14ac:dyDescent="0.2">
      <c r="A360" s="20"/>
      <c r="B360" s="20"/>
      <c r="C360" s="20"/>
      <c r="D360" s="20"/>
      <c r="E360" s="20"/>
      <c r="F360" s="20"/>
      <c r="G360" s="20"/>
    </row>
    <row r="361" spans="1:7" ht="12.75" x14ac:dyDescent="0.2">
      <c r="A361" s="20"/>
      <c r="B361" s="20"/>
      <c r="C361" s="20"/>
      <c r="D361" s="20"/>
      <c r="E361" s="20"/>
      <c r="F361" s="20"/>
      <c r="G361" s="20"/>
    </row>
    <row r="362" spans="1:7" ht="12.75" x14ac:dyDescent="0.2">
      <c r="A362" s="20"/>
      <c r="B362" s="20"/>
      <c r="C362" s="20"/>
      <c r="D362" s="20"/>
      <c r="E362" s="20"/>
      <c r="F362" s="20"/>
      <c r="G362" s="20"/>
    </row>
    <row r="363" spans="1:7" ht="12.75" x14ac:dyDescent="0.2">
      <c r="A363" s="20"/>
      <c r="B363" s="20"/>
      <c r="C363" s="20"/>
      <c r="D363" s="20"/>
      <c r="E363" s="20"/>
      <c r="F363" s="20"/>
      <c r="G363" s="20"/>
    </row>
    <row r="364" spans="1:7" ht="12.75" x14ac:dyDescent="0.2">
      <c r="A364" s="20"/>
      <c r="B364" s="20"/>
      <c r="C364" s="20"/>
      <c r="D364" s="20"/>
      <c r="E364" s="20"/>
      <c r="F364" s="20"/>
      <c r="G364" s="20"/>
    </row>
    <row r="365" spans="1:7" ht="12.75" x14ac:dyDescent="0.2">
      <c r="A365" s="20"/>
      <c r="B365" s="20"/>
      <c r="C365" s="20"/>
      <c r="D365" s="20"/>
      <c r="E365" s="20"/>
      <c r="F365" s="20"/>
      <c r="G365" s="20"/>
    </row>
    <row r="366" spans="1:7" ht="12.75" x14ac:dyDescent="0.2">
      <c r="A366" s="20"/>
      <c r="B366" s="20"/>
      <c r="C366" s="20"/>
      <c r="D366" s="20"/>
      <c r="E366" s="20"/>
      <c r="F366" s="20"/>
      <c r="G366" s="20"/>
    </row>
    <row r="367" spans="1:7" ht="12.75" x14ac:dyDescent="0.2">
      <c r="A367" s="20"/>
      <c r="B367" s="20"/>
      <c r="C367" s="20"/>
      <c r="D367" s="20"/>
      <c r="E367" s="20"/>
      <c r="F367" s="20"/>
      <c r="G367" s="20"/>
    </row>
    <row r="368" spans="1:7" ht="12.75" x14ac:dyDescent="0.2">
      <c r="A368" s="20"/>
      <c r="B368" s="20"/>
      <c r="C368" s="20"/>
      <c r="D368" s="20"/>
      <c r="E368" s="20"/>
      <c r="F368" s="20"/>
      <c r="G368" s="20"/>
    </row>
    <row r="369" spans="1:7" ht="12.75" x14ac:dyDescent="0.2">
      <c r="A369" s="20"/>
      <c r="B369" s="20"/>
      <c r="C369" s="20"/>
      <c r="D369" s="20"/>
      <c r="E369" s="20"/>
      <c r="F369" s="20"/>
      <c r="G369" s="20"/>
    </row>
    <row r="370" spans="1:7" ht="12.75" x14ac:dyDescent="0.2">
      <c r="A370" s="20"/>
      <c r="B370" s="20"/>
      <c r="C370" s="20"/>
      <c r="D370" s="20"/>
      <c r="E370" s="20"/>
      <c r="F370" s="20"/>
      <c r="G370" s="20"/>
    </row>
    <row r="371" spans="1:7" ht="12.75" x14ac:dyDescent="0.2">
      <c r="A371" s="20"/>
      <c r="B371" s="20"/>
      <c r="C371" s="20"/>
      <c r="D371" s="20"/>
      <c r="E371" s="20"/>
      <c r="F371" s="20"/>
      <c r="G371" s="20"/>
    </row>
    <row r="372" spans="1:7" ht="12.75" x14ac:dyDescent="0.2">
      <c r="A372" s="20"/>
      <c r="B372" s="20"/>
      <c r="C372" s="20"/>
      <c r="D372" s="20"/>
      <c r="E372" s="20"/>
      <c r="F372" s="20"/>
      <c r="G372" s="20"/>
    </row>
    <row r="373" spans="1:7" ht="12.75" x14ac:dyDescent="0.2">
      <c r="A373" s="20"/>
      <c r="B373" s="20"/>
      <c r="C373" s="20"/>
      <c r="D373" s="20"/>
      <c r="E373" s="20"/>
      <c r="F373" s="20"/>
      <c r="G373" s="20"/>
    </row>
    <row r="374" spans="1:7" ht="12.75" x14ac:dyDescent="0.2">
      <c r="A374" s="20"/>
      <c r="B374" s="20"/>
      <c r="C374" s="20"/>
      <c r="D374" s="20"/>
      <c r="E374" s="20"/>
      <c r="F374" s="20"/>
      <c r="G374" s="20"/>
    </row>
    <row r="375" spans="1:7" ht="12.75" x14ac:dyDescent="0.2">
      <c r="A375" s="20"/>
      <c r="B375" s="20"/>
      <c r="C375" s="20"/>
      <c r="D375" s="20"/>
      <c r="E375" s="20"/>
      <c r="F375" s="20"/>
      <c r="G375" s="20"/>
    </row>
    <row r="376" spans="1:7" ht="12.75" x14ac:dyDescent="0.2">
      <c r="A376" s="20"/>
      <c r="B376" s="20"/>
      <c r="C376" s="20"/>
      <c r="D376" s="20"/>
      <c r="E376" s="20"/>
      <c r="F376" s="20"/>
      <c r="G376" s="20"/>
    </row>
    <row r="377" spans="1:7" ht="12.75" x14ac:dyDescent="0.2">
      <c r="A377" s="20"/>
      <c r="B377" s="20"/>
      <c r="C377" s="20"/>
      <c r="D377" s="20"/>
      <c r="E377" s="20"/>
      <c r="F377" s="20"/>
      <c r="G377" s="20"/>
    </row>
    <row r="378" spans="1:7" ht="12.75" x14ac:dyDescent="0.2">
      <c r="A378" s="20"/>
      <c r="B378" s="20"/>
      <c r="C378" s="20"/>
      <c r="D378" s="20"/>
      <c r="E378" s="20"/>
      <c r="F378" s="20"/>
      <c r="G378" s="20"/>
    </row>
    <row r="379" spans="1:7" ht="12.75" x14ac:dyDescent="0.2">
      <c r="A379" s="20"/>
      <c r="B379" s="20"/>
      <c r="C379" s="20"/>
      <c r="D379" s="20"/>
      <c r="E379" s="20"/>
      <c r="F379" s="20"/>
      <c r="G379" s="20"/>
    </row>
    <row r="380" spans="1:7" ht="12.75" x14ac:dyDescent="0.2">
      <c r="A380" s="20"/>
      <c r="B380" s="20"/>
      <c r="C380" s="20"/>
      <c r="D380" s="20"/>
      <c r="E380" s="20"/>
      <c r="F380" s="20"/>
      <c r="G380" s="20"/>
    </row>
    <row r="381" spans="1:7" ht="12.75" x14ac:dyDescent="0.2">
      <c r="A381" s="20"/>
      <c r="B381" s="20"/>
      <c r="C381" s="20"/>
      <c r="D381" s="20"/>
      <c r="E381" s="20"/>
      <c r="F381" s="20"/>
      <c r="G381" s="20"/>
    </row>
    <row r="382" spans="1:7" ht="12.75" x14ac:dyDescent="0.2">
      <c r="A382" s="20"/>
      <c r="B382" s="20"/>
      <c r="C382" s="20"/>
      <c r="D382" s="20"/>
      <c r="E382" s="20"/>
      <c r="F382" s="20"/>
      <c r="G382" s="20"/>
    </row>
    <row r="383" spans="1:7" ht="12.75" x14ac:dyDescent="0.2">
      <c r="A383" s="20"/>
      <c r="B383" s="20"/>
      <c r="C383" s="20"/>
      <c r="D383" s="20"/>
      <c r="E383" s="20"/>
      <c r="F383" s="20"/>
      <c r="G383" s="20"/>
    </row>
    <row r="384" spans="1:7" ht="12.75" x14ac:dyDescent="0.2">
      <c r="A384" s="20"/>
      <c r="B384" s="20"/>
      <c r="C384" s="20"/>
      <c r="D384" s="20"/>
      <c r="E384" s="20"/>
      <c r="F384" s="20"/>
      <c r="G384" s="20"/>
    </row>
    <row r="385" spans="1:7" ht="12.75" x14ac:dyDescent="0.2">
      <c r="A385" s="20"/>
      <c r="B385" s="20"/>
      <c r="C385" s="20"/>
      <c r="D385" s="20"/>
      <c r="E385" s="20"/>
      <c r="F385" s="20"/>
      <c r="G385" s="20"/>
    </row>
    <row r="386" spans="1:7" ht="12.75" x14ac:dyDescent="0.2">
      <c r="A386" s="20"/>
      <c r="B386" s="20"/>
      <c r="C386" s="20"/>
      <c r="D386" s="20"/>
      <c r="E386" s="20"/>
      <c r="F386" s="20"/>
      <c r="G386" s="20"/>
    </row>
    <row r="387" spans="1:7" ht="12.75" x14ac:dyDescent="0.2">
      <c r="A387" s="20"/>
      <c r="B387" s="20"/>
      <c r="C387" s="20"/>
      <c r="D387" s="20"/>
      <c r="E387" s="20"/>
      <c r="F387" s="20"/>
      <c r="G387" s="20"/>
    </row>
    <row r="388" spans="1:7" ht="12.75" x14ac:dyDescent="0.2">
      <c r="A388" s="20"/>
      <c r="B388" s="20"/>
      <c r="C388" s="20"/>
      <c r="D388" s="20"/>
      <c r="E388" s="20"/>
      <c r="F388" s="20"/>
      <c r="G388" s="20"/>
    </row>
    <row r="389" spans="1:7" ht="12.75" x14ac:dyDescent="0.2">
      <c r="A389" s="20"/>
      <c r="B389" s="20"/>
      <c r="C389" s="20"/>
      <c r="D389" s="20"/>
      <c r="E389" s="20"/>
      <c r="F389" s="20"/>
      <c r="G389" s="20"/>
    </row>
    <row r="390" spans="1:7" ht="12.75" x14ac:dyDescent="0.2">
      <c r="A390" s="20"/>
      <c r="B390" s="20"/>
      <c r="C390" s="20"/>
      <c r="D390" s="20"/>
      <c r="E390" s="20"/>
      <c r="F390" s="20"/>
      <c r="G390" s="20"/>
    </row>
    <row r="391" spans="1:7" ht="12.75" x14ac:dyDescent="0.2">
      <c r="A391" s="20"/>
      <c r="B391" s="20"/>
      <c r="C391" s="20"/>
      <c r="D391" s="20"/>
      <c r="E391" s="20"/>
      <c r="F391" s="20"/>
      <c r="G391" s="20"/>
    </row>
    <row r="392" spans="1:7" ht="12.75" x14ac:dyDescent="0.2">
      <c r="A392" s="20"/>
      <c r="B392" s="20"/>
      <c r="C392" s="20"/>
      <c r="D392" s="20"/>
      <c r="E392" s="20"/>
      <c r="F392" s="20"/>
      <c r="G392" s="20"/>
    </row>
    <row r="393" spans="1:7" ht="12.75" x14ac:dyDescent="0.2">
      <c r="A393" s="20"/>
      <c r="B393" s="20"/>
      <c r="C393" s="20"/>
      <c r="D393" s="20"/>
      <c r="E393" s="20"/>
      <c r="F393" s="20"/>
      <c r="G393" s="20"/>
    </row>
    <row r="394" spans="1:7" ht="12.75" x14ac:dyDescent="0.2">
      <c r="A394" s="20"/>
      <c r="B394" s="20"/>
      <c r="C394" s="20"/>
      <c r="D394" s="20"/>
      <c r="E394" s="20"/>
      <c r="F394" s="20"/>
      <c r="G394" s="20"/>
    </row>
    <row r="395" spans="1:7" ht="12.75" x14ac:dyDescent="0.2">
      <c r="A395" s="20"/>
      <c r="B395" s="20"/>
      <c r="C395" s="20"/>
      <c r="D395" s="20"/>
      <c r="E395" s="20"/>
      <c r="F395" s="20"/>
      <c r="G395" s="20"/>
    </row>
    <row r="396" spans="1:7" ht="12.75" x14ac:dyDescent="0.2">
      <c r="A396" s="20"/>
      <c r="B396" s="20"/>
      <c r="C396" s="20"/>
      <c r="D396" s="20"/>
      <c r="E396" s="20"/>
      <c r="F396" s="20"/>
      <c r="G396" s="20"/>
    </row>
    <row r="397" spans="1:7" ht="12.75" x14ac:dyDescent="0.2">
      <c r="A397" s="20"/>
      <c r="B397" s="20"/>
      <c r="C397" s="20"/>
      <c r="D397" s="20"/>
      <c r="E397" s="20"/>
      <c r="F397" s="20"/>
      <c r="G397" s="20"/>
    </row>
    <row r="398" spans="1:7" ht="12.75" x14ac:dyDescent="0.2">
      <c r="A398" s="20"/>
      <c r="B398" s="20"/>
      <c r="C398" s="20"/>
      <c r="D398" s="20"/>
      <c r="E398" s="20"/>
      <c r="F398" s="20"/>
      <c r="G398" s="20"/>
    </row>
    <row r="399" spans="1:7" ht="12.75" x14ac:dyDescent="0.2">
      <c r="A399" s="20"/>
      <c r="B399" s="20"/>
      <c r="C399" s="20"/>
      <c r="D399" s="20"/>
      <c r="E399" s="20"/>
      <c r="F399" s="20"/>
      <c r="G399" s="20"/>
    </row>
    <row r="400" spans="1:7" ht="12.75" x14ac:dyDescent="0.2">
      <c r="A400" s="20"/>
      <c r="B400" s="20"/>
      <c r="C400" s="20"/>
      <c r="D400" s="20"/>
      <c r="E400" s="20"/>
      <c r="F400" s="20"/>
      <c r="G400" s="20"/>
    </row>
    <row r="401" spans="1:7" ht="12.75" x14ac:dyDescent="0.2">
      <c r="A401" s="20"/>
      <c r="B401" s="20"/>
      <c r="C401" s="20"/>
      <c r="D401" s="20"/>
      <c r="E401" s="20"/>
      <c r="F401" s="20"/>
      <c r="G401" s="20"/>
    </row>
    <row r="402" spans="1:7" ht="12.75" x14ac:dyDescent="0.2">
      <c r="A402" s="20"/>
      <c r="B402" s="20"/>
      <c r="C402" s="20"/>
      <c r="D402" s="20"/>
      <c r="E402" s="20"/>
      <c r="F402" s="20"/>
      <c r="G402" s="20"/>
    </row>
    <row r="403" spans="1:7" ht="12.75" x14ac:dyDescent="0.2">
      <c r="A403" s="20"/>
      <c r="B403" s="20"/>
      <c r="C403" s="20"/>
      <c r="D403" s="20"/>
      <c r="E403" s="20"/>
      <c r="F403" s="20"/>
      <c r="G403" s="20"/>
    </row>
    <row r="404" spans="1:7" ht="12.75" x14ac:dyDescent="0.2">
      <c r="A404" s="20"/>
      <c r="B404" s="20"/>
      <c r="C404" s="20"/>
      <c r="D404" s="20"/>
      <c r="E404" s="20"/>
      <c r="F404" s="20"/>
      <c r="G404" s="20"/>
    </row>
    <row r="405" spans="1:7" ht="12.75" x14ac:dyDescent="0.2">
      <c r="A405" s="20"/>
      <c r="B405" s="20"/>
      <c r="C405" s="20"/>
      <c r="D405" s="20"/>
      <c r="E405" s="20"/>
      <c r="F405" s="20"/>
      <c r="G405" s="20"/>
    </row>
    <row r="406" spans="1:7" ht="12.75" x14ac:dyDescent="0.2">
      <c r="A406" s="20"/>
      <c r="B406" s="20"/>
      <c r="C406" s="20"/>
      <c r="D406" s="20"/>
      <c r="E406" s="20"/>
      <c r="F406" s="20"/>
      <c r="G406" s="20"/>
    </row>
    <row r="407" spans="1:7" ht="12.75" x14ac:dyDescent="0.2">
      <c r="A407" s="20"/>
      <c r="B407" s="20"/>
      <c r="C407" s="20"/>
      <c r="D407" s="20"/>
      <c r="E407" s="20"/>
      <c r="F407" s="20"/>
      <c r="G407" s="20"/>
    </row>
    <row r="408" spans="1:7" ht="12.75" x14ac:dyDescent="0.2">
      <c r="A408" s="20"/>
      <c r="B408" s="20"/>
      <c r="C408" s="20"/>
      <c r="D408" s="20"/>
      <c r="E408" s="20"/>
      <c r="F408" s="20"/>
      <c r="G408" s="20"/>
    </row>
    <row r="409" spans="1:7" ht="12.75" x14ac:dyDescent="0.2">
      <c r="A409" s="20"/>
      <c r="B409" s="20"/>
      <c r="C409" s="20"/>
      <c r="D409" s="20"/>
      <c r="E409" s="20"/>
      <c r="F409" s="20"/>
      <c r="G409" s="20"/>
    </row>
    <row r="410" spans="1:7" ht="12.75" x14ac:dyDescent="0.2">
      <c r="A410" s="20"/>
      <c r="B410" s="20"/>
      <c r="C410" s="20"/>
      <c r="D410" s="20"/>
      <c r="E410" s="20"/>
      <c r="F410" s="20"/>
      <c r="G410" s="20"/>
    </row>
    <row r="411" spans="1:7" ht="12.75" x14ac:dyDescent="0.2">
      <c r="A411" s="20"/>
      <c r="B411" s="20"/>
      <c r="C411" s="20"/>
      <c r="D411" s="20"/>
      <c r="E411" s="20"/>
      <c r="F411" s="20"/>
      <c r="G411" s="20"/>
    </row>
    <row r="412" spans="1:7" ht="12.75" x14ac:dyDescent="0.2">
      <c r="A412" s="20"/>
      <c r="B412" s="20"/>
      <c r="C412" s="20"/>
      <c r="D412" s="20"/>
      <c r="E412" s="20"/>
      <c r="F412" s="20"/>
      <c r="G412" s="20"/>
    </row>
    <row r="413" spans="1:7" ht="12.75" x14ac:dyDescent="0.2">
      <c r="A413" s="20"/>
      <c r="B413" s="20"/>
      <c r="C413" s="20"/>
      <c r="D413" s="20"/>
      <c r="E413" s="20"/>
      <c r="F413" s="20"/>
      <c r="G413" s="20"/>
    </row>
    <row r="414" spans="1:7" ht="12.75" x14ac:dyDescent="0.2">
      <c r="A414" s="20"/>
      <c r="B414" s="20"/>
      <c r="C414" s="20"/>
      <c r="D414" s="20"/>
      <c r="E414" s="20"/>
      <c r="F414" s="20"/>
      <c r="G414" s="20"/>
    </row>
    <row r="415" spans="1:7" ht="12.75" x14ac:dyDescent="0.2">
      <c r="A415" s="20"/>
      <c r="B415" s="20"/>
      <c r="C415" s="20"/>
      <c r="D415" s="20"/>
      <c r="E415" s="20"/>
      <c r="F415" s="20"/>
      <c r="G415" s="20"/>
    </row>
    <row r="416" spans="1:7" ht="12.75" x14ac:dyDescent="0.2">
      <c r="A416" s="20"/>
      <c r="B416" s="20"/>
      <c r="C416" s="20"/>
      <c r="D416" s="20"/>
      <c r="E416" s="20"/>
      <c r="F416" s="20"/>
      <c r="G416" s="20"/>
    </row>
    <row r="417" spans="1:7" ht="12.75" x14ac:dyDescent="0.2">
      <c r="A417" s="20"/>
      <c r="B417" s="20"/>
      <c r="C417" s="20"/>
      <c r="D417" s="20"/>
      <c r="E417" s="20"/>
      <c r="F417" s="20"/>
      <c r="G417" s="20"/>
    </row>
    <row r="418" spans="1:7" ht="12.75" x14ac:dyDescent="0.2">
      <c r="A418" s="20"/>
      <c r="B418" s="20"/>
      <c r="C418" s="20"/>
      <c r="D418" s="20"/>
      <c r="E418" s="20"/>
      <c r="F418" s="20"/>
      <c r="G418" s="20"/>
    </row>
    <row r="419" spans="1:7" ht="12.75" x14ac:dyDescent="0.2">
      <c r="A419" s="20"/>
      <c r="B419" s="20"/>
      <c r="C419" s="20"/>
      <c r="D419" s="20"/>
      <c r="E419" s="20"/>
      <c r="F419" s="20"/>
      <c r="G419" s="20"/>
    </row>
    <row r="420" spans="1:7" ht="12.75" x14ac:dyDescent="0.2">
      <c r="A420" s="20"/>
      <c r="B420" s="20"/>
      <c r="C420" s="20"/>
      <c r="D420" s="20"/>
      <c r="E420" s="20"/>
      <c r="F420" s="20"/>
      <c r="G420" s="20"/>
    </row>
    <row r="421" spans="1:7" ht="12.75" x14ac:dyDescent="0.2">
      <c r="A421" s="20"/>
      <c r="B421" s="20"/>
      <c r="C421" s="20"/>
      <c r="D421" s="20"/>
      <c r="E421" s="20"/>
      <c r="F421" s="20"/>
      <c r="G421" s="20"/>
    </row>
    <row r="422" spans="1:7" ht="12.75" x14ac:dyDescent="0.2">
      <c r="A422" s="20"/>
      <c r="B422" s="20"/>
      <c r="C422" s="20"/>
      <c r="D422" s="20"/>
      <c r="E422" s="20"/>
      <c r="F422" s="20"/>
      <c r="G422" s="20"/>
    </row>
    <row r="423" spans="1:7" ht="12.75" x14ac:dyDescent="0.2">
      <c r="A423" s="20"/>
      <c r="B423" s="20"/>
      <c r="C423" s="20"/>
      <c r="D423" s="20"/>
      <c r="E423" s="20"/>
      <c r="F423" s="20"/>
      <c r="G423" s="20"/>
    </row>
    <row r="424" spans="1:7" ht="12.75" x14ac:dyDescent="0.2">
      <c r="A424" s="20"/>
      <c r="B424" s="20"/>
      <c r="C424" s="20"/>
      <c r="D424" s="20"/>
      <c r="E424" s="20"/>
      <c r="F424" s="20"/>
      <c r="G424" s="20"/>
    </row>
    <row r="425" spans="1:7" ht="12.75" x14ac:dyDescent="0.2">
      <c r="A425" s="20"/>
      <c r="B425" s="20"/>
      <c r="C425" s="20"/>
      <c r="D425" s="20"/>
      <c r="E425" s="20"/>
      <c r="F425" s="20"/>
      <c r="G425" s="20"/>
    </row>
    <row r="426" spans="1:7" ht="12.75" x14ac:dyDescent="0.2">
      <c r="A426" s="20"/>
      <c r="B426" s="20"/>
      <c r="C426" s="20"/>
      <c r="D426" s="20"/>
      <c r="E426" s="20"/>
      <c r="F426" s="20"/>
      <c r="G426" s="20"/>
    </row>
    <row r="427" spans="1:7" ht="12.75" x14ac:dyDescent="0.2">
      <c r="A427" s="20"/>
      <c r="B427" s="20"/>
      <c r="C427" s="20"/>
      <c r="D427" s="20"/>
      <c r="E427" s="20"/>
      <c r="F427" s="20"/>
      <c r="G427" s="20"/>
    </row>
    <row r="428" spans="1:7" ht="12.75" x14ac:dyDescent="0.2">
      <c r="A428" s="20"/>
      <c r="B428" s="20"/>
      <c r="C428" s="20"/>
      <c r="D428" s="20"/>
      <c r="E428" s="20"/>
      <c r="F428" s="20"/>
      <c r="G428" s="20"/>
    </row>
    <row r="429" spans="1:7" ht="12.75" x14ac:dyDescent="0.2">
      <c r="A429" s="20"/>
      <c r="B429" s="20"/>
      <c r="C429" s="20"/>
      <c r="D429" s="20"/>
      <c r="E429" s="20"/>
      <c r="F429" s="20"/>
      <c r="G429" s="20"/>
    </row>
    <row r="430" spans="1:7" ht="12.75" x14ac:dyDescent="0.2">
      <c r="A430" s="20"/>
      <c r="B430" s="20"/>
      <c r="C430" s="20"/>
      <c r="D430" s="20"/>
      <c r="E430" s="20"/>
      <c r="F430" s="20"/>
      <c r="G430" s="20"/>
    </row>
    <row r="431" spans="1:7" ht="12.75" x14ac:dyDescent="0.2">
      <c r="A431" s="20"/>
      <c r="B431" s="20"/>
      <c r="C431" s="20"/>
      <c r="D431" s="20"/>
      <c r="E431" s="20"/>
      <c r="F431" s="20"/>
      <c r="G431" s="20"/>
    </row>
    <row r="432" spans="1:7" ht="12.75" x14ac:dyDescent="0.2">
      <c r="A432" s="20"/>
      <c r="B432" s="20"/>
      <c r="C432" s="20"/>
      <c r="D432" s="20"/>
      <c r="E432" s="20"/>
      <c r="F432" s="20"/>
      <c r="G432" s="20"/>
    </row>
    <row r="433" spans="1:7" ht="12.75" x14ac:dyDescent="0.2">
      <c r="A433" s="20"/>
      <c r="B433" s="20"/>
      <c r="C433" s="20"/>
      <c r="D433" s="20"/>
      <c r="E433" s="20"/>
      <c r="F433" s="20"/>
      <c r="G433" s="20"/>
    </row>
    <row r="434" spans="1:7" ht="12.75" x14ac:dyDescent="0.2">
      <c r="A434" s="20"/>
      <c r="B434" s="20"/>
      <c r="C434" s="20"/>
      <c r="D434" s="20"/>
      <c r="E434" s="20"/>
      <c r="F434" s="20"/>
      <c r="G434" s="20"/>
    </row>
    <row r="435" spans="1:7" ht="12.75" x14ac:dyDescent="0.2">
      <c r="A435" s="20"/>
      <c r="B435" s="20"/>
      <c r="C435" s="20"/>
      <c r="D435" s="20"/>
      <c r="E435" s="20"/>
      <c r="F435" s="20"/>
      <c r="G435" s="20"/>
    </row>
    <row r="436" spans="1:7" ht="12.75" x14ac:dyDescent="0.2">
      <c r="A436" s="20"/>
      <c r="B436" s="20"/>
      <c r="C436" s="20"/>
      <c r="D436" s="20"/>
      <c r="E436" s="20"/>
      <c r="F436" s="20"/>
      <c r="G436" s="20"/>
    </row>
    <row r="437" spans="1:7" ht="12.75" x14ac:dyDescent="0.2">
      <c r="A437" s="20"/>
      <c r="B437" s="20"/>
      <c r="C437" s="20"/>
      <c r="D437" s="20"/>
      <c r="E437" s="20"/>
      <c r="F437" s="20"/>
      <c r="G437" s="20"/>
    </row>
    <row r="438" spans="1:7" ht="12.75" x14ac:dyDescent="0.2">
      <c r="A438" s="20"/>
      <c r="B438" s="20"/>
      <c r="C438" s="20"/>
      <c r="D438" s="20"/>
      <c r="E438" s="20"/>
      <c r="F438" s="20"/>
      <c r="G438" s="20"/>
    </row>
    <row r="439" spans="1:7" ht="12.75" x14ac:dyDescent="0.2">
      <c r="A439" s="20"/>
      <c r="B439" s="20"/>
      <c r="C439" s="20"/>
      <c r="D439" s="20"/>
      <c r="E439" s="20"/>
      <c r="F439" s="20"/>
      <c r="G439" s="20"/>
    </row>
    <row r="440" spans="1:7" ht="12.75" x14ac:dyDescent="0.2">
      <c r="A440" s="20"/>
      <c r="B440" s="20"/>
      <c r="C440" s="20"/>
      <c r="D440" s="20"/>
      <c r="E440" s="20"/>
      <c r="F440" s="20"/>
      <c r="G440" s="20"/>
    </row>
    <row r="441" spans="1:7" ht="12.75" x14ac:dyDescent="0.2">
      <c r="A441" s="20"/>
      <c r="B441" s="20"/>
      <c r="C441" s="20"/>
      <c r="D441" s="20"/>
      <c r="E441" s="20"/>
      <c r="F441" s="20"/>
      <c r="G441" s="20"/>
    </row>
    <row r="442" spans="1:7" ht="12.75" x14ac:dyDescent="0.2">
      <c r="A442" s="20"/>
      <c r="B442" s="20"/>
      <c r="C442" s="20"/>
      <c r="D442" s="20"/>
      <c r="E442" s="20"/>
      <c r="F442" s="20"/>
      <c r="G442" s="20"/>
    </row>
    <row r="443" spans="1:7" ht="12.75" x14ac:dyDescent="0.2">
      <c r="A443" s="20"/>
      <c r="B443" s="20"/>
      <c r="C443" s="20"/>
      <c r="D443" s="20"/>
      <c r="E443" s="20"/>
      <c r="F443" s="20"/>
      <c r="G443" s="20"/>
    </row>
    <row r="444" spans="1:7" ht="12.75" x14ac:dyDescent="0.2">
      <c r="A444" s="20"/>
      <c r="B444" s="20"/>
      <c r="C444" s="20"/>
      <c r="D444" s="20"/>
      <c r="E444" s="20"/>
      <c r="F444" s="20"/>
      <c r="G444" s="20"/>
    </row>
    <row r="445" spans="1:7" ht="12.75" x14ac:dyDescent="0.2">
      <c r="A445" s="20"/>
      <c r="B445" s="20"/>
      <c r="C445" s="20"/>
      <c r="D445" s="20"/>
      <c r="E445" s="20"/>
      <c r="F445" s="20"/>
      <c r="G445" s="20"/>
    </row>
    <row r="446" spans="1:7" ht="12.75" x14ac:dyDescent="0.2">
      <c r="A446" s="20"/>
      <c r="B446" s="20"/>
      <c r="C446" s="20"/>
      <c r="D446" s="20"/>
      <c r="E446" s="20"/>
      <c r="F446" s="20"/>
      <c r="G446" s="20"/>
    </row>
    <row r="447" spans="1:7" ht="12.75" x14ac:dyDescent="0.2">
      <c r="A447" s="20"/>
      <c r="B447" s="20"/>
      <c r="C447" s="20"/>
      <c r="D447" s="20"/>
      <c r="E447" s="20"/>
      <c r="F447" s="20"/>
      <c r="G447" s="20"/>
    </row>
    <row r="448" spans="1:7" ht="12.75" x14ac:dyDescent="0.2">
      <c r="A448" s="20"/>
      <c r="B448" s="20"/>
      <c r="C448" s="20"/>
      <c r="D448" s="20"/>
      <c r="E448" s="20"/>
      <c r="F448" s="20"/>
      <c r="G448" s="20"/>
    </row>
    <row r="449" spans="1:7" ht="12.75" x14ac:dyDescent="0.2">
      <c r="A449" s="20"/>
      <c r="B449" s="20"/>
      <c r="C449" s="20"/>
      <c r="D449" s="20"/>
      <c r="E449" s="20"/>
      <c r="F449" s="20"/>
      <c r="G449" s="20"/>
    </row>
    <row r="450" spans="1:7" ht="12.75" x14ac:dyDescent="0.2">
      <c r="A450" s="20"/>
      <c r="B450" s="20"/>
      <c r="C450" s="20"/>
      <c r="D450" s="20"/>
      <c r="E450" s="20"/>
      <c r="F450" s="20"/>
      <c r="G450" s="20"/>
    </row>
    <row r="451" spans="1:7" ht="12.75" x14ac:dyDescent="0.2">
      <c r="A451" s="20"/>
      <c r="B451" s="20"/>
      <c r="C451" s="20"/>
      <c r="D451" s="20"/>
      <c r="E451" s="20"/>
      <c r="F451" s="20"/>
      <c r="G451" s="20"/>
    </row>
    <row r="452" spans="1:7" ht="12.75" x14ac:dyDescent="0.2">
      <c r="A452" s="20"/>
      <c r="B452" s="20"/>
      <c r="C452" s="20"/>
      <c r="D452" s="20"/>
      <c r="E452" s="20"/>
      <c r="F452" s="20"/>
      <c r="G452" s="20"/>
    </row>
    <row r="453" spans="1:7" ht="12.75" x14ac:dyDescent="0.2">
      <c r="A453" s="20"/>
      <c r="B453" s="20"/>
      <c r="C453" s="20"/>
      <c r="D453" s="20"/>
      <c r="E453" s="20"/>
      <c r="F453" s="20"/>
      <c r="G453" s="20"/>
    </row>
    <row r="454" spans="1:7" ht="12.75" x14ac:dyDescent="0.2">
      <c r="A454" s="20"/>
      <c r="B454" s="20"/>
      <c r="C454" s="20"/>
      <c r="D454" s="20"/>
      <c r="E454" s="20"/>
      <c r="F454" s="20"/>
      <c r="G454" s="20"/>
    </row>
    <row r="455" spans="1:7" ht="12.75" x14ac:dyDescent="0.2">
      <c r="A455" s="20"/>
      <c r="B455" s="20"/>
      <c r="C455" s="20"/>
      <c r="D455" s="20"/>
      <c r="E455" s="20"/>
      <c r="F455" s="20"/>
      <c r="G455" s="20"/>
    </row>
    <row r="456" spans="1:7" ht="12.75" x14ac:dyDescent="0.2">
      <c r="A456" s="20"/>
      <c r="B456" s="20"/>
      <c r="C456" s="20"/>
      <c r="D456" s="20"/>
      <c r="E456" s="20"/>
      <c r="F456" s="20"/>
      <c r="G456" s="20"/>
    </row>
    <row r="457" spans="1:7" ht="12.75" x14ac:dyDescent="0.2">
      <c r="A457" s="20"/>
      <c r="B457" s="20"/>
      <c r="C457" s="20"/>
      <c r="D457" s="20"/>
      <c r="E457" s="20"/>
      <c r="F457" s="20"/>
      <c r="G457" s="20"/>
    </row>
    <row r="458" spans="1:7" ht="12.75" x14ac:dyDescent="0.2">
      <c r="A458" s="20"/>
      <c r="B458" s="20"/>
      <c r="C458" s="20"/>
      <c r="D458" s="20"/>
      <c r="E458" s="20"/>
      <c r="F458" s="20"/>
      <c r="G458" s="20"/>
    </row>
    <row r="459" spans="1:7" ht="12.75" x14ac:dyDescent="0.2">
      <c r="A459" s="20"/>
      <c r="B459" s="20"/>
      <c r="C459" s="20"/>
      <c r="D459" s="20"/>
      <c r="E459" s="20"/>
      <c r="F459" s="20"/>
      <c r="G459" s="20"/>
    </row>
    <row r="460" spans="1:7" ht="12.75" x14ac:dyDescent="0.2">
      <c r="A460" s="20"/>
      <c r="B460" s="20"/>
      <c r="C460" s="20"/>
      <c r="D460" s="20"/>
      <c r="E460" s="20"/>
      <c r="F460" s="20"/>
      <c r="G460" s="20"/>
    </row>
    <row r="461" spans="1:7" ht="12.75" x14ac:dyDescent="0.2">
      <c r="A461" s="20"/>
      <c r="B461" s="20"/>
      <c r="C461" s="20"/>
      <c r="D461" s="20"/>
      <c r="E461" s="20"/>
      <c r="F461" s="20"/>
      <c r="G461" s="20"/>
    </row>
    <row r="462" spans="1:7" ht="12.75" x14ac:dyDescent="0.2">
      <c r="A462" s="20"/>
      <c r="B462" s="20"/>
      <c r="C462" s="20"/>
      <c r="D462" s="20"/>
      <c r="E462" s="20"/>
      <c r="F462" s="20"/>
      <c r="G462" s="20"/>
    </row>
    <row r="463" spans="1:7" ht="12.75" x14ac:dyDescent="0.2">
      <c r="A463" s="20"/>
      <c r="B463" s="20"/>
      <c r="C463" s="20"/>
      <c r="D463" s="20"/>
      <c r="E463" s="20"/>
      <c r="F463" s="20"/>
      <c r="G463" s="20"/>
    </row>
    <row r="464" spans="1:7" ht="12.75" x14ac:dyDescent="0.2">
      <c r="A464" s="20"/>
      <c r="B464" s="20"/>
      <c r="C464" s="20"/>
      <c r="D464" s="20"/>
      <c r="E464" s="20"/>
      <c r="F464" s="20"/>
      <c r="G464" s="20"/>
    </row>
    <row r="465" spans="1:7" ht="12.75" x14ac:dyDescent="0.2">
      <c r="A465" s="20"/>
      <c r="B465" s="20"/>
      <c r="C465" s="20"/>
      <c r="D465" s="20"/>
      <c r="E465" s="20"/>
      <c r="F465" s="20"/>
      <c r="G465" s="20"/>
    </row>
    <row r="466" spans="1:7" ht="12.75" x14ac:dyDescent="0.2">
      <c r="A466" s="20"/>
      <c r="B466" s="20"/>
      <c r="C466" s="20"/>
      <c r="D466" s="20"/>
      <c r="E466" s="20"/>
      <c r="F466" s="20"/>
      <c r="G466" s="20"/>
    </row>
    <row r="467" spans="1:7" ht="12.75" x14ac:dyDescent="0.2">
      <c r="A467" s="20"/>
      <c r="B467" s="20"/>
      <c r="C467" s="20"/>
      <c r="D467" s="20"/>
      <c r="E467" s="20"/>
      <c r="F467" s="20"/>
      <c r="G467" s="20"/>
    </row>
    <row r="468" spans="1:7" ht="12.75" x14ac:dyDescent="0.2">
      <c r="A468" s="20"/>
      <c r="B468" s="20"/>
      <c r="C468" s="20"/>
      <c r="D468" s="20"/>
      <c r="E468" s="20"/>
      <c r="F468" s="20"/>
      <c r="G468" s="20"/>
    </row>
    <row r="469" spans="1:7" ht="12.75" x14ac:dyDescent="0.2">
      <c r="A469" s="20"/>
      <c r="B469" s="20"/>
      <c r="C469" s="20"/>
      <c r="D469" s="20"/>
      <c r="E469" s="20"/>
      <c r="F469" s="20"/>
      <c r="G469" s="20"/>
    </row>
    <row r="470" spans="1:7" ht="12.75" x14ac:dyDescent="0.2">
      <c r="A470" s="20"/>
      <c r="B470" s="20"/>
      <c r="C470" s="20"/>
      <c r="D470" s="20"/>
      <c r="E470" s="20"/>
      <c r="F470" s="20"/>
      <c r="G470" s="20"/>
    </row>
    <row r="471" spans="1:7" ht="12.75" x14ac:dyDescent="0.2">
      <c r="A471" s="20"/>
      <c r="B471" s="20"/>
      <c r="C471" s="20"/>
      <c r="D471" s="20"/>
      <c r="E471" s="20"/>
      <c r="F471" s="20"/>
      <c r="G471" s="20"/>
    </row>
    <row r="472" spans="1:7" ht="12.75" x14ac:dyDescent="0.2">
      <c r="A472" s="20"/>
      <c r="B472" s="20"/>
      <c r="C472" s="20"/>
      <c r="D472" s="20"/>
      <c r="E472" s="20"/>
      <c r="F472" s="20"/>
      <c r="G472" s="20"/>
    </row>
    <row r="473" spans="1:7" ht="12.75" x14ac:dyDescent="0.2">
      <c r="A473" s="20"/>
      <c r="B473" s="20"/>
      <c r="C473" s="20"/>
      <c r="D473" s="20"/>
      <c r="E473" s="20"/>
      <c r="F473" s="20"/>
      <c r="G473" s="20"/>
    </row>
    <row r="474" spans="1:7" ht="12.75" x14ac:dyDescent="0.2">
      <c r="A474" s="20"/>
      <c r="B474" s="20"/>
      <c r="C474" s="20"/>
      <c r="D474" s="20"/>
      <c r="E474" s="20"/>
      <c r="F474" s="20"/>
      <c r="G474" s="20"/>
    </row>
    <row r="475" spans="1:7" ht="12.75" x14ac:dyDescent="0.2">
      <c r="A475" s="20"/>
      <c r="B475" s="20"/>
      <c r="C475" s="20"/>
      <c r="D475" s="20"/>
      <c r="E475" s="20"/>
      <c r="F475" s="20"/>
      <c r="G475" s="20"/>
    </row>
    <row r="476" spans="1:7" ht="12.75" x14ac:dyDescent="0.2">
      <c r="A476" s="20"/>
      <c r="B476" s="20"/>
      <c r="C476" s="20"/>
      <c r="D476" s="20"/>
      <c r="E476" s="20"/>
      <c r="F476" s="20"/>
      <c r="G476" s="20"/>
    </row>
    <row r="477" spans="1:7" ht="12.75" x14ac:dyDescent="0.2">
      <c r="A477" s="20"/>
      <c r="B477" s="20"/>
      <c r="C477" s="20"/>
      <c r="D477" s="20"/>
      <c r="E477" s="20"/>
      <c r="F477" s="20"/>
      <c r="G477" s="20"/>
    </row>
    <row r="478" spans="1:7" ht="12.75" x14ac:dyDescent="0.2">
      <c r="A478" s="20"/>
      <c r="B478" s="20"/>
      <c r="C478" s="20"/>
      <c r="D478" s="20"/>
      <c r="E478" s="20"/>
      <c r="F478" s="20"/>
      <c r="G478" s="20"/>
    </row>
    <row r="479" spans="1:7" ht="12.75" x14ac:dyDescent="0.2">
      <c r="A479" s="20"/>
      <c r="B479" s="20"/>
      <c r="C479" s="20"/>
      <c r="D479" s="20"/>
      <c r="E479" s="20"/>
      <c r="F479" s="20"/>
      <c r="G479" s="20"/>
    </row>
    <row r="480" spans="1:7" ht="12.75" x14ac:dyDescent="0.2">
      <c r="A480" s="20"/>
      <c r="B480" s="20"/>
      <c r="C480" s="20"/>
      <c r="D480" s="20"/>
      <c r="E480" s="20"/>
      <c r="F480" s="20"/>
      <c r="G480" s="20"/>
    </row>
    <row r="481" spans="1:7" ht="12.75" x14ac:dyDescent="0.2">
      <c r="A481" s="20"/>
      <c r="B481" s="20"/>
      <c r="C481" s="20"/>
      <c r="D481" s="20"/>
      <c r="E481" s="20"/>
      <c r="F481" s="20"/>
      <c r="G481" s="20"/>
    </row>
    <row r="482" spans="1:7" ht="12.75" x14ac:dyDescent="0.2">
      <c r="A482" s="20"/>
      <c r="B482" s="20"/>
      <c r="C482" s="20"/>
      <c r="D482" s="20"/>
      <c r="E482" s="20"/>
      <c r="F482" s="20"/>
      <c r="G482" s="20"/>
    </row>
    <row r="483" spans="1:7" ht="12.75" x14ac:dyDescent="0.2">
      <c r="A483" s="20"/>
      <c r="B483" s="20"/>
      <c r="C483" s="20"/>
      <c r="D483" s="20"/>
      <c r="E483" s="20"/>
      <c r="F483" s="20"/>
      <c r="G483" s="20"/>
    </row>
    <row r="484" spans="1:7" ht="12.75" x14ac:dyDescent="0.2">
      <c r="A484" s="20"/>
      <c r="B484" s="20"/>
      <c r="C484" s="20"/>
      <c r="D484" s="20"/>
      <c r="E484" s="20"/>
      <c r="F484" s="20"/>
      <c r="G484" s="20"/>
    </row>
    <row r="485" spans="1:7" ht="12.75" x14ac:dyDescent="0.2">
      <c r="A485" s="20"/>
      <c r="B485" s="20"/>
      <c r="C485" s="20"/>
      <c r="D485" s="20"/>
      <c r="E485" s="20"/>
      <c r="F485" s="20"/>
      <c r="G485" s="20"/>
    </row>
    <row r="486" spans="1:7" ht="12.75" x14ac:dyDescent="0.2">
      <c r="A486" s="20"/>
      <c r="B486" s="20"/>
      <c r="C486" s="20"/>
      <c r="D486" s="20"/>
      <c r="E486" s="20"/>
      <c r="F486" s="20"/>
      <c r="G486" s="20"/>
    </row>
    <row r="487" spans="1:7" ht="12.75" x14ac:dyDescent="0.2">
      <c r="A487" s="20"/>
      <c r="B487" s="20"/>
      <c r="C487" s="20"/>
      <c r="D487" s="20"/>
      <c r="E487" s="20"/>
      <c r="F487" s="20"/>
      <c r="G487" s="20"/>
    </row>
    <row r="488" spans="1:7" ht="12.75" x14ac:dyDescent="0.2">
      <c r="A488" s="20"/>
      <c r="B488" s="20"/>
      <c r="C488" s="20"/>
      <c r="D488" s="20"/>
      <c r="E488" s="20"/>
      <c r="F488" s="20"/>
      <c r="G488" s="20"/>
    </row>
    <row r="489" spans="1:7" ht="12.75" x14ac:dyDescent="0.2">
      <c r="A489" s="20"/>
      <c r="B489" s="20"/>
      <c r="C489" s="20"/>
      <c r="D489" s="20"/>
      <c r="E489" s="20"/>
      <c r="F489" s="20"/>
      <c r="G489" s="20"/>
    </row>
    <row r="490" spans="1:7" ht="12.75" x14ac:dyDescent="0.2">
      <c r="A490" s="20"/>
      <c r="B490" s="20"/>
      <c r="C490" s="20"/>
      <c r="D490" s="20"/>
      <c r="E490" s="20"/>
      <c r="F490" s="20"/>
      <c r="G490" s="20"/>
    </row>
    <row r="491" spans="1:7" ht="12.75" x14ac:dyDescent="0.2">
      <c r="A491" s="20"/>
      <c r="B491" s="20"/>
      <c r="C491" s="20"/>
      <c r="D491" s="20"/>
      <c r="E491" s="20"/>
      <c r="F491" s="20"/>
      <c r="G491" s="20"/>
    </row>
    <row r="492" spans="1:7" ht="12.75" x14ac:dyDescent="0.2">
      <c r="A492" s="20"/>
      <c r="B492" s="20"/>
      <c r="C492" s="20"/>
      <c r="D492" s="20"/>
      <c r="E492" s="20"/>
      <c r="F492" s="20"/>
      <c r="G492" s="20"/>
    </row>
    <row r="493" spans="1:7" ht="12.75" x14ac:dyDescent="0.2">
      <c r="A493" s="20"/>
      <c r="B493" s="20"/>
      <c r="C493" s="20"/>
      <c r="D493" s="20"/>
      <c r="E493" s="20"/>
      <c r="F493" s="20"/>
      <c r="G493" s="20"/>
    </row>
    <row r="494" spans="1:7" ht="12.75" x14ac:dyDescent="0.2">
      <c r="A494" s="20"/>
      <c r="B494" s="20"/>
      <c r="C494" s="20"/>
      <c r="D494" s="20"/>
      <c r="E494" s="20"/>
      <c r="F494" s="20"/>
      <c r="G494" s="20"/>
    </row>
    <row r="495" spans="1:7" ht="12.75" x14ac:dyDescent="0.2">
      <c r="A495" s="20"/>
      <c r="B495" s="20"/>
      <c r="C495" s="20"/>
      <c r="D495" s="20"/>
      <c r="E495" s="20"/>
      <c r="F495" s="20"/>
      <c r="G495" s="20"/>
    </row>
    <row r="496" spans="1:7" ht="12.75" x14ac:dyDescent="0.2">
      <c r="A496" s="20"/>
      <c r="B496" s="20"/>
      <c r="C496" s="20"/>
      <c r="D496" s="20"/>
      <c r="E496" s="20"/>
      <c r="F496" s="20"/>
      <c r="G496" s="20"/>
    </row>
    <row r="497" spans="1:7" ht="12.75" x14ac:dyDescent="0.2">
      <c r="A497" s="20"/>
      <c r="B497" s="20"/>
      <c r="C497" s="20"/>
      <c r="D497" s="20"/>
      <c r="E497" s="20"/>
      <c r="F497" s="20"/>
      <c r="G497" s="20"/>
    </row>
    <row r="498" spans="1:7" ht="12.75" x14ac:dyDescent="0.2">
      <c r="A498" s="20"/>
      <c r="B498" s="20"/>
      <c r="C498" s="20"/>
      <c r="D498" s="20"/>
      <c r="E498" s="20"/>
      <c r="F498" s="20"/>
      <c r="G498" s="20"/>
    </row>
    <row r="499" spans="1:7" ht="12.75" x14ac:dyDescent="0.2">
      <c r="A499" s="20"/>
      <c r="B499" s="20"/>
      <c r="C499" s="20"/>
      <c r="D499" s="20"/>
      <c r="E499" s="20"/>
      <c r="F499" s="20"/>
      <c r="G499" s="20"/>
    </row>
    <row r="500" spans="1:7" ht="12.75" x14ac:dyDescent="0.2">
      <c r="A500" s="20"/>
      <c r="B500" s="20"/>
      <c r="C500" s="20"/>
      <c r="D500" s="20"/>
      <c r="E500" s="20"/>
      <c r="F500" s="20"/>
      <c r="G500" s="20"/>
    </row>
    <row r="501" spans="1:7" ht="12.75" x14ac:dyDescent="0.2">
      <c r="A501" s="20"/>
      <c r="B501" s="20"/>
      <c r="C501" s="20"/>
      <c r="D501" s="20"/>
      <c r="E501" s="20"/>
      <c r="F501" s="20"/>
      <c r="G501" s="20"/>
    </row>
    <row r="502" spans="1:7" ht="12.75" x14ac:dyDescent="0.2">
      <c r="A502" s="20"/>
      <c r="B502" s="20"/>
      <c r="C502" s="20"/>
      <c r="D502" s="20"/>
      <c r="E502" s="20"/>
      <c r="F502" s="20"/>
      <c r="G502" s="20"/>
    </row>
    <row r="503" spans="1:7" ht="12.75" x14ac:dyDescent="0.2">
      <c r="A503" s="20"/>
      <c r="B503" s="20"/>
      <c r="C503" s="20"/>
      <c r="D503" s="20"/>
      <c r="E503" s="20"/>
      <c r="F503" s="20"/>
      <c r="G503" s="20"/>
    </row>
    <row r="504" spans="1:7" ht="12.75" x14ac:dyDescent="0.2">
      <c r="A504" s="20"/>
      <c r="B504" s="20"/>
      <c r="C504" s="20"/>
      <c r="D504" s="20"/>
      <c r="E504" s="20"/>
      <c r="F504" s="20"/>
      <c r="G504" s="20"/>
    </row>
    <row r="505" spans="1:7" ht="12.75" x14ac:dyDescent="0.2">
      <c r="A505" s="20"/>
      <c r="B505" s="20"/>
      <c r="C505" s="20"/>
      <c r="D505" s="20"/>
      <c r="E505" s="20"/>
      <c r="F505" s="20"/>
      <c r="G505" s="20"/>
    </row>
    <row r="506" spans="1:7" ht="12.75" x14ac:dyDescent="0.2">
      <c r="A506" s="20"/>
      <c r="B506" s="20"/>
      <c r="C506" s="20"/>
      <c r="D506" s="20"/>
      <c r="E506" s="20"/>
      <c r="F506" s="20"/>
      <c r="G506" s="20"/>
    </row>
    <row r="507" spans="1:7" ht="12.75" x14ac:dyDescent="0.2">
      <c r="A507" s="20"/>
      <c r="B507" s="20"/>
      <c r="C507" s="20"/>
      <c r="D507" s="20"/>
      <c r="E507" s="20"/>
      <c r="F507" s="20"/>
      <c r="G507" s="20"/>
    </row>
    <row r="508" spans="1:7" ht="12.75" x14ac:dyDescent="0.2">
      <c r="A508" s="20"/>
      <c r="B508" s="20"/>
      <c r="C508" s="20"/>
      <c r="D508" s="20"/>
      <c r="E508" s="20"/>
      <c r="F508" s="20"/>
      <c r="G508" s="20"/>
    </row>
    <row r="509" spans="1:7" ht="12.75" x14ac:dyDescent="0.2">
      <c r="A509" s="20"/>
      <c r="B509" s="20"/>
      <c r="C509" s="20"/>
      <c r="D509" s="20"/>
      <c r="E509" s="20"/>
      <c r="F509" s="20"/>
      <c r="G509" s="20"/>
    </row>
    <row r="510" spans="1:7" ht="12.75" x14ac:dyDescent="0.2">
      <c r="A510" s="20"/>
      <c r="B510" s="20"/>
      <c r="C510" s="20"/>
      <c r="D510" s="20"/>
      <c r="E510" s="20"/>
      <c r="F510" s="20"/>
      <c r="G510" s="20"/>
    </row>
    <row r="511" spans="1:7" ht="12.75" x14ac:dyDescent="0.2">
      <c r="A511" s="20"/>
      <c r="B511" s="20"/>
      <c r="C511" s="20"/>
      <c r="D511" s="20"/>
      <c r="E511" s="20"/>
      <c r="F511" s="20"/>
      <c r="G511" s="20"/>
    </row>
    <row r="512" spans="1:7" ht="12.75" x14ac:dyDescent="0.2">
      <c r="A512" s="20"/>
      <c r="B512" s="20"/>
      <c r="C512" s="20"/>
      <c r="D512" s="20"/>
      <c r="E512" s="20"/>
      <c r="F512" s="20"/>
      <c r="G512" s="20"/>
    </row>
    <row r="513" spans="1:7" ht="12.75" x14ac:dyDescent="0.2">
      <c r="A513" s="20"/>
      <c r="B513" s="20"/>
      <c r="C513" s="20"/>
      <c r="D513" s="20"/>
      <c r="E513" s="20"/>
      <c r="F513" s="20"/>
      <c r="G513" s="20"/>
    </row>
    <row r="514" spans="1:7" ht="12.75" x14ac:dyDescent="0.2">
      <c r="A514" s="20"/>
      <c r="B514" s="20"/>
      <c r="C514" s="20"/>
      <c r="D514" s="20"/>
      <c r="E514" s="20"/>
      <c r="F514" s="20"/>
      <c r="G514" s="20"/>
    </row>
    <row r="515" spans="1:7" ht="12.75" x14ac:dyDescent="0.2">
      <c r="A515" s="20"/>
      <c r="B515" s="20"/>
      <c r="C515" s="20"/>
      <c r="D515" s="20"/>
      <c r="E515" s="20"/>
      <c r="F515" s="20"/>
      <c r="G515" s="20"/>
    </row>
    <row r="516" spans="1:7" ht="12.75" x14ac:dyDescent="0.2">
      <c r="A516" s="20"/>
      <c r="B516" s="20"/>
      <c r="C516" s="20"/>
      <c r="D516" s="20"/>
      <c r="E516" s="20"/>
      <c r="F516" s="20"/>
      <c r="G516" s="20"/>
    </row>
    <row r="517" spans="1:7" ht="12.75" x14ac:dyDescent="0.2">
      <c r="A517" s="20"/>
      <c r="B517" s="20"/>
      <c r="C517" s="20"/>
      <c r="D517" s="20"/>
      <c r="E517" s="20"/>
      <c r="F517" s="20"/>
      <c r="G517" s="20"/>
    </row>
    <row r="518" spans="1:7" ht="12.75" x14ac:dyDescent="0.2">
      <c r="A518" s="20"/>
      <c r="B518" s="20"/>
      <c r="C518" s="20"/>
      <c r="D518" s="20"/>
      <c r="E518" s="20"/>
      <c r="F518" s="20"/>
      <c r="G518" s="20"/>
    </row>
    <row r="519" spans="1:7" ht="12.75" x14ac:dyDescent="0.2">
      <c r="A519" s="20"/>
      <c r="B519" s="20"/>
      <c r="C519" s="20"/>
      <c r="D519" s="20"/>
      <c r="E519" s="20"/>
      <c r="F519" s="20"/>
      <c r="G519" s="20"/>
    </row>
    <row r="520" spans="1:7" ht="12.75" x14ac:dyDescent="0.2">
      <c r="A520" s="20"/>
      <c r="B520" s="20"/>
      <c r="C520" s="20"/>
      <c r="D520" s="20"/>
      <c r="E520" s="20"/>
      <c r="F520" s="20"/>
      <c r="G520" s="20"/>
    </row>
    <row r="521" spans="1:7" ht="12.75" x14ac:dyDescent="0.2">
      <c r="A521" s="20"/>
      <c r="B521" s="20"/>
      <c r="C521" s="20"/>
      <c r="D521" s="20"/>
      <c r="E521" s="20"/>
      <c r="F521" s="20"/>
      <c r="G521" s="20"/>
    </row>
    <row r="522" spans="1:7" ht="12.75" x14ac:dyDescent="0.2">
      <c r="A522" s="20"/>
      <c r="B522" s="20"/>
      <c r="C522" s="20"/>
      <c r="D522" s="20"/>
      <c r="E522" s="20"/>
      <c r="F522" s="20"/>
      <c r="G522" s="20"/>
    </row>
    <row r="523" spans="1:7" ht="12.75" x14ac:dyDescent="0.2">
      <c r="A523" s="20"/>
      <c r="B523" s="20"/>
      <c r="C523" s="20"/>
      <c r="D523" s="20"/>
      <c r="E523" s="20"/>
      <c r="F523" s="20"/>
      <c r="G523" s="20"/>
    </row>
    <row r="524" spans="1:7" ht="12.75" x14ac:dyDescent="0.2">
      <c r="A524" s="20"/>
      <c r="B524" s="20"/>
      <c r="C524" s="20"/>
      <c r="D524" s="20"/>
      <c r="E524" s="20"/>
      <c r="F524" s="20"/>
      <c r="G524" s="20"/>
    </row>
    <row r="525" spans="1:7" ht="12.75" x14ac:dyDescent="0.2">
      <c r="A525" s="20"/>
      <c r="B525" s="20"/>
      <c r="C525" s="20"/>
      <c r="D525" s="20"/>
      <c r="E525" s="20"/>
      <c r="F525" s="20"/>
      <c r="G525" s="20"/>
    </row>
    <row r="526" spans="1:7" ht="12.75" x14ac:dyDescent="0.2">
      <c r="A526" s="20"/>
      <c r="B526" s="20"/>
      <c r="C526" s="20"/>
      <c r="D526" s="20"/>
      <c r="E526" s="20"/>
      <c r="F526" s="20"/>
      <c r="G526" s="20"/>
    </row>
    <row r="527" spans="1:7" ht="12.75" x14ac:dyDescent="0.2">
      <c r="A527" s="20"/>
      <c r="B527" s="20"/>
      <c r="C527" s="20"/>
      <c r="D527" s="20"/>
      <c r="E527" s="20"/>
      <c r="F527" s="20"/>
      <c r="G527" s="20"/>
    </row>
    <row r="528" spans="1:7" ht="12.75" x14ac:dyDescent="0.2">
      <c r="A528" s="20"/>
      <c r="B528" s="20"/>
      <c r="C528" s="20"/>
      <c r="D528" s="20"/>
      <c r="E528" s="20"/>
      <c r="F528" s="20"/>
      <c r="G528" s="20"/>
    </row>
    <row r="529" spans="1:7" ht="12.75" x14ac:dyDescent="0.2">
      <c r="A529" s="20"/>
      <c r="B529" s="20"/>
      <c r="C529" s="20"/>
      <c r="D529" s="20"/>
      <c r="E529" s="20"/>
      <c r="F529" s="20"/>
      <c r="G529" s="20"/>
    </row>
    <row r="530" spans="1:7" ht="12.75" x14ac:dyDescent="0.2">
      <c r="A530" s="20"/>
      <c r="B530" s="20"/>
      <c r="C530" s="20"/>
      <c r="D530" s="20"/>
      <c r="E530" s="20"/>
      <c r="F530" s="20"/>
      <c r="G530" s="20"/>
    </row>
    <row r="531" spans="1:7" ht="12.75" x14ac:dyDescent="0.2">
      <c r="A531" s="20"/>
      <c r="B531" s="20"/>
      <c r="C531" s="20"/>
      <c r="D531" s="20"/>
      <c r="E531" s="20"/>
      <c r="F531" s="20"/>
      <c r="G531" s="20"/>
    </row>
    <row r="532" spans="1:7" ht="12.75" x14ac:dyDescent="0.2">
      <c r="A532" s="20"/>
      <c r="B532" s="20"/>
      <c r="C532" s="20"/>
      <c r="D532" s="20"/>
      <c r="E532" s="20"/>
      <c r="F532" s="20"/>
      <c r="G532" s="20"/>
    </row>
    <row r="533" spans="1:7" ht="12.75" x14ac:dyDescent="0.2">
      <c r="A533" s="20"/>
      <c r="B533" s="20"/>
      <c r="C533" s="20"/>
      <c r="D533" s="20"/>
      <c r="E533" s="20"/>
      <c r="F533" s="20"/>
      <c r="G533" s="20"/>
    </row>
    <row r="534" spans="1:7" ht="12.75" x14ac:dyDescent="0.2">
      <c r="A534" s="20"/>
      <c r="B534" s="20"/>
      <c r="C534" s="20"/>
      <c r="D534" s="20"/>
      <c r="E534" s="20"/>
      <c r="F534" s="20"/>
      <c r="G534" s="20"/>
    </row>
    <row r="535" spans="1:7" ht="12.75" x14ac:dyDescent="0.2">
      <c r="A535" s="20"/>
      <c r="B535" s="20"/>
      <c r="C535" s="20"/>
      <c r="D535" s="20"/>
      <c r="E535" s="20"/>
      <c r="F535" s="20"/>
      <c r="G535" s="20"/>
    </row>
    <row r="536" spans="1:7" ht="12.75" x14ac:dyDescent="0.2">
      <c r="A536" s="20"/>
      <c r="B536" s="20"/>
      <c r="C536" s="20"/>
      <c r="D536" s="20"/>
      <c r="E536" s="20"/>
      <c r="F536" s="20"/>
      <c r="G536" s="20"/>
    </row>
    <row r="537" spans="1:7" ht="12.75" x14ac:dyDescent="0.2">
      <c r="A537" s="20"/>
      <c r="B537" s="20"/>
      <c r="C537" s="20"/>
      <c r="D537" s="20"/>
      <c r="E537" s="20"/>
      <c r="F537" s="20"/>
      <c r="G537" s="20"/>
    </row>
    <row r="538" spans="1:7" ht="12.75" x14ac:dyDescent="0.2">
      <c r="A538" s="20"/>
      <c r="B538" s="20"/>
      <c r="C538" s="20"/>
      <c r="D538" s="20"/>
      <c r="E538" s="20"/>
      <c r="F538" s="20"/>
      <c r="G538" s="20"/>
    </row>
    <row r="539" spans="1:7" ht="12.75" x14ac:dyDescent="0.2">
      <c r="A539" s="20"/>
      <c r="B539" s="20"/>
      <c r="C539" s="20"/>
      <c r="D539" s="20"/>
      <c r="E539" s="20"/>
      <c r="F539" s="20"/>
      <c r="G539" s="20"/>
    </row>
    <row r="540" spans="1:7" ht="12.75" x14ac:dyDescent="0.2">
      <c r="A540" s="20"/>
      <c r="B540" s="20"/>
      <c r="C540" s="20"/>
      <c r="D540" s="20"/>
      <c r="E540" s="20"/>
      <c r="F540" s="20"/>
      <c r="G540" s="20"/>
    </row>
    <row r="541" spans="1:7" ht="12.75" x14ac:dyDescent="0.2">
      <c r="A541" s="20"/>
      <c r="B541" s="20"/>
      <c r="C541" s="20"/>
      <c r="D541" s="20"/>
      <c r="E541" s="20"/>
      <c r="F541" s="20"/>
      <c r="G541" s="20"/>
    </row>
    <row r="542" spans="1:7" ht="12.75" x14ac:dyDescent="0.2">
      <c r="A542" s="20"/>
      <c r="B542" s="20"/>
      <c r="C542" s="20"/>
      <c r="D542" s="20"/>
      <c r="E542" s="20"/>
      <c r="F542" s="20"/>
      <c r="G542" s="20"/>
    </row>
    <row r="543" spans="1:7" ht="12.75" x14ac:dyDescent="0.2">
      <c r="A543" s="20"/>
      <c r="B543" s="20"/>
      <c r="C543" s="20"/>
      <c r="D543" s="20"/>
      <c r="E543" s="20"/>
      <c r="F543" s="20"/>
      <c r="G543" s="20"/>
    </row>
    <row r="544" spans="1:7" ht="12.75" x14ac:dyDescent="0.2">
      <c r="A544" s="20"/>
      <c r="B544" s="20"/>
      <c r="C544" s="20"/>
      <c r="D544" s="20"/>
      <c r="E544" s="20"/>
      <c r="F544" s="20"/>
      <c r="G544" s="20"/>
    </row>
    <row r="545" spans="1:7" ht="12.75" x14ac:dyDescent="0.2">
      <c r="A545" s="20"/>
      <c r="B545" s="20"/>
      <c r="C545" s="20"/>
      <c r="D545" s="20"/>
      <c r="E545" s="20"/>
      <c r="F545" s="20"/>
      <c r="G545" s="20"/>
    </row>
    <row r="546" spans="1:7" ht="12.75" x14ac:dyDescent="0.2">
      <c r="A546" s="20"/>
      <c r="B546" s="20"/>
      <c r="C546" s="20"/>
      <c r="D546" s="20"/>
      <c r="E546" s="20"/>
      <c r="F546" s="20"/>
      <c r="G546" s="20"/>
    </row>
    <row r="547" spans="1:7" ht="12.75" x14ac:dyDescent="0.2">
      <c r="A547" s="20"/>
      <c r="B547" s="20"/>
      <c r="C547" s="20"/>
      <c r="D547" s="20"/>
      <c r="E547" s="20"/>
      <c r="F547" s="20"/>
      <c r="G547" s="20"/>
    </row>
    <row r="548" spans="1:7" ht="12.75" x14ac:dyDescent="0.2">
      <c r="A548" s="20"/>
      <c r="B548" s="20"/>
      <c r="C548" s="20"/>
      <c r="D548" s="20"/>
      <c r="E548" s="20"/>
      <c r="F548" s="20"/>
      <c r="G548" s="20"/>
    </row>
    <row r="549" spans="1:7" ht="12.75" x14ac:dyDescent="0.2">
      <c r="A549" s="20"/>
      <c r="B549" s="20"/>
      <c r="C549" s="20"/>
      <c r="D549" s="20"/>
      <c r="E549" s="20"/>
      <c r="F549" s="20"/>
      <c r="G549" s="20"/>
    </row>
    <row r="550" spans="1:7" ht="12.75" x14ac:dyDescent="0.2">
      <c r="A550" s="20"/>
      <c r="B550" s="20"/>
      <c r="C550" s="20"/>
      <c r="D550" s="20"/>
      <c r="E550" s="20"/>
      <c r="F550" s="20"/>
      <c r="G550" s="20"/>
    </row>
    <row r="551" spans="1:7" ht="12.75" x14ac:dyDescent="0.2">
      <c r="A551" s="20"/>
      <c r="B551" s="20"/>
      <c r="C551" s="20"/>
      <c r="D551" s="20"/>
      <c r="E551" s="20"/>
      <c r="F551" s="20"/>
      <c r="G551" s="20"/>
    </row>
    <row r="552" spans="1:7" ht="12.75" x14ac:dyDescent="0.2">
      <c r="A552" s="20"/>
      <c r="B552" s="20"/>
      <c r="C552" s="20"/>
      <c r="D552" s="20"/>
      <c r="E552" s="20"/>
      <c r="F552" s="20"/>
      <c r="G552" s="20"/>
    </row>
    <row r="553" spans="1:7" ht="12.75" x14ac:dyDescent="0.2">
      <c r="A553" s="20"/>
      <c r="B553" s="20"/>
      <c r="C553" s="20"/>
      <c r="D553" s="20"/>
      <c r="E553" s="20"/>
      <c r="F553" s="20"/>
      <c r="G553" s="20"/>
    </row>
    <row r="554" spans="1:7" ht="12.75" x14ac:dyDescent="0.2">
      <c r="A554" s="20"/>
      <c r="B554" s="20"/>
      <c r="C554" s="20"/>
      <c r="D554" s="20"/>
      <c r="E554" s="20"/>
      <c r="F554" s="20"/>
      <c r="G554" s="20"/>
    </row>
    <row r="555" spans="1:7" ht="12.75" x14ac:dyDescent="0.2">
      <c r="A555" s="20"/>
      <c r="B555" s="20"/>
      <c r="C555" s="20"/>
      <c r="D555" s="20"/>
      <c r="E555" s="20"/>
      <c r="F555" s="20"/>
      <c r="G555" s="20"/>
    </row>
    <row r="556" spans="1:7" ht="12.75" x14ac:dyDescent="0.2">
      <c r="A556" s="20"/>
      <c r="B556" s="20"/>
      <c r="C556" s="20"/>
      <c r="D556" s="20"/>
      <c r="E556" s="20"/>
      <c r="F556" s="20"/>
      <c r="G556" s="20"/>
    </row>
    <row r="557" spans="1:7" ht="12.75" x14ac:dyDescent="0.2">
      <c r="A557" s="20"/>
      <c r="B557" s="20"/>
      <c r="C557" s="20"/>
      <c r="D557" s="20"/>
      <c r="E557" s="20"/>
      <c r="F557" s="20"/>
      <c r="G557" s="20"/>
    </row>
    <row r="558" spans="1:7" ht="12.75" x14ac:dyDescent="0.2">
      <c r="A558" s="20"/>
      <c r="B558" s="20"/>
      <c r="C558" s="20"/>
      <c r="D558" s="20"/>
      <c r="E558" s="20"/>
      <c r="F558" s="20"/>
      <c r="G558" s="20"/>
    </row>
    <row r="559" spans="1:7" ht="12.75" x14ac:dyDescent="0.2">
      <c r="A559" s="20"/>
      <c r="B559" s="20"/>
      <c r="C559" s="20"/>
      <c r="D559" s="20"/>
      <c r="E559" s="20"/>
      <c r="F559" s="20"/>
      <c r="G559" s="20"/>
    </row>
    <row r="560" spans="1:7" ht="12.75" x14ac:dyDescent="0.2">
      <c r="A560" s="20"/>
      <c r="B560" s="20"/>
      <c r="C560" s="20"/>
      <c r="D560" s="20"/>
      <c r="E560" s="20"/>
      <c r="F560" s="20"/>
      <c r="G560" s="20"/>
    </row>
    <row r="561" spans="1:7" ht="12.75" x14ac:dyDescent="0.2">
      <c r="A561" s="20"/>
      <c r="B561" s="20"/>
      <c r="C561" s="20"/>
      <c r="D561" s="20"/>
      <c r="E561" s="20"/>
      <c r="F561" s="20"/>
      <c r="G561" s="20"/>
    </row>
    <row r="562" spans="1:7" ht="12.75" x14ac:dyDescent="0.2">
      <c r="A562" s="20"/>
      <c r="B562" s="20"/>
      <c r="C562" s="20"/>
      <c r="D562" s="20"/>
      <c r="E562" s="20"/>
      <c r="F562" s="20"/>
      <c r="G562" s="20"/>
    </row>
    <row r="563" spans="1:7" ht="12.75" x14ac:dyDescent="0.2">
      <c r="A563" s="20"/>
      <c r="B563" s="20"/>
      <c r="C563" s="20"/>
      <c r="D563" s="20"/>
      <c r="E563" s="20"/>
      <c r="F563" s="20"/>
      <c r="G563" s="20"/>
    </row>
    <row r="564" spans="1:7" ht="12.75" x14ac:dyDescent="0.2">
      <c r="A564" s="20"/>
      <c r="B564" s="20"/>
      <c r="C564" s="20"/>
      <c r="D564" s="20"/>
      <c r="E564" s="20"/>
      <c r="F564" s="20"/>
      <c r="G564" s="20"/>
    </row>
    <row r="565" spans="1:7" ht="12.75" x14ac:dyDescent="0.2">
      <c r="A565" s="20"/>
      <c r="B565" s="20"/>
      <c r="C565" s="20"/>
      <c r="D565" s="20"/>
      <c r="E565" s="20"/>
      <c r="F565" s="20"/>
      <c r="G565" s="20"/>
    </row>
    <row r="566" spans="1:7" ht="12.75" x14ac:dyDescent="0.2">
      <c r="A566" s="20"/>
      <c r="B566" s="20"/>
      <c r="C566" s="20"/>
      <c r="D566" s="20"/>
      <c r="E566" s="20"/>
      <c r="F566" s="20"/>
      <c r="G566" s="20"/>
    </row>
    <row r="567" spans="1:7" ht="12.75" x14ac:dyDescent="0.2">
      <c r="A567" s="20"/>
      <c r="B567" s="20"/>
      <c r="C567" s="20"/>
      <c r="D567" s="20"/>
      <c r="E567" s="20"/>
      <c r="F567" s="20"/>
      <c r="G567" s="20"/>
    </row>
    <row r="568" spans="1:7" ht="12.75" x14ac:dyDescent="0.2">
      <c r="A568" s="20"/>
      <c r="B568" s="20"/>
      <c r="C568" s="20"/>
      <c r="D568" s="20"/>
      <c r="E568" s="20"/>
      <c r="F568" s="20"/>
      <c r="G568" s="20"/>
    </row>
    <row r="569" spans="1:7" ht="12.75" x14ac:dyDescent="0.2">
      <c r="A569" s="20"/>
      <c r="B569" s="20"/>
      <c r="C569" s="20"/>
      <c r="D569" s="20"/>
      <c r="E569" s="20"/>
      <c r="F569" s="20"/>
      <c r="G569" s="20"/>
    </row>
    <row r="570" spans="1:7" ht="12.75" x14ac:dyDescent="0.2">
      <c r="A570" s="20"/>
      <c r="B570" s="20"/>
      <c r="C570" s="20"/>
      <c r="D570" s="20"/>
      <c r="E570" s="20"/>
      <c r="F570" s="20"/>
      <c r="G570" s="20"/>
    </row>
    <row r="571" spans="1:7" ht="12.75" x14ac:dyDescent="0.2">
      <c r="A571" s="20"/>
      <c r="B571" s="20"/>
      <c r="C571" s="20"/>
      <c r="D571" s="20"/>
      <c r="E571" s="20"/>
      <c r="F571" s="20"/>
      <c r="G571" s="20"/>
    </row>
    <row r="572" spans="1:7" ht="12.75" x14ac:dyDescent="0.2">
      <c r="A572" s="20"/>
      <c r="B572" s="20"/>
      <c r="C572" s="20"/>
      <c r="D572" s="20"/>
      <c r="E572" s="20"/>
      <c r="F572" s="20"/>
      <c r="G572" s="20"/>
    </row>
    <row r="573" spans="1:7" ht="12.75" x14ac:dyDescent="0.2">
      <c r="A573" s="20"/>
      <c r="B573" s="20"/>
      <c r="C573" s="20"/>
      <c r="D573" s="20"/>
      <c r="E573" s="20"/>
      <c r="F573" s="20"/>
      <c r="G573" s="20"/>
    </row>
    <row r="574" spans="1:7" ht="12.75" x14ac:dyDescent="0.2">
      <c r="A574" s="20"/>
      <c r="B574" s="20"/>
      <c r="C574" s="20"/>
      <c r="D574" s="20"/>
      <c r="E574" s="20"/>
      <c r="F574" s="20"/>
      <c r="G574" s="20"/>
    </row>
    <row r="575" spans="1:7" ht="12.75" x14ac:dyDescent="0.2">
      <c r="A575" s="20"/>
      <c r="B575" s="20"/>
      <c r="C575" s="20"/>
      <c r="D575" s="20"/>
      <c r="E575" s="20"/>
      <c r="F575" s="20"/>
      <c r="G575" s="20"/>
    </row>
    <row r="576" spans="1:7" ht="12.75" x14ac:dyDescent="0.2">
      <c r="A576" s="20"/>
      <c r="B576" s="20"/>
      <c r="C576" s="20"/>
      <c r="D576" s="20"/>
      <c r="E576" s="20"/>
      <c r="F576" s="20"/>
      <c r="G576" s="20"/>
    </row>
    <row r="577" spans="1:7" ht="12.75" x14ac:dyDescent="0.2">
      <c r="A577" s="20"/>
      <c r="B577" s="20"/>
      <c r="C577" s="20"/>
      <c r="D577" s="20"/>
      <c r="E577" s="20"/>
      <c r="F577" s="20"/>
      <c r="G577" s="20"/>
    </row>
    <row r="578" spans="1:7" ht="12.75" x14ac:dyDescent="0.2">
      <c r="A578" s="20"/>
      <c r="B578" s="20"/>
      <c r="C578" s="20"/>
      <c r="D578" s="20"/>
      <c r="E578" s="20"/>
      <c r="F578" s="20"/>
      <c r="G578" s="20"/>
    </row>
    <row r="579" spans="1:7" ht="12.75" x14ac:dyDescent="0.2">
      <c r="A579" s="20"/>
      <c r="B579" s="20"/>
      <c r="C579" s="20"/>
      <c r="D579" s="20"/>
      <c r="E579" s="20"/>
      <c r="F579" s="20"/>
      <c r="G579" s="20"/>
    </row>
    <row r="580" spans="1:7" ht="12.75" x14ac:dyDescent="0.2">
      <c r="A580" s="20"/>
      <c r="B580" s="20"/>
      <c r="C580" s="20"/>
      <c r="D580" s="20"/>
      <c r="E580" s="20"/>
      <c r="F580" s="20"/>
      <c r="G580" s="20"/>
    </row>
    <row r="581" spans="1:7" ht="12.75" x14ac:dyDescent="0.2">
      <c r="A581" s="20"/>
      <c r="B581" s="20"/>
      <c r="C581" s="20"/>
      <c r="D581" s="20"/>
      <c r="E581" s="20"/>
      <c r="F581" s="20"/>
      <c r="G581" s="20"/>
    </row>
    <row r="582" spans="1:7" ht="12.75" x14ac:dyDescent="0.2">
      <c r="A582" s="20"/>
      <c r="B582" s="20"/>
      <c r="C582" s="20"/>
      <c r="D582" s="20"/>
      <c r="E582" s="20"/>
      <c r="F582" s="20"/>
      <c r="G582" s="20"/>
    </row>
    <row r="583" spans="1:7" ht="12.75" x14ac:dyDescent="0.2">
      <c r="A583" s="20"/>
      <c r="B583" s="20"/>
      <c r="C583" s="20"/>
      <c r="D583" s="20"/>
      <c r="E583" s="20"/>
      <c r="F583" s="20"/>
      <c r="G583" s="20"/>
    </row>
    <row r="584" spans="1:7" ht="12.75" x14ac:dyDescent="0.2">
      <c r="A584" s="20"/>
      <c r="B584" s="20"/>
      <c r="C584" s="20"/>
      <c r="D584" s="20"/>
      <c r="E584" s="20"/>
      <c r="F584" s="20"/>
      <c r="G584" s="20"/>
    </row>
    <row r="585" spans="1:7" ht="12.75" x14ac:dyDescent="0.2">
      <c r="A585" s="20"/>
      <c r="B585" s="20"/>
      <c r="C585" s="20"/>
      <c r="D585" s="20"/>
      <c r="E585" s="20"/>
      <c r="F585" s="20"/>
      <c r="G585" s="20"/>
    </row>
    <row r="586" spans="1:7" ht="12.75" x14ac:dyDescent="0.2">
      <c r="A586" s="20"/>
      <c r="B586" s="20"/>
      <c r="C586" s="20"/>
      <c r="D586" s="20"/>
      <c r="E586" s="20"/>
      <c r="F586" s="20"/>
      <c r="G586" s="20"/>
    </row>
    <row r="587" spans="1:7" ht="12.75" x14ac:dyDescent="0.2">
      <c r="A587" s="20"/>
      <c r="B587" s="20"/>
      <c r="C587" s="20"/>
      <c r="D587" s="20"/>
      <c r="E587" s="20"/>
      <c r="F587" s="20"/>
      <c r="G587" s="20"/>
    </row>
    <row r="588" spans="1:7" ht="12.75" x14ac:dyDescent="0.2">
      <c r="A588" s="20"/>
      <c r="B588" s="20"/>
      <c r="C588" s="20"/>
      <c r="D588" s="20"/>
      <c r="E588" s="20"/>
      <c r="F588" s="20"/>
      <c r="G588" s="20"/>
    </row>
    <row r="589" spans="1:7" ht="12.75" x14ac:dyDescent="0.2">
      <c r="A589" s="20"/>
      <c r="B589" s="20"/>
      <c r="C589" s="20"/>
      <c r="D589" s="20"/>
      <c r="E589" s="20"/>
      <c r="F589" s="20"/>
      <c r="G589" s="20"/>
    </row>
    <row r="590" spans="1:7" ht="12.75" x14ac:dyDescent="0.2">
      <c r="A590" s="20"/>
      <c r="B590" s="20"/>
      <c r="C590" s="20"/>
      <c r="D590" s="20"/>
      <c r="E590" s="20"/>
      <c r="F590" s="20"/>
      <c r="G590" s="20"/>
    </row>
    <row r="591" spans="1:7" ht="12.75" x14ac:dyDescent="0.2">
      <c r="A591" s="20"/>
      <c r="B591" s="20"/>
      <c r="C591" s="20"/>
      <c r="D591" s="20"/>
      <c r="E591" s="20"/>
      <c r="F591" s="20"/>
      <c r="G591" s="20"/>
    </row>
    <row r="592" spans="1:7" ht="12.75" x14ac:dyDescent="0.2">
      <c r="A592" s="20"/>
      <c r="B592" s="20"/>
      <c r="C592" s="20"/>
      <c r="D592" s="20"/>
      <c r="E592" s="20"/>
      <c r="F592" s="20"/>
      <c r="G592" s="20"/>
    </row>
    <row r="593" spans="1:7" ht="12.75" x14ac:dyDescent="0.2">
      <c r="A593" s="20"/>
      <c r="B593" s="20"/>
      <c r="C593" s="20"/>
      <c r="D593" s="20"/>
      <c r="E593" s="20"/>
      <c r="F593" s="20"/>
      <c r="G593" s="20"/>
    </row>
    <row r="594" spans="1:7" ht="12.75" x14ac:dyDescent="0.2">
      <c r="A594" s="20"/>
      <c r="B594" s="20"/>
      <c r="C594" s="20"/>
      <c r="D594" s="20"/>
      <c r="E594" s="20"/>
      <c r="F594" s="20"/>
      <c r="G594" s="20"/>
    </row>
    <row r="595" spans="1:7" ht="12.75" x14ac:dyDescent="0.2">
      <c r="A595" s="20"/>
      <c r="B595" s="20"/>
      <c r="C595" s="20"/>
      <c r="D595" s="20"/>
      <c r="E595" s="20"/>
      <c r="F595" s="20"/>
      <c r="G595" s="20"/>
    </row>
    <row r="596" spans="1:7" ht="12.75" x14ac:dyDescent="0.2">
      <c r="A596" s="20"/>
      <c r="B596" s="20"/>
      <c r="C596" s="20"/>
      <c r="D596" s="20"/>
      <c r="E596" s="20"/>
      <c r="F596" s="20"/>
      <c r="G596" s="20"/>
    </row>
    <row r="597" spans="1:7" ht="12.75" x14ac:dyDescent="0.2">
      <c r="A597" s="20"/>
      <c r="B597" s="20"/>
      <c r="C597" s="20"/>
      <c r="D597" s="20"/>
      <c r="E597" s="20"/>
      <c r="F597" s="20"/>
      <c r="G597" s="20"/>
    </row>
    <row r="598" spans="1:7" ht="12.75" x14ac:dyDescent="0.2">
      <c r="A598" s="20"/>
      <c r="B598" s="20"/>
      <c r="C598" s="20"/>
      <c r="D598" s="20"/>
      <c r="E598" s="20"/>
      <c r="F598" s="20"/>
      <c r="G598" s="20"/>
    </row>
    <row r="599" spans="1:7" ht="12.75" x14ac:dyDescent="0.2">
      <c r="A599" s="20"/>
      <c r="B599" s="20"/>
      <c r="C599" s="20"/>
      <c r="D599" s="20"/>
      <c r="E599" s="20"/>
      <c r="F599" s="20"/>
      <c r="G599" s="20"/>
    </row>
    <row r="600" spans="1:7" ht="12.75" x14ac:dyDescent="0.2">
      <c r="A600" s="20"/>
      <c r="B600" s="20"/>
      <c r="C600" s="20"/>
      <c r="D600" s="20"/>
      <c r="E600" s="20"/>
      <c r="F600" s="20"/>
      <c r="G600" s="20"/>
    </row>
    <row r="601" spans="1:7" ht="12.75" x14ac:dyDescent="0.2">
      <c r="A601" s="20"/>
      <c r="B601" s="20"/>
      <c r="C601" s="20"/>
      <c r="D601" s="20"/>
      <c r="E601" s="20"/>
      <c r="F601" s="20"/>
      <c r="G601" s="20"/>
    </row>
    <row r="602" spans="1:7" ht="12.75" x14ac:dyDescent="0.2">
      <c r="A602" s="20"/>
      <c r="B602" s="20"/>
      <c r="C602" s="20"/>
      <c r="D602" s="20"/>
      <c r="E602" s="20"/>
      <c r="F602" s="20"/>
      <c r="G602" s="20"/>
    </row>
    <row r="603" spans="1:7" ht="12.75" x14ac:dyDescent="0.2">
      <c r="A603" s="20"/>
      <c r="B603" s="20"/>
      <c r="C603" s="20"/>
      <c r="D603" s="20"/>
      <c r="E603" s="20"/>
      <c r="F603" s="20"/>
      <c r="G603" s="20"/>
    </row>
    <row r="604" spans="1:7" ht="12.75" x14ac:dyDescent="0.2">
      <c r="A604" s="20"/>
      <c r="B604" s="20"/>
      <c r="C604" s="20"/>
      <c r="D604" s="20"/>
      <c r="E604" s="20"/>
      <c r="F604" s="20"/>
      <c r="G604" s="20"/>
    </row>
    <row r="605" spans="1:7" ht="12.75" x14ac:dyDescent="0.2">
      <c r="A605" s="20"/>
      <c r="B605" s="20"/>
      <c r="C605" s="20"/>
      <c r="D605" s="20"/>
      <c r="E605" s="20"/>
      <c r="F605" s="20"/>
      <c r="G605" s="20"/>
    </row>
    <row r="606" spans="1:7" ht="12.75" x14ac:dyDescent="0.2">
      <c r="A606" s="20"/>
      <c r="B606" s="20"/>
      <c r="C606" s="20"/>
      <c r="D606" s="20"/>
      <c r="E606" s="20"/>
      <c r="F606" s="20"/>
      <c r="G606" s="20"/>
    </row>
    <row r="607" spans="1:7" ht="12.75" x14ac:dyDescent="0.2">
      <c r="A607" s="20"/>
      <c r="B607" s="20"/>
      <c r="C607" s="20"/>
      <c r="D607" s="20"/>
      <c r="E607" s="20"/>
      <c r="F607" s="20"/>
      <c r="G607" s="20"/>
    </row>
    <row r="608" spans="1:7" ht="12.75" x14ac:dyDescent="0.2">
      <c r="A608" s="20"/>
      <c r="B608" s="20"/>
      <c r="C608" s="20"/>
      <c r="D608" s="20"/>
      <c r="E608" s="20"/>
      <c r="F608" s="20"/>
      <c r="G608" s="20"/>
    </row>
    <row r="609" spans="1:7" ht="12.75" x14ac:dyDescent="0.2">
      <c r="A609" s="20"/>
      <c r="B609" s="20"/>
      <c r="C609" s="20"/>
      <c r="D609" s="20"/>
      <c r="E609" s="20"/>
      <c r="F609" s="20"/>
      <c r="G609" s="20"/>
    </row>
    <row r="610" spans="1:7" ht="12.75" x14ac:dyDescent="0.2">
      <c r="A610" s="20"/>
      <c r="B610" s="20"/>
      <c r="C610" s="20"/>
      <c r="D610" s="20"/>
      <c r="E610" s="20"/>
      <c r="F610" s="20"/>
      <c r="G610" s="20"/>
    </row>
    <row r="611" spans="1:7" ht="12.75" x14ac:dyDescent="0.2">
      <c r="A611" s="20"/>
      <c r="B611" s="20"/>
      <c r="C611" s="20"/>
      <c r="D611" s="20"/>
      <c r="E611" s="20"/>
      <c r="F611" s="20"/>
      <c r="G611" s="20"/>
    </row>
    <row r="612" spans="1:7" ht="12.75" x14ac:dyDescent="0.2">
      <c r="A612" s="20"/>
      <c r="B612" s="20"/>
      <c r="C612" s="20"/>
      <c r="D612" s="20"/>
      <c r="E612" s="20"/>
      <c r="F612" s="20"/>
      <c r="G612" s="20"/>
    </row>
    <row r="613" spans="1:7" ht="12.75" x14ac:dyDescent="0.2">
      <c r="A613" s="20"/>
      <c r="B613" s="20"/>
      <c r="C613" s="20"/>
      <c r="D613" s="20"/>
      <c r="E613" s="20"/>
      <c r="F613" s="20"/>
      <c r="G613" s="20"/>
    </row>
    <row r="614" spans="1:7" ht="12.75" x14ac:dyDescent="0.2">
      <c r="A614" s="20"/>
      <c r="B614" s="20"/>
      <c r="C614" s="20"/>
      <c r="D614" s="20"/>
      <c r="E614" s="20"/>
      <c r="F614" s="20"/>
      <c r="G614" s="20"/>
    </row>
    <row r="615" spans="1:7" ht="12.75" x14ac:dyDescent="0.2">
      <c r="A615" s="20"/>
      <c r="B615" s="20"/>
      <c r="C615" s="20"/>
      <c r="D615" s="20"/>
      <c r="E615" s="20"/>
      <c r="F615" s="20"/>
      <c r="G615" s="20"/>
    </row>
    <row r="616" spans="1:7" ht="12.75" x14ac:dyDescent="0.2">
      <c r="A616" s="20"/>
      <c r="B616" s="20"/>
      <c r="C616" s="20"/>
      <c r="D616" s="20"/>
      <c r="E616" s="20"/>
      <c r="F616" s="20"/>
      <c r="G616" s="20"/>
    </row>
    <row r="617" spans="1:7" ht="12.75" x14ac:dyDescent="0.2">
      <c r="A617" s="20"/>
      <c r="B617" s="20"/>
      <c r="C617" s="20"/>
      <c r="D617" s="20"/>
      <c r="E617" s="20"/>
      <c r="F617" s="20"/>
      <c r="G617" s="20"/>
    </row>
    <row r="618" spans="1:7" ht="12.75" x14ac:dyDescent="0.2">
      <c r="A618" s="20"/>
      <c r="B618" s="20"/>
      <c r="C618" s="20"/>
      <c r="D618" s="20"/>
      <c r="E618" s="20"/>
      <c r="F618" s="20"/>
      <c r="G618" s="20"/>
    </row>
    <row r="619" spans="1:7" ht="12.75" x14ac:dyDescent="0.2">
      <c r="A619" s="20"/>
      <c r="B619" s="20"/>
      <c r="C619" s="20"/>
      <c r="D619" s="20"/>
      <c r="E619" s="20"/>
      <c r="F619" s="20"/>
      <c r="G619" s="20"/>
    </row>
    <row r="620" spans="1:7" ht="12.75" x14ac:dyDescent="0.2">
      <c r="A620" s="20"/>
      <c r="B620" s="20"/>
      <c r="C620" s="20"/>
      <c r="D620" s="20"/>
      <c r="E620" s="20"/>
      <c r="F620" s="20"/>
      <c r="G620" s="20"/>
    </row>
    <row r="621" spans="1:7" ht="12.75" x14ac:dyDescent="0.2">
      <c r="A621" s="20"/>
      <c r="B621" s="20"/>
      <c r="C621" s="20"/>
      <c r="D621" s="20"/>
      <c r="E621" s="20"/>
      <c r="F621" s="20"/>
      <c r="G621" s="20"/>
    </row>
    <row r="622" spans="1:7" ht="12.75" x14ac:dyDescent="0.2">
      <c r="A622" s="20"/>
      <c r="B622" s="20"/>
      <c r="C622" s="20"/>
      <c r="D622" s="20"/>
      <c r="E622" s="20"/>
      <c r="F622" s="20"/>
      <c r="G622" s="20"/>
    </row>
    <row r="623" spans="1:7" ht="12.75" x14ac:dyDescent="0.2">
      <c r="A623" s="20"/>
      <c r="B623" s="20"/>
      <c r="C623" s="20"/>
      <c r="D623" s="20"/>
      <c r="E623" s="20"/>
      <c r="F623" s="20"/>
      <c r="G623" s="20"/>
    </row>
    <row r="624" spans="1:7" ht="12.75" x14ac:dyDescent="0.2">
      <c r="A624" s="20"/>
      <c r="B624" s="20"/>
      <c r="C624" s="20"/>
      <c r="D624" s="20"/>
      <c r="E624" s="20"/>
      <c r="F624" s="20"/>
      <c r="G624" s="20"/>
    </row>
    <row r="625" spans="1:7" ht="12.75" x14ac:dyDescent="0.2">
      <c r="A625" s="20"/>
      <c r="B625" s="20"/>
      <c r="C625" s="20"/>
      <c r="D625" s="20"/>
      <c r="E625" s="20"/>
      <c r="F625" s="20"/>
      <c r="G625" s="20"/>
    </row>
    <row r="626" spans="1:7" ht="12.75" x14ac:dyDescent="0.2">
      <c r="A626" s="20"/>
      <c r="B626" s="20"/>
      <c r="C626" s="20"/>
      <c r="D626" s="20"/>
      <c r="E626" s="20"/>
      <c r="F626" s="20"/>
      <c r="G626" s="20"/>
    </row>
    <row r="627" spans="1:7" ht="12.75" x14ac:dyDescent="0.2">
      <c r="A627" s="20"/>
      <c r="B627" s="20"/>
      <c r="C627" s="20"/>
      <c r="D627" s="20"/>
      <c r="E627" s="20"/>
      <c r="F627" s="20"/>
      <c r="G627" s="20"/>
    </row>
    <row r="628" spans="1:7" ht="12.75" x14ac:dyDescent="0.2">
      <c r="A628" s="20"/>
      <c r="B628" s="20"/>
      <c r="C628" s="20"/>
      <c r="D628" s="20"/>
      <c r="E628" s="20"/>
      <c r="F628" s="20"/>
      <c r="G628" s="20"/>
    </row>
    <row r="629" spans="1:7" ht="12.75" x14ac:dyDescent="0.2">
      <c r="A629" s="20"/>
      <c r="B629" s="20"/>
      <c r="C629" s="20"/>
      <c r="D629" s="20"/>
      <c r="E629" s="20"/>
      <c r="F629" s="20"/>
      <c r="G629" s="20"/>
    </row>
    <row r="630" spans="1:7" ht="12.75" x14ac:dyDescent="0.2">
      <c r="A630" s="20"/>
      <c r="B630" s="20"/>
      <c r="C630" s="20"/>
      <c r="D630" s="20"/>
      <c r="E630" s="20"/>
      <c r="F630" s="20"/>
      <c r="G630" s="20"/>
    </row>
    <row r="631" spans="1:7" ht="12.75" x14ac:dyDescent="0.2">
      <c r="A631" s="20"/>
      <c r="B631" s="20"/>
      <c r="C631" s="20"/>
      <c r="D631" s="20"/>
      <c r="E631" s="20"/>
      <c r="F631" s="20"/>
      <c r="G631" s="20"/>
    </row>
    <row r="632" spans="1:7" ht="12.75" x14ac:dyDescent="0.2">
      <c r="A632" s="20"/>
      <c r="B632" s="20"/>
      <c r="C632" s="20"/>
      <c r="D632" s="20"/>
      <c r="E632" s="20"/>
      <c r="F632" s="20"/>
      <c r="G632" s="20"/>
    </row>
    <row r="633" spans="1:7" ht="12.75" x14ac:dyDescent="0.2">
      <c r="A633" s="20"/>
      <c r="B633" s="20"/>
      <c r="C633" s="20"/>
      <c r="D633" s="20"/>
      <c r="E633" s="20"/>
      <c r="F633" s="20"/>
      <c r="G633" s="20"/>
    </row>
    <row r="634" spans="1:7" ht="12.75" x14ac:dyDescent="0.2">
      <c r="A634" s="20"/>
      <c r="B634" s="20"/>
      <c r="C634" s="20"/>
      <c r="D634" s="20"/>
      <c r="E634" s="20"/>
      <c r="F634" s="20"/>
      <c r="G634" s="20"/>
    </row>
    <row r="635" spans="1:7" ht="12.75" x14ac:dyDescent="0.2">
      <c r="A635" s="20"/>
      <c r="B635" s="20"/>
      <c r="C635" s="20"/>
      <c r="D635" s="20"/>
      <c r="E635" s="20"/>
      <c r="F635" s="20"/>
      <c r="G635" s="20"/>
    </row>
    <row r="636" spans="1:7" ht="12.75" x14ac:dyDescent="0.2">
      <c r="A636" s="20"/>
      <c r="B636" s="20"/>
      <c r="C636" s="20"/>
      <c r="D636" s="20"/>
      <c r="E636" s="20"/>
      <c r="F636" s="20"/>
      <c r="G636" s="20"/>
    </row>
    <row r="637" spans="1:7" ht="12.75" x14ac:dyDescent="0.2">
      <c r="A637" s="20"/>
      <c r="B637" s="20"/>
      <c r="C637" s="20"/>
      <c r="D637" s="20"/>
      <c r="E637" s="20"/>
      <c r="F637" s="20"/>
      <c r="G637" s="20"/>
    </row>
    <row r="638" spans="1:7" ht="12.75" x14ac:dyDescent="0.2">
      <c r="A638" s="20"/>
      <c r="B638" s="20"/>
      <c r="C638" s="20"/>
      <c r="D638" s="20"/>
      <c r="E638" s="20"/>
      <c r="F638" s="20"/>
      <c r="G638" s="20"/>
    </row>
    <row r="639" spans="1:7" ht="12.75" x14ac:dyDescent="0.2">
      <c r="A639" s="20"/>
      <c r="B639" s="20"/>
      <c r="C639" s="20"/>
      <c r="D639" s="20"/>
      <c r="E639" s="20"/>
      <c r="F639" s="20"/>
      <c r="G639" s="20"/>
    </row>
    <row r="640" spans="1:7" ht="12.75" x14ac:dyDescent="0.2">
      <c r="A640" s="20"/>
      <c r="B640" s="20"/>
      <c r="C640" s="20"/>
      <c r="D640" s="20"/>
      <c r="E640" s="20"/>
      <c r="F640" s="20"/>
      <c r="G640" s="20"/>
    </row>
    <row r="641" spans="1:7" ht="12.75" x14ac:dyDescent="0.2">
      <c r="A641" s="20"/>
      <c r="B641" s="20"/>
      <c r="C641" s="20"/>
      <c r="D641" s="20"/>
      <c r="E641" s="20"/>
      <c r="F641" s="20"/>
      <c r="G641" s="20"/>
    </row>
    <row r="642" spans="1:7" ht="12.75" x14ac:dyDescent="0.2">
      <c r="A642" s="20"/>
      <c r="B642" s="20"/>
      <c r="C642" s="20"/>
      <c r="D642" s="20"/>
      <c r="E642" s="20"/>
      <c r="F642" s="20"/>
      <c r="G642" s="20"/>
    </row>
    <row r="643" spans="1:7" ht="12.75" x14ac:dyDescent="0.2">
      <c r="A643" s="20"/>
      <c r="B643" s="20"/>
      <c r="C643" s="20"/>
      <c r="D643" s="20"/>
      <c r="E643" s="20"/>
      <c r="F643" s="20"/>
      <c r="G643" s="20"/>
    </row>
    <row r="644" spans="1:7" ht="12.75" x14ac:dyDescent="0.2">
      <c r="A644" s="20"/>
      <c r="B644" s="20"/>
      <c r="C644" s="20"/>
      <c r="D644" s="20"/>
      <c r="E644" s="20"/>
      <c r="F644" s="20"/>
      <c r="G644" s="20"/>
    </row>
    <row r="645" spans="1:7" ht="12.75" x14ac:dyDescent="0.2">
      <c r="A645" s="20"/>
      <c r="B645" s="20"/>
      <c r="C645" s="20"/>
      <c r="D645" s="20"/>
      <c r="E645" s="20"/>
      <c r="F645" s="20"/>
      <c r="G645" s="20"/>
    </row>
    <row r="646" spans="1:7" ht="12.75" x14ac:dyDescent="0.2">
      <c r="A646" s="20"/>
      <c r="B646" s="20"/>
      <c r="C646" s="20"/>
      <c r="D646" s="20"/>
      <c r="E646" s="20"/>
      <c r="F646" s="20"/>
      <c r="G646" s="20"/>
    </row>
    <row r="647" spans="1:7" ht="12.75" x14ac:dyDescent="0.2">
      <c r="A647" s="20"/>
      <c r="B647" s="20"/>
      <c r="C647" s="20"/>
      <c r="D647" s="20"/>
      <c r="E647" s="20"/>
      <c r="F647" s="20"/>
      <c r="G647" s="20"/>
    </row>
    <row r="648" spans="1:7" ht="12.75" x14ac:dyDescent="0.2">
      <c r="A648" s="20"/>
      <c r="B648" s="20"/>
      <c r="C648" s="20"/>
      <c r="D648" s="20"/>
      <c r="E648" s="20"/>
      <c r="F648" s="20"/>
      <c r="G648" s="20"/>
    </row>
    <row r="649" spans="1:7" ht="12.75" x14ac:dyDescent="0.2">
      <c r="A649" s="20"/>
      <c r="B649" s="20"/>
      <c r="C649" s="20"/>
      <c r="D649" s="20"/>
      <c r="E649" s="20"/>
      <c r="F649" s="20"/>
      <c r="G649" s="20"/>
    </row>
    <row r="650" spans="1:7" ht="12.75" x14ac:dyDescent="0.2">
      <c r="A650" s="20"/>
      <c r="B650" s="20"/>
      <c r="C650" s="20"/>
      <c r="D650" s="20"/>
      <c r="E650" s="20"/>
      <c r="F650" s="20"/>
      <c r="G650" s="20"/>
    </row>
    <row r="651" spans="1:7" ht="12.75" x14ac:dyDescent="0.2">
      <c r="A651" s="20"/>
      <c r="B651" s="20"/>
      <c r="C651" s="20"/>
      <c r="D651" s="20"/>
      <c r="E651" s="20"/>
      <c r="F651" s="20"/>
      <c r="G651" s="20"/>
    </row>
    <row r="652" spans="1:7" ht="12.75" x14ac:dyDescent="0.2">
      <c r="A652" s="20"/>
      <c r="B652" s="20"/>
      <c r="C652" s="20"/>
      <c r="D652" s="20"/>
      <c r="E652" s="20"/>
      <c r="F652" s="20"/>
      <c r="G652" s="20"/>
    </row>
    <row r="653" spans="1:7" ht="12.75" x14ac:dyDescent="0.2">
      <c r="A653" s="20"/>
      <c r="B653" s="20"/>
      <c r="C653" s="20"/>
      <c r="D653" s="20"/>
      <c r="E653" s="20"/>
      <c r="F653" s="20"/>
      <c r="G653" s="20"/>
    </row>
    <row r="654" spans="1:7" ht="12.75" x14ac:dyDescent="0.2">
      <c r="A654" s="20"/>
      <c r="B654" s="20"/>
      <c r="C654" s="20"/>
      <c r="D654" s="20"/>
      <c r="E654" s="20"/>
      <c r="F654" s="20"/>
      <c r="G654" s="20"/>
    </row>
    <row r="655" spans="1:7" ht="12.75" x14ac:dyDescent="0.2">
      <c r="A655" s="20"/>
      <c r="B655" s="20"/>
      <c r="C655" s="20"/>
      <c r="D655" s="20"/>
      <c r="E655" s="20"/>
      <c r="F655" s="20"/>
      <c r="G655" s="20"/>
    </row>
    <row r="656" spans="1:7" ht="12.75" x14ac:dyDescent="0.2">
      <c r="A656" s="20"/>
      <c r="B656" s="20"/>
      <c r="C656" s="20"/>
      <c r="D656" s="20"/>
      <c r="E656" s="20"/>
      <c r="F656" s="20"/>
      <c r="G656" s="20"/>
    </row>
    <row r="657" spans="1:7" ht="12.75" x14ac:dyDescent="0.2">
      <c r="A657" s="20"/>
      <c r="B657" s="20"/>
      <c r="C657" s="20"/>
      <c r="D657" s="20"/>
      <c r="E657" s="20"/>
      <c r="F657" s="20"/>
      <c r="G657" s="20"/>
    </row>
    <row r="658" spans="1:7" ht="12.75" x14ac:dyDescent="0.2">
      <c r="A658" s="20"/>
      <c r="B658" s="20"/>
      <c r="C658" s="20"/>
      <c r="D658" s="20"/>
      <c r="E658" s="20"/>
      <c r="F658" s="20"/>
      <c r="G658" s="20"/>
    </row>
    <row r="659" spans="1:7" ht="12.75" x14ac:dyDescent="0.2">
      <c r="A659" s="20"/>
      <c r="B659" s="20"/>
      <c r="C659" s="20"/>
      <c r="D659" s="20"/>
      <c r="E659" s="20"/>
      <c r="F659" s="20"/>
      <c r="G659" s="20"/>
    </row>
    <row r="660" spans="1:7" ht="12.75" x14ac:dyDescent="0.2">
      <c r="A660" s="20"/>
      <c r="B660" s="20"/>
      <c r="C660" s="20"/>
      <c r="D660" s="20"/>
      <c r="E660" s="20"/>
      <c r="F660" s="20"/>
      <c r="G660" s="20"/>
    </row>
    <row r="661" spans="1:7" ht="12.75" x14ac:dyDescent="0.2">
      <c r="A661" s="20"/>
      <c r="B661" s="20"/>
      <c r="C661" s="20"/>
      <c r="D661" s="20"/>
      <c r="E661" s="20"/>
      <c r="F661" s="20"/>
      <c r="G661" s="20"/>
    </row>
    <row r="662" spans="1:7" ht="12.75" x14ac:dyDescent="0.2">
      <c r="A662" s="20"/>
      <c r="B662" s="20"/>
      <c r="C662" s="20"/>
      <c r="D662" s="20"/>
      <c r="E662" s="20"/>
      <c r="F662" s="20"/>
      <c r="G662" s="20"/>
    </row>
    <row r="663" spans="1:7" ht="12.75" x14ac:dyDescent="0.2">
      <c r="A663" s="20"/>
      <c r="B663" s="20"/>
      <c r="C663" s="20"/>
      <c r="D663" s="20"/>
      <c r="E663" s="20"/>
      <c r="F663" s="20"/>
      <c r="G663" s="20"/>
    </row>
    <row r="664" spans="1:7" ht="12.75" x14ac:dyDescent="0.2">
      <c r="A664" s="20"/>
      <c r="B664" s="20"/>
      <c r="C664" s="20"/>
      <c r="D664" s="20"/>
      <c r="E664" s="20"/>
      <c r="F664" s="20"/>
      <c r="G664" s="20"/>
    </row>
    <row r="665" spans="1:7" ht="12.75" x14ac:dyDescent="0.2">
      <c r="A665" s="20"/>
      <c r="B665" s="20"/>
      <c r="C665" s="20"/>
      <c r="D665" s="20"/>
      <c r="E665" s="20"/>
      <c r="F665" s="20"/>
      <c r="G665" s="20"/>
    </row>
    <row r="666" spans="1:7" ht="12.75" x14ac:dyDescent="0.2">
      <c r="A666" s="20"/>
      <c r="B666" s="20"/>
      <c r="C666" s="20"/>
      <c r="D666" s="20"/>
      <c r="E666" s="20"/>
      <c r="F666" s="20"/>
      <c r="G666" s="20"/>
    </row>
    <row r="667" spans="1:7" ht="12.75" x14ac:dyDescent="0.2">
      <c r="A667" s="20"/>
      <c r="B667" s="20"/>
      <c r="C667" s="20"/>
      <c r="D667" s="20"/>
      <c r="E667" s="20"/>
      <c r="F667" s="20"/>
      <c r="G667" s="20"/>
    </row>
    <row r="668" spans="1:7" ht="12.75" x14ac:dyDescent="0.2">
      <c r="A668" s="20"/>
      <c r="B668" s="20"/>
      <c r="C668" s="20"/>
      <c r="D668" s="20"/>
      <c r="E668" s="20"/>
      <c r="F668" s="20"/>
      <c r="G668" s="20"/>
    </row>
    <row r="669" spans="1:7" ht="12.75" x14ac:dyDescent="0.2">
      <c r="A669" s="20"/>
      <c r="B669" s="20"/>
      <c r="C669" s="20"/>
      <c r="D669" s="20"/>
      <c r="E669" s="20"/>
      <c r="F669" s="20"/>
      <c r="G669" s="20"/>
    </row>
    <row r="670" spans="1:7" ht="12.75" x14ac:dyDescent="0.2">
      <c r="A670" s="20"/>
      <c r="B670" s="20"/>
      <c r="C670" s="20"/>
      <c r="D670" s="20"/>
      <c r="E670" s="20"/>
      <c r="F670" s="20"/>
      <c r="G670" s="20"/>
    </row>
    <row r="671" spans="1:7" ht="12.75" x14ac:dyDescent="0.2">
      <c r="A671" s="20"/>
      <c r="B671" s="20"/>
      <c r="C671" s="20"/>
      <c r="D671" s="20"/>
      <c r="E671" s="20"/>
      <c r="F671" s="20"/>
      <c r="G671" s="20"/>
    </row>
    <row r="672" spans="1:7" ht="12.75" x14ac:dyDescent="0.2">
      <c r="A672" s="20"/>
      <c r="B672" s="20"/>
      <c r="C672" s="20"/>
      <c r="D672" s="20"/>
      <c r="E672" s="20"/>
      <c r="F672" s="20"/>
      <c r="G672" s="20"/>
    </row>
    <row r="673" spans="1:7" ht="12.75" x14ac:dyDescent="0.2">
      <c r="A673" s="20"/>
      <c r="B673" s="20"/>
      <c r="C673" s="20"/>
      <c r="D673" s="20"/>
      <c r="E673" s="20"/>
      <c r="F673" s="20"/>
      <c r="G673" s="20"/>
    </row>
    <row r="674" spans="1:7" ht="12.75" x14ac:dyDescent="0.2">
      <c r="A674" s="20"/>
      <c r="B674" s="20"/>
      <c r="C674" s="20"/>
      <c r="D674" s="20"/>
      <c r="E674" s="20"/>
      <c r="F674" s="20"/>
      <c r="G674" s="20"/>
    </row>
    <row r="675" spans="1:7" ht="12.75" x14ac:dyDescent="0.2">
      <c r="A675" s="20"/>
      <c r="B675" s="20"/>
      <c r="C675" s="20"/>
      <c r="D675" s="20"/>
      <c r="E675" s="20"/>
      <c r="F675" s="20"/>
      <c r="G675" s="20"/>
    </row>
    <row r="676" spans="1:7" ht="12.75" x14ac:dyDescent="0.2">
      <c r="A676" s="20"/>
      <c r="B676" s="20"/>
      <c r="C676" s="20"/>
      <c r="D676" s="20"/>
      <c r="E676" s="20"/>
      <c r="F676" s="20"/>
      <c r="G676" s="20"/>
    </row>
    <row r="677" spans="1:7" ht="12.75" x14ac:dyDescent="0.2">
      <c r="A677" s="20"/>
      <c r="B677" s="20"/>
      <c r="C677" s="20"/>
      <c r="D677" s="20"/>
      <c r="E677" s="20"/>
      <c r="F677" s="20"/>
      <c r="G677" s="20"/>
    </row>
    <row r="678" spans="1:7" ht="12.75" x14ac:dyDescent="0.2">
      <c r="A678" s="20"/>
      <c r="B678" s="20"/>
      <c r="C678" s="20"/>
      <c r="D678" s="20"/>
      <c r="E678" s="20"/>
      <c r="F678" s="20"/>
      <c r="G678" s="20"/>
    </row>
    <row r="679" spans="1:7" ht="12.75" x14ac:dyDescent="0.2">
      <c r="A679" s="20"/>
      <c r="B679" s="20"/>
      <c r="C679" s="20"/>
      <c r="D679" s="20"/>
      <c r="E679" s="20"/>
      <c r="F679" s="20"/>
      <c r="G679" s="20"/>
    </row>
    <row r="680" spans="1:7" ht="12.75" x14ac:dyDescent="0.2">
      <c r="A680" s="20"/>
      <c r="B680" s="20"/>
      <c r="C680" s="20"/>
      <c r="D680" s="20"/>
      <c r="E680" s="20"/>
      <c r="F680" s="20"/>
      <c r="G680" s="20"/>
    </row>
    <row r="681" spans="1:7" ht="12.75" x14ac:dyDescent="0.2">
      <c r="A681" s="20"/>
      <c r="B681" s="20"/>
      <c r="C681" s="20"/>
      <c r="D681" s="20"/>
      <c r="E681" s="20"/>
      <c r="F681" s="20"/>
      <c r="G681" s="20"/>
    </row>
    <row r="682" spans="1:7" ht="12.75" x14ac:dyDescent="0.2">
      <c r="A682" s="20"/>
      <c r="B682" s="20"/>
      <c r="C682" s="20"/>
      <c r="D682" s="20"/>
      <c r="E682" s="20"/>
      <c r="F682" s="20"/>
      <c r="G682" s="20"/>
    </row>
    <row r="683" spans="1:7" ht="12.75" x14ac:dyDescent="0.2">
      <c r="A683" s="20"/>
      <c r="B683" s="20"/>
      <c r="C683" s="20"/>
      <c r="D683" s="20"/>
      <c r="E683" s="20"/>
      <c r="F683" s="20"/>
      <c r="G683" s="20"/>
    </row>
    <row r="684" spans="1:7" ht="12.75" x14ac:dyDescent="0.2">
      <c r="A684" s="20"/>
      <c r="B684" s="20"/>
      <c r="C684" s="20"/>
      <c r="D684" s="20"/>
      <c r="E684" s="20"/>
      <c r="F684" s="20"/>
      <c r="G684" s="20"/>
    </row>
    <row r="685" spans="1:7" ht="12.75" x14ac:dyDescent="0.2">
      <c r="A685" s="20"/>
      <c r="B685" s="20"/>
      <c r="C685" s="20"/>
      <c r="D685" s="20"/>
      <c r="E685" s="20"/>
      <c r="F685" s="20"/>
      <c r="G685" s="20"/>
    </row>
    <row r="686" spans="1:7" ht="12.75" x14ac:dyDescent="0.2">
      <c r="A686" s="20"/>
      <c r="B686" s="20"/>
      <c r="C686" s="20"/>
      <c r="D686" s="20"/>
      <c r="E686" s="20"/>
      <c r="F686" s="20"/>
      <c r="G686" s="20"/>
    </row>
    <row r="687" spans="1:7" ht="12.75" x14ac:dyDescent="0.2">
      <c r="A687" s="20"/>
      <c r="B687" s="20"/>
      <c r="C687" s="20"/>
      <c r="D687" s="20"/>
      <c r="E687" s="20"/>
      <c r="F687" s="20"/>
      <c r="G687" s="20"/>
    </row>
    <row r="688" spans="1:7" ht="12.75" x14ac:dyDescent="0.2">
      <c r="A688" s="20"/>
      <c r="B688" s="20"/>
      <c r="C688" s="20"/>
      <c r="D688" s="20"/>
      <c r="E688" s="20"/>
      <c r="F688" s="20"/>
      <c r="G688" s="20"/>
    </row>
    <row r="689" spans="1:7" ht="12.75" x14ac:dyDescent="0.2">
      <c r="A689" s="20"/>
      <c r="B689" s="20"/>
      <c r="C689" s="20"/>
      <c r="D689" s="20"/>
      <c r="E689" s="20"/>
      <c r="F689" s="20"/>
      <c r="G689" s="20"/>
    </row>
    <row r="690" spans="1:7" ht="12.75" x14ac:dyDescent="0.2">
      <c r="A690" s="20"/>
      <c r="B690" s="20"/>
      <c r="C690" s="20"/>
      <c r="D690" s="20"/>
      <c r="E690" s="20"/>
      <c r="F690" s="20"/>
      <c r="G690" s="20"/>
    </row>
    <row r="691" spans="1:7" ht="12.75" x14ac:dyDescent="0.2">
      <c r="A691" s="20"/>
      <c r="B691" s="20"/>
      <c r="C691" s="20"/>
      <c r="D691" s="20"/>
      <c r="E691" s="20"/>
      <c r="F691" s="20"/>
      <c r="G691" s="20"/>
    </row>
    <row r="692" spans="1:7" ht="12.75" x14ac:dyDescent="0.2">
      <c r="A692" s="20"/>
      <c r="B692" s="20"/>
      <c r="C692" s="20"/>
      <c r="D692" s="20"/>
      <c r="E692" s="20"/>
      <c r="F692" s="20"/>
      <c r="G692" s="20"/>
    </row>
    <row r="693" spans="1:7" ht="12.75" x14ac:dyDescent="0.2">
      <c r="A693" s="20"/>
      <c r="B693" s="20"/>
      <c r="C693" s="20"/>
      <c r="D693" s="20"/>
      <c r="E693" s="20"/>
      <c r="F693" s="20"/>
      <c r="G693" s="20"/>
    </row>
    <row r="694" spans="1:7" ht="12.75" x14ac:dyDescent="0.2">
      <c r="A694" s="20"/>
      <c r="B694" s="20"/>
      <c r="C694" s="20"/>
      <c r="D694" s="20"/>
      <c r="E694" s="20"/>
      <c r="F694" s="20"/>
      <c r="G694" s="20"/>
    </row>
    <row r="695" spans="1:7" ht="12.75" x14ac:dyDescent="0.2">
      <c r="A695" s="20"/>
      <c r="B695" s="20"/>
      <c r="C695" s="20"/>
      <c r="D695" s="20"/>
      <c r="E695" s="20"/>
      <c r="F695" s="20"/>
      <c r="G695" s="20"/>
    </row>
    <row r="696" spans="1:7" ht="12.75" x14ac:dyDescent="0.2">
      <c r="A696" s="20"/>
      <c r="B696" s="20"/>
      <c r="C696" s="20"/>
      <c r="D696" s="20"/>
      <c r="E696" s="20"/>
      <c r="F696" s="20"/>
      <c r="G696" s="20"/>
    </row>
    <row r="697" spans="1:7" ht="12.75" x14ac:dyDescent="0.2">
      <c r="A697" s="20"/>
      <c r="B697" s="20"/>
      <c r="C697" s="20"/>
      <c r="D697" s="20"/>
      <c r="E697" s="20"/>
      <c r="F697" s="20"/>
      <c r="G697" s="20"/>
    </row>
    <row r="698" spans="1:7" ht="12.75" x14ac:dyDescent="0.2">
      <c r="A698" s="20"/>
      <c r="B698" s="20"/>
      <c r="C698" s="20"/>
      <c r="D698" s="20"/>
      <c r="E698" s="20"/>
      <c r="F698" s="20"/>
      <c r="G698" s="20"/>
    </row>
    <row r="699" spans="1:7" ht="12.75" x14ac:dyDescent="0.2">
      <c r="A699" s="20"/>
      <c r="B699" s="20"/>
      <c r="C699" s="20"/>
      <c r="D699" s="20"/>
      <c r="E699" s="20"/>
      <c r="F699" s="20"/>
      <c r="G699" s="20"/>
    </row>
    <row r="700" spans="1:7" ht="12.75" x14ac:dyDescent="0.2">
      <c r="A700" s="20"/>
      <c r="B700" s="20"/>
      <c r="C700" s="20"/>
      <c r="D700" s="20"/>
      <c r="E700" s="20"/>
      <c r="F700" s="20"/>
      <c r="G700" s="20"/>
    </row>
    <row r="701" spans="1:7" ht="12.75" x14ac:dyDescent="0.2">
      <c r="A701" s="20"/>
      <c r="B701" s="20"/>
      <c r="C701" s="20"/>
      <c r="D701" s="20"/>
      <c r="E701" s="20"/>
      <c r="F701" s="20"/>
      <c r="G701" s="20"/>
    </row>
    <row r="702" spans="1:7" ht="12.75" x14ac:dyDescent="0.2">
      <c r="A702" s="20"/>
      <c r="B702" s="20"/>
      <c r="C702" s="20"/>
      <c r="D702" s="20"/>
      <c r="E702" s="20"/>
      <c r="F702" s="20"/>
      <c r="G702" s="20"/>
    </row>
    <row r="703" spans="1:7" ht="12.75" x14ac:dyDescent="0.2">
      <c r="A703" s="20"/>
      <c r="B703" s="20"/>
      <c r="C703" s="20"/>
      <c r="D703" s="20"/>
      <c r="E703" s="20"/>
      <c r="F703" s="20"/>
      <c r="G703" s="20"/>
    </row>
    <row r="704" spans="1:7" ht="12.75" x14ac:dyDescent="0.2">
      <c r="A704" s="20"/>
      <c r="B704" s="20"/>
      <c r="C704" s="20"/>
      <c r="D704" s="20"/>
      <c r="E704" s="20"/>
      <c r="F704" s="20"/>
      <c r="G704" s="20"/>
    </row>
    <row r="705" spans="1:7" ht="12.75" x14ac:dyDescent="0.2">
      <c r="A705" s="20"/>
      <c r="B705" s="20"/>
      <c r="C705" s="20"/>
      <c r="D705" s="20"/>
      <c r="E705" s="20"/>
      <c r="F705" s="20"/>
      <c r="G705" s="20"/>
    </row>
    <row r="706" spans="1:7" ht="12.75" x14ac:dyDescent="0.2">
      <c r="A706" s="20"/>
      <c r="B706" s="20"/>
      <c r="C706" s="20"/>
      <c r="D706" s="20"/>
      <c r="E706" s="20"/>
      <c r="F706" s="20"/>
      <c r="G706" s="20"/>
    </row>
    <row r="707" spans="1:7" ht="12.75" x14ac:dyDescent="0.2">
      <c r="A707" s="20"/>
      <c r="B707" s="20"/>
      <c r="C707" s="20"/>
      <c r="D707" s="20"/>
      <c r="E707" s="20"/>
      <c r="F707" s="20"/>
      <c r="G707" s="20"/>
    </row>
    <row r="708" spans="1:7" ht="12.75" x14ac:dyDescent="0.2">
      <c r="A708" s="20"/>
      <c r="B708" s="20"/>
      <c r="C708" s="20"/>
      <c r="D708" s="20"/>
      <c r="E708" s="20"/>
      <c r="F708" s="20"/>
      <c r="G708" s="20"/>
    </row>
    <row r="709" spans="1:7" ht="12.75" x14ac:dyDescent="0.2">
      <c r="A709" s="20"/>
      <c r="B709" s="20"/>
      <c r="C709" s="20"/>
      <c r="D709" s="20"/>
      <c r="E709" s="20"/>
      <c r="F709" s="20"/>
      <c r="G709" s="20"/>
    </row>
    <row r="710" spans="1:7" ht="12.75" x14ac:dyDescent="0.2">
      <c r="A710" s="20"/>
      <c r="B710" s="20"/>
      <c r="C710" s="20"/>
      <c r="D710" s="20"/>
      <c r="E710" s="20"/>
      <c r="F710" s="20"/>
      <c r="G710" s="20"/>
    </row>
    <row r="711" spans="1:7" ht="12.75" x14ac:dyDescent="0.2">
      <c r="A711" s="20"/>
      <c r="B711" s="20"/>
      <c r="C711" s="20"/>
      <c r="D711" s="20"/>
      <c r="E711" s="20"/>
      <c r="F711" s="20"/>
      <c r="G711" s="20"/>
    </row>
    <row r="712" spans="1:7" ht="12.75" x14ac:dyDescent="0.2">
      <c r="A712" s="20"/>
      <c r="B712" s="20"/>
      <c r="C712" s="20"/>
      <c r="D712" s="20"/>
      <c r="E712" s="20"/>
      <c r="F712" s="20"/>
      <c r="G712" s="20"/>
    </row>
    <row r="713" spans="1:7" ht="12.75" x14ac:dyDescent="0.2">
      <c r="A713" s="20"/>
      <c r="B713" s="20"/>
      <c r="C713" s="20"/>
      <c r="D713" s="20"/>
      <c r="E713" s="20"/>
      <c r="F713" s="20"/>
      <c r="G713" s="20"/>
    </row>
    <row r="714" spans="1:7" ht="12.75" x14ac:dyDescent="0.2">
      <c r="A714" s="20"/>
      <c r="B714" s="20"/>
      <c r="C714" s="20"/>
      <c r="D714" s="20"/>
      <c r="E714" s="20"/>
      <c r="F714" s="20"/>
      <c r="G714" s="20"/>
    </row>
    <row r="715" spans="1:7" ht="12.75" x14ac:dyDescent="0.2">
      <c r="A715" s="20"/>
      <c r="B715" s="20"/>
      <c r="C715" s="20"/>
      <c r="D715" s="20"/>
      <c r="E715" s="20"/>
      <c r="F715" s="20"/>
      <c r="G715" s="20"/>
    </row>
    <row r="716" spans="1:7" ht="12.75" x14ac:dyDescent="0.2">
      <c r="A716" s="20"/>
      <c r="B716" s="20"/>
      <c r="C716" s="20"/>
      <c r="D716" s="20"/>
      <c r="E716" s="20"/>
      <c r="F716" s="20"/>
      <c r="G716" s="20"/>
    </row>
    <row r="717" spans="1:7" ht="12.75" x14ac:dyDescent="0.2">
      <c r="A717" s="20"/>
      <c r="B717" s="20"/>
      <c r="C717" s="20"/>
      <c r="D717" s="20"/>
      <c r="E717" s="20"/>
      <c r="F717" s="20"/>
      <c r="G717" s="20"/>
    </row>
    <row r="718" spans="1:7" ht="12.75" x14ac:dyDescent="0.2">
      <c r="A718" s="20"/>
      <c r="B718" s="20"/>
      <c r="C718" s="20"/>
      <c r="D718" s="20"/>
      <c r="E718" s="20"/>
      <c r="F718" s="20"/>
      <c r="G718" s="20"/>
    </row>
    <row r="719" spans="1:7" ht="12.75" x14ac:dyDescent="0.2">
      <c r="A719" s="20"/>
      <c r="B719" s="20"/>
      <c r="C719" s="20"/>
      <c r="D719" s="20"/>
      <c r="E719" s="20"/>
      <c r="F719" s="20"/>
      <c r="G719" s="20"/>
    </row>
    <row r="720" spans="1:7" ht="12.75" x14ac:dyDescent="0.2">
      <c r="A720" s="20"/>
      <c r="B720" s="20"/>
      <c r="C720" s="20"/>
      <c r="D720" s="20"/>
      <c r="E720" s="20"/>
      <c r="F720" s="20"/>
      <c r="G720" s="20"/>
    </row>
    <row r="721" spans="1:7" ht="12.75" x14ac:dyDescent="0.2">
      <c r="A721" s="20"/>
      <c r="B721" s="20"/>
      <c r="C721" s="20"/>
      <c r="D721" s="20"/>
      <c r="E721" s="20"/>
      <c r="F721" s="20"/>
      <c r="G721" s="20"/>
    </row>
    <row r="722" spans="1:7" ht="12.75" x14ac:dyDescent="0.2">
      <c r="A722" s="20"/>
      <c r="B722" s="20"/>
      <c r="C722" s="20"/>
      <c r="D722" s="20"/>
      <c r="E722" s="20"/>
      <c r="F722" s="20"/>
      <c r="G722" s="20"/>
    </row>
    <row r="723" spans="1:7" ht="12.75" x14ac:dyDescent="0.2">
      <c r="A723" s="20"/>
      <c r="B723" s="20"/>
      <c r="C723" s="20"/>
      <c r="D723" s="20"/>
      <c r="E723" s="20"/>
      <c r="F723" s="20"/>
      <c r="G723" s="20"/>
    </row>
    <row r="724" spans="1:7" ht="12.75" x14ac:dyDescent="0.2">
      <c r="A724" s="20"/>
      <c r="B724" s="20"/>
      <c r="C724" s="20"/>
      <c r="D724" s="20"/>
      <c r="E724" s="20"/>
      <c r="F724" s="20"/>
      <c r="G724" s="20"/>
    </row>
    <row r="725" spans="1:7" ht="12.75" x14ac:dyDescent="0.2">
      <c r="A725" s="20"/>
      <c r="B725" s="20"/>
      <c r="C725" s="20"/>
      <c r="D725" s="20"/>
      <c r="E725" s="20"/>
      <c r="F725" s="20"/>
      <c r="G725" s="20"/>
    </row>
    <row r="726" spans="1:7" ht="12.75" x14ac:dyDescent="0.2">
      <c r="A726" s="20"/>
      <c r="B726" s="20"/>
      <c r="C726" s="20"/>
      <c r="D726" s="20"/>
      <c r="E726" s="20"/>
      <c r="F726" s="20"/>
      <c r="G726" s="20"/>
    </row>
    <row r="727" spans="1:7" ht="12.75" x14ac:dyDescent="0.2">
      <c r="A727" s="20"/>
      <c r="B727" s="20"/>
      <c r="C727" s="20"/>
      <c r="D727" s="20"/>
      <c r="E727" s="20"/>
      <c r="F727" s="20"/>
      <c r="G727" s="20"/>
    </row>
    <row r="728" spans="1:7" ht="12.75" x14ac:dyDescent="0.2">
      <c r="A728" s="20"/>
      <c r="B728" s="20"/>
      <c r="C728" s="20"/>
      <c r="D728" s="20"/>
      <c r="E728" s="20"/>
      <c r="F728" s="20"/>
      <c r="G728" s="20"/>
    </row>
    <row r="729" spans="1:7" ht="12.75" x14ac:dyDescent="0.2">
      <c r="A729" s="20"/>
      <c r="B729" s="20"/>
      <c r="C729" s="20"/>
      <c r="D729" s="20"/>
      <c r="E729" s="20"/>
      <c r="F729" s="20"/>
      <c r="G729" s="20"/>
    </row>
    <row r="730" spans="1:7" ht="12.75" x14ac:dyDescent="0.2">
      <c r="A730" s="20"/>
      <c r="B730" s="20"/>
      <c r="C730" s="20"/>
      <c r="D730" s="20"/>
      <c r="E730" s="20"/>
      <c r="F730" s="20"/>
      <c r="G730" s="20"/>
    </row>
    <row r="731" spans="1:7" ht="12.75" x14ac:dyDescent="0.2">
      <c r="A731" s="20"/>
      <c r="B731" s="20"/>
      <c r="C731" s="20"/>
      <c r="D731" s="20"/>
      <c r="E731" s="20"/>
      <c r="F731" s="20"/>
      <c r="G731" s="20"/>
    </row>
    <row r="732" spans="1:7" ht="12.75" x14ac:dyDescent="0.2">
      <c r="A732" s="20"/>
      <c r="B732" s="20"/>
      <c r="C732" s="20"/>
      <c r="D732" s="20"/>
      <c r="E732" s="20"/>
      <c r="F732" s="20"/>
      <c r="G732" s="20"/>
    </row>
    <row r="733" spans="1:7" ht="12.75" x14ac:dyDescent="0.2">
      <c r="A733" s="20"/>
      <c r="B733" s="20"/>
      <c r="C733" s="20"/>
      <c r="D733" s="20"/>
      <c r="E733" s="20"/>
      <c r="F733" s="20"/>
      <c r="G733" s="20"/>
    </row>
    <row r="734" spans="1:7" ht="12.75" x14ac:dyDescent="0.2">
      <c r="A734" s="20"/>
      <c r="B734" s="20"/>
      <c r="C734" s="20"/>
      <c r="D734" s="20"/>
      <c r="E734" s="20"/>
      <c r="F734" s="20"/>
      <c r="G734" s="20"/>
    </row>
    <row r="735" spans="1:7" ht="12.75" x14ac:dyDescent="0.2">
      <c r="A735" s="20"/>
      <c r="B735" s="20"/>
      <c r="C735" s="20"/>
      <c r="D735" s="20"/>
      <c r="E735" s="20"/>
      <c r="F735" s="20"/>
      <c r="G735" s="20"/>
    </row>
    <row r="736" spans="1:7" ht="12.75" x14ac:dyDescent="0.2">
      <c r="A736" s="20"/>
      <c r="B736" s="20"/>
      <c r="C736" s="20"/>
      <c r="D736" s="20"/>
      <c r="E736" s="20"/>
      <c r="F736" s="20"/>
      <c r="G736" s="20"/>
    </row>
    <row r="737" spans="1:7" ht="12.75" x14ac:dyDescent="0.2">
      <c r="A737" s="20"/>
      <c r="B737" s="20"/>
      <c r="C737" s="20"/>
      <c r="D737" s="20"/>
      <c r="E737" s="20"/>
      <c r="F737" s="20"/>
      <c r="G737" s="20"/>
    </row>
    <row r="738" spans="1:7" ht="12.75" x14ac:dyDescent="0.2">
      <c r="A738" s="20"/>
      <c r="B738" s="20"/>
      <c r="C738" s="20"/>
      <c r="D738" s="20"/>
      <c r="E738" s="20"/>
      <c r="F738" s="20"/>
      <c r="G738" s="20"/>
    </row>
    <row r="739" spans="1:7" ht="12.75" x14ac:dyDescent="0.2">
      <c r="A739" s="20"/>
      <c r="B739" s="20"/>
      <c r="C739" s="20"/>
      <c r="D739" s="20"/>
      <c r="E739" s="20"/>
      <c r="F739" s="20"/>
      <c r="G739" s="20"/>
    </row>
    <row r="740" spans="1:7" ht="12.75" x14ac:dyDescent="0.2">
      <c r="A740" s="20"/>
      <c r="B740" s="20"/>
      <c r="C740" s="20"/>
      <c r="D740" s="20"/>
      <c r="E740" s="20"/>
      <c r="F740" s="20"/>
      <c r="G740" s="20"/>
    </row>
    <row r="741" spans="1:7" ht="12.75" x14ac:dyDescent="0.2">
      <c r="A741" s="20"/>
      <c r="B741" s="20"/>
      <c r="C741" s="20"/>
      <c r="D741" s="20"/>
      <c r="E741" s="20"/>
      <c r="F741" s="20"/>
      <c r="G741" s="20"/>
    </row>
    <row r="742" spans="1:7" ht="12.75" x14ac:dyDescent="0.2">
      <c r="A742" s="20"/>
      <c r="B742" s="20"/>
      <c r="C742" s="20"/>
      <c r="D742" s="20"/>
      <c r="E742" s="20"/>
      <c r="F742" s="20"/>
      <c r="G742" s="20"/>
    </row>
    <row r="743" spans="1:7" ht="12.75" x14ac:dyDescent="0.2">
      <c r="A743" s="20"/>
      <c r="B743" s="20"/>
      <c r="C743" s="20"/>
      <c r="D743" s="20"/>
      <c r="E743" s="20"/>
      <c r="F743" s="20"/>
      <c r="G743" s="20"/>
    </row>
    <row r="744" spans="1:7" ht="12.75" x14ac:dyDescent="0.2">
      <c r="A744" s="20"/>
      <c r="B744" s="20"/>
      <c r="C744" s="20"/>
      <c r="D744" s="20"/>
      <c r="E744" s="20"/>
      <c r="F744" s="20"/>
      <c r="G744" s="20"/>
    </row>
    <row r="745" spans="1:7" ht="12.75" x14ac:dyDescent="0.2">
      <c r="A745" s="20"/>
      <c r="B745" s="20"/>
      <c r="C745" s="20"/>
      <c r="D745" s="20"/>
      <c r="E745" s="20"/>
      <c r="F745" s="20"/>
      <c r="G745" s="20"/>
    </row>
    <row r="746" spans="1:7" ht="12.75" x14ac:dyDescent="0.2">
      <c r="A746" s="20"/>
      <c r="B746" s="20"/>
      <c r="C746" s="20"/>
      <c r="D746" s="20"/>
      <c r="E746" s="20"/>
      <c r="F746" s="20"/>
      <c r="G746" s="20"/>
    </row>
    <row r="747" spans="1:7" ht="12.75" x14ac:dyDescent="0.2">
      <c r="A747" s="20"/>
      <c r="B747" s="20"/>
      <c r="C747" s="20"/>
      <c r="D747" s="20"/>
      <c r="E747" s="20"/>
      <c r="F747" s="20"/>
      <c r="G747" s="20"/>
    </row>
    <row r="748" spans="1:7" ht="12.75" x14ac:dyDescent="0.2">
      <c r="A748" s="20"/>
      <c r="B748" s="20"/>
      <c r="C748" s="20"/>
      <c r="D748" s="20"/>
      <c r="E748" s="20"/>
      <c r="F748" s="20"/>
      <c r="G748" s="20"/>
    </row>
    <row r="749" spans="1:7" ht="12.75" x14ac:dyDescent="0.2">
      <c r="A749" s="20"/>
      <c r="B749" s="20"/>
      <c r="C749" s="20"/>
      <c r="D749" s="20"/>
      <c r="E749" s="20"/>
      <c r="F749" s="20"/>
      <c r="G749" s="20"/>
    </row>
    <row r="750" spans="1:7" ht="12.75" x14ac:dyDescent="0.2">
      <c r="A750" s="20"/>
      <c r="B750" s="20"/>
      <c r="C750" s="20"/>
      <c r="D750" s="20"/>
      <c r="E750" s="20"/>
      <c r="F750" s="20"/>
      <c r="G750" s="20"/>
    </row>
    <row r="751" spans="1:7" ht="12.75" x14ac:dyDescent="0.2">
      <c r="A751" s="20"/>
      <c r="B751" s="20"/>
      <c r="C751" s="20"/>
      <c r="D751" s="20"/>
      <c r="E751" s="20"/>
      <c r="F751" s="20"/>
      <c r="G751" s="20"/>
    </row>
    <row r="752" spans="1:7" ht="12.75" x14ac:dyDescent="0.2">
      <c r="A752" s="20"/>
      <c r="B752" s="20"/>
      <c r="C752" s="20"/>
      <c r="D752" s="20"/>
      <c r="E752" s="20"/>
      <c r="F752" s="20"/>
      <c r="G752" s="20"/>
    </row>
    <row r="753" spans="1:7" ht="12.75" x14ac:dyDescent="0.2">
      <c r="A753" s="20"/>
      <c r="B753" s="20"/>
      <c r="C753" s="20"/>
      <c r="D753" s="20"/>
      <c r="E753" s="20"/>
      <c r="F753" s="20"/>
      <c r="G753" s="20"/>
    </row>
    <row r="754" spans="1:7" ht="12.75" x14ac:dyDescent="0.2">
      <c r="A754" s="20"/>
      <c r="B754" s="20"/>
      <c r="C754" s="20"/>
      <c r="D754" s="20"/>
      <c r="E754" s="20"/>
      <c r="F754" s="20"/>
      <c r="G754" s="20"/>
    </row>
    <row r="755" spans="1:7" ht="12.75" x14ac:dyDescent="0.2">
      <c r="A755" s="20"/>
      <c r="B755" s="20"/>
      <c r="C755" s="20"/>
      <c r="D755" s="20"/>
      <c r="E755" s="20"/>
      <c r="F755" s="20"/>
      <c r="G755" s="20"/>
    </row>
    <row r="756" spans="1:7" ht="12.75" x14ac:dyDescent="0.2">
      <c r="A756" s="20"/>
      <c r="B756" s="20"/>
      <c r="C756" s="20"/>
      <c r="D756" s="20"/>
      <c r="E756" s="20"/>
      <c r="F756" s="20"/>
      <c r="G756" s="20"/>
    </row>
    <row r="757" spans="1:7" ht="12.75" x14ac:dyDescent="0.2">
      <c r="A757" s="20"/>
      <c r="B757" s="20"/>
      <c r="C757" s="20"/>
      <c r="D757" s="20"/>
      <c r="E757" s="20"/>
      <c r="F757" s="20"/>
      <c r="G757" s="20"/>
    </row>
    <row r="758" spans="1:7" ht="12.75" x14ac:dyDescent="0.2">
      <c r="A758" s="20"/>
      <c r="B758" s="20"/>
      <c r="C758" s="20"/>
      <c r="D758" s="20"/>
      <c r="E758" s="20"/>
      <c r="F758" s="20"/>
      <c r="G758" s="20"/>
    </row>
    <row r="759" spans="1:7" ht="12.75" x14ac:dyDescent="0.2">
      <c r="A759" s="20"/>
      <c r="B759" s="20"/>
      <c r="C759" s="20"/>
      <c r="D759" s="20"/>
      <c r="E759" s="20"/>
      <c r="F759" s="20"/>
      <c r="G759" s="20"/>
    </row>
    <row r="760" spans="1:7" ht="12.75" x14ac:dyDescent="0.2">
      <c r="A760" s="20"/>
      <c r="B760" s="20"/>
      <c r="C760" s="20"/>
      <c r="D760" s="20"/>
      <c r="E760" s="20"/>
      <c r="F760" s="20"/>
      <c r="G760" s="20"/>
    </row>
    <row r="761" spans="1:7" ht="12.75" x14ac:dyDescent="0.2">
      <c r="A761" s="20"/>
      <c r="B761" s="20"/>
      <c r="C761" s="20"/>
      <c r="D761" s="20"/>
      <c r="E761" s="20"/>
      <c r="F761" s="20"/>
      <c r="G761" s="20"/>
    </row>
    <row r="762" spans="1:7" ht="12.75" x14ac:dyDescent="0.2">
      <c r="A762" s="20"/>
      <c r="B762" s="20"/>
      <c r="C762" s="20"/>
      <c r="D762" s="20"/>
      <c r="E762" s="20"/>
      <c r="F762" s="20"/>
      <c r="G762" s="20"/>
    </row>
    <row r="763" spans="1:7" ht="12.75" x14ac:dyDescent="0.2">
      <c r="A763" s="20"/>
      <c r="B763" s="20"/>
      <c r="C763" s="20"/>
      <c r="D763" s="20"/>
      <c r="E763" s="20"/>
      <c r="F763" s="20"/>
      <c r="G763" s="20"/>
    </row>
    <row r="764" spans="1:7" ht="12.75" x14ac:dyDescent="0.2">
      <c r="A764" s="20"/>
      <c r="B764" s="20"/>
      <c r="C764" s="20"/>
      <c r="D764" s="20"/>
      <c r="E764" s="20"/>
      <c r="F764" s="20"/>
      <c r="G764" s="20"/>
    </row>
    <row r="765" spans="1:7" ht="12.75" x14ac:dyDescent="0.2">
      <c r="A765" s="20"/>
      <c r="B765" s="20"/>
      <c r="C765" s="20"/>
      <c r="D765" s="20"/>
      <c r="E765" s="20"/>
      <c r="F765" s="20"/>
      <c r="G765" s="20"/>
    </row>
    <row r="766" spans="1:7" ht="12.75" x14ac:dyDescent="0.2">
      <c r="A766" s="20"/>
      <c r="B766" s="20"/>
      <c r="C766" s="20"/>
      <c r="D766" s="20"/>
      <c r="E766" s="20"/>
      <c r="F766" s="20"/>
      <c r="G766" s="20"/>
    </row>
    <row r="767" spans="1:7" ht="12.75" x14ac:dyDescent="0.2">
      <c r="A767" s="20"/>
      <c r="B767" s="20"/>
      <c r="C767" s="20"/>
      <c r="D767" s="20"/>
      <c r="E767" s="20"/>
      <c r="F767" s="20"/>
      <c r="G767" s="20"/>
    </row>
    <row r="768" spans="1:7" ht="12.75" x14ac:dyDescent="0.2">
      <c r="A768" s="20"/>
      <c r="B768" s="20"/>
      <c r="C768" s="20"/>
      <c r="D768" s="20"/>
      <c r="E768" s="20"/>
      <c r="F768" s="20"/>
      <c r="G768" s="20"/>
    </row>
    <row r="769" spans="1:7" ht="12.75" x14ac:dyDescent="0.2">
      <c r="A769" s="20"/>
      <c r="B769" s="20"/>
      <c r="C769" s="20"/>
      <c r="D769" s="20"/>
      <c r="E769" s="20"/>
      <c r="F769" s="20"/>
      <c r="G769" s="20"/>
    </row>
    <row r="770" spans="1:7" ht="12.75" x14ac:dyDescent="0.2">
      <c r="A770" s="20"/>
      <c r="B770" s="20"/>
      <c r="C770" s="20"/>
      <c r="D770" s="20"/>
      <c r="E770" s="20"/>
      <c r="F770" s="20"/>
      <c r="G770" s="20"/>
    </row>
    <row r="771" spans="1:7" ht="12.75" x14ac:dyDescent="0.2">
      <c r="A771" s="20"/>
      <c r="B771" s="20"/>
      <c r="C771" s="20"/>
      <c r="D771" s="20"/>
      <c r="E771" s="20"/>
      <c r="F771" s="20"/>
      <c r="G771" s="20"/>
    </row>
    <row r="772" spans="1:7" ht="12.75" x14ac:dyDescent="0.2">
      <c r="A772" s="20"/>
      <c r="B772" s="20"/>
      <c r="C772" s="20"/>
      <c r="D772" s="20"/>
      <c r="E772" s="20"/>
      <c r="F772" s="20"/>
      <c r="G772" s="20"/>
    </row>
    <row r="773" spans="1:7" ht="12.75" x14ac:dyDescent="0.2">
      <c r="A773" s="20"/>
      <c r="B773" s="20"/>
      <c r="C773" s="20"/>
      <c r="D773" s="20"/>
      <c r="E773" s="20"/>
      <c r="F773" s="20"/>
      <c r="G773" s="20"/>
    </row>
    <row r="774" spans="1:7" ht="12.75" x14ac:dyDescent="0.2">
      <c r="A774" s="20"/>
      <c r="B774" s="20"/>
      <c r="C774" s="20"/>
      <c r="D774" s="20"/>
      <c r="E774" s="20"/>
      <c r="F774" s="20"/>
      <c r="G774" s="20"/>
    </row>
    <row r="775" spans="1:7" ht="12.75" x14ac:dyDescent="0.2">
      <c r="A775" s="20"/>
      <c r="B775" s="20"/>
      <c r="C775" s="20"/>
      <c r="D775" s="20"/>
      <c r="E775" s="20"/>
      <c r="F775" s="20"/>
      <c r="G775" s="20"/>
    </row>
    <row r="776" spans="1:7" ht="12.75" x14ac:dyDescent="0.2">
      <c r="A776" s="20"/>
      <c r="B776" s="20"/>
      <c r="C776" s="20"/>
      <c r="D776" s="20"/>
      <c r="E776" s="20"/>
      <c r="F776" s="20"/>
      <c r="G776" s="20"/>
    </row>
    <row r="777" spans="1:7" ht="12.75" x14ac:dyDescent="0.2">
      <c r="A777" s="20"/>
      <c r="B777" s="20"/>
      <c r="C777" s="20"/>
      <c r="D777" s="20"/>
      <c r="E777" s="20"/>
      <c r="F777" s="20"/>
      <c r="G777" s="20"/>
    </row>
    <row r="778" spans="1:7" ht="12.75" x14ac:dyDescent="0.2">
      <c r="A778" s="20"/>
      <c r="B778" s="20"/>
      <c r="C778" s="20"/>
      <c r="D778" s="20"/>
      <c r="E778" s="20"/>
      <c r="F778" s="20"/>
      <c r="G778" s="20"/>
    </row>
    <row r="779" spans="1:7" ht="12.75" x14ac:dyDescent="0.2">
      <c r="A779" s="20"/>
      <c r="B779" s="20"/>
      <c r="C779" s="20"/>
      <c r="D779" s="20"/>
      <c r="E779" s="20"/>
      <c r="F779" s="20"/>
      <c r="G779" s="20"/>
    </row>
    <row r="780" spans="1:7" ht="12.75" x14ac:dyDescent="0.2">
      <c r="A780" s="20"/>
      <c r="B780" s="20"/>
      <c r="C780" s="20"/>
      <c r="D780" s="20"/>
      <c r="E780" s="20"/>
      <c r="F780" s="20"/>
      <c r="G780" s="20"/>
    </row>
    <row r="781" spans="1:7" ht="12.75" x14ac:dyDescent="0.2">
      <c r="A781" s="20"/>
      <c r="B781" s="20"/>
      <c r="C781" s="20"/>
      <c r="D781" s="20"/>
      <c r="E781" s="20"/>
      <c r="F781" s="20"/>
      <c r="G781" s="20"/>
    </row>
    <row r="782" spans="1:7" ht="12.75" x14ac:dyDescent="0.2">
      <c r="A782" s="20"/>
      <c r="B782" s="20"/>
      <c r="C782" s="20"/>
      <c r="D782" s="20"/>
      <c r="E782" s="20"/>
      <c r="F782" s="20"/>
      <c r="G782" s="20"/>
    </row>
    <row r="783" spans="1:7" ht="12.75" x14ac:dyDescent="0.2">
      <c r="A783" s="20"/>
      <c r="B783" s="20"/>
      <c r="C783" s="20"/>
      <c r="D783" s="20"/>
      <c r="E783" s="20"/>
      <c r="F783" s="20"/>
      <c r="G783" s="20"/>
    </row>
    <row r="784" spans="1:7" ht="12.75" x14ac:dyDescent="0.2">
      <c r="A784" s="20"/>
      <c r="B784" s="20"/>
      <c r="C784" s="20"/>
      <c r="D784" s="20"/>
      <c r="E784" s="20"/>
      <c r="F784" s="20"/>
      <c r="G784" s="20"/>
    </row>
    <row r="785" spans="1:7" ht="12.75" x14ac:dyDescent="0.2">
      <c r="A785" s="20"/>
      <c r="B785" s="20"/>
      <c r="C785" s="20"/>
      <c r="D785" s="20"/>
      <c r="E785" s="20"/>
      <c r="F785" s="20"/>
      <c r="G785" s="20"/>
    </row>
    <row r="786" spans="1:7" ht="12.75" x14ac:dyDescent="0.2">
      <c r="A786" s="20"/>
      <c r="B786" s="20"/>
      <c r="C786" s="20"/>
      <c r="D786" s="20"/>
      <c r="E786" s="20"/>
      <c r="F786" s="20"/>
      <c r="G786" s="20"/>
    </row>
    <row r="787" spans="1:7" ht="12.75" x14ac:dyDescent="0.2">
      <c r="A787" s="20"/>
      <c r="B787" s="20"/>
      <c r="C787" s="20"/>
      <c r="D787" s="20"/>
      <c r="E787" s="20"/>
      <c r="F787" s="20"/>
      <c r="G787" s="20"/>
    </row>
    <row r="788" spans="1:7" ht="12.75" x14ac:dyDescent="0.2">
      <c r="A788" s="20"/>
      <c r="B788" s="20"/>
      <c r="C788" s="20"/>
      <c r="D788" s="20"/>
      <c r="E788" s="20"/>
      <c r="F788" s="20"/>
      <c r="G788" s="20"/>
    </row>
    <row r="789" spans="1:7" ht="12.75" x14ac:dyDescent="0.2">
      <c r="A789" s="20"/>
      <c r="B789" s="20"/>
      <c r="C789" s="20"/>
      <c r="D789" s="20"/>
      <c r="E789" s="20"/>
      <c r="F789" s="20"/>
      <c r="G789" s="20"/>
    </row>
    <row r="790" spans="1:7" ht="12.75" x14ac:dyDescent="0.2">
      <c r="A790" s="20"/>
      <c r="B790" s="20"/>
      <c r="C790" s="20"/>
      <c r="D790" s="20"/>
      <c r="E790" s="20"/>
      <c r="F790" s="20"/>
      <c r="G790" s="20"/>
    </row>
    <row r="791" spans="1:7" ht="12.75" x14ac:dyDescent="0.2">
      <c r="A791" s="20"/>
      <c r="B791" s="20"/>
      <c r="C791" s="20"/>
      <c r="D791" s="20"/>
      <c r="E791" s="20"/>
      <c r="F791" s="20"/>
      <c r="G791" s="20"/>
    </row>
    <row r="792" spans="1:7" ht="12.75" x14ac:dyDescent="0.2">
      <c r="A792" s="20"/>
      <c r="B792" s="20"/>
      <c r="C792" s="20"/>
      <c r="D792" s="20"/>
      <c r="E792" s="20"/>
      <c r="F792" s="20"/>
      <c r="G792" s="20"/>
    </row>
    <row r="793" spans="1:7" ht="12.75" x14ac:dyDescent="0.2">
      <c r="A793" s="20"/>
      <c r="B793" s="20"/>
      <c r="C793" s="20"/>
      <c r="D793" s="20"/>
      <c r="E793" s="20"/>
      <c r="F793" s="20"/>
      <c r="G793" s="20"/>
    </row>
    <row r="794" spans="1:7" ht="12.75" x14ac:dyDescent="0.2">
      <c r="A794" s="20"/>
      <c r="B794" s="20"/>
      <c r="C794" s="20"/>
      <c r="D794" s="20"/>
      <c r="E794" s="20"/>
      <c r="F794" s="20"/>
      <c r="G794" s="20"/>
    </row>
    <row r="795" spans="1:7" ht="12.75" x14ac:dyDescent="0.2">
      <c r="A795" s="20"/>
      <c r="B795" s="20"/>
      <c r="C795" s="20"/>
      <c r="D795" s="20"/>
      <c r="E795" s="20"/>
      <c r="F795" s="20"/>
      <c r="G795" s="20"/>
    </row>
    <row r="796" spans="1:7" ht="12.75" x14ac:dyDescent="0.2">
      <c r="A796" s="20"/>
      <c r="B796" s="20"/>
      <c r="C796" s="20"/>
      <c r="D796" s="20"/>
      <c r="E796" s="20"/>
      <c r="F796" s="20"/>
      <c r="G796" s="20"/>
    </row>
    <row r="797" spans="1:7" ht="12.75" x14ac:dyDescent="0.2">
      <c r="A797" s="20"/>
      <c r="B797" s="20"/>
      <c r="C797" s="20"/>
      <c r="D797" s="20"/>
      <c r="E797" s="20"/>
      <c r="F797" s="20"/>
      <c r="G797" s="20"/>
    </row>
    <row r="798" spans="1:7" ht="12.75" x14ac:dyDescent="0.2">
      <c r="A798" s="20"/>
      <c r="B798" s="20"/>
      <c r="C798" s="20"/>
      <c r="D798" s="20"/>
      <c r="E798" s="20"/>
      <c r="F798" s="20"/>
      <c r="G798" s="20"/>
    </row>
    <row r="799" spans="1:7" ht="12.75" x14ac:dyDescent="0.2">
      <c r="A799" s="20"/>
      <c r="B799" s="20"/>
      <c r="C799" s="20"/>
      <c r="D799" s="20"/>
      <c r="E799" s="20"/>
      <c r="F799" s="20"/>
      <c r="G799" s="20"/>
    </row>
    <row r="800" spans="1:7" ht="12.75" x14ac:dyDescent="0.2">
      <c r="A800" s="20"/>
      <c r="B800" s="20"/>
      <c r="C800" s="20"/>
      <c r="D800" s="20"/>
      <c r="E800" s="20"/>
      <c r="F800" s="20"/>
      <c r="G800" s="20"/>
    </row>
    <row r="801" spans="1:7" ht="12.75" x14ac:dyDescent="0.2">
      <c r="A801" s="20"/>
      <c r="B801" s="20"/>
      <c r="C801" s="20"/>
      <c r="D801" s="20"/>
      <c r="E801" s="20"/>
      <c r="F801" s="20"/>
      <c r="G801" s="20"/>
    </row>
    <row r="802" spans="1:7" ht="12.75" x14ac:dyDescent="0.2">
      <c r="A802" s="20"/>
      <c r="B802" s="20"/>
      <c r="C802" s="20"/>
      <c r="D802" s="20"/>
      <c r="E802" s="20"/>
      <c r="F802" s="20"/>
      <c r="G802" s="20"/>
    </row>
    <row r="803" spans="1:7" ht="12.75" x14ac:dyDescent="0.2">
      <c r="A803" s="20"/>
      <c r="B803" s="20"/>
      <c r="C803" s="20"/>
      <c r="D803" s="20"/>
      <c r="E803" s="20"/>
      <c r="F803" s="20"/>
      <c r="G803" s="20"/>
    </row>
    <row r="804" spans="1:7" ht="12.75" x14ac:dyDescent="0.2">
      <c r="A804" s="20"/>
      <c r="B804" s="20"/>
      <c r="C804" s="20"/>
      <c r="D804" s="20"/>
      <c r="E804" s="20"/>
      <c r="F804" s="20"/>
      <c r="G804" s="20"/>
    </row>
    <row r="805" spans="1:7" ht="12.75" x14ac:dyDescent="0.2">
      <c r="A805" s="20"/>
      <c r="B805" s="20"/>
      <c r="C805" s="20"/>
      <c r="D805" s="20"/>
      <c r="E805" s="20"/>
      <c r="F805" s="20"/>
      <c r="G805" s="20"/>
    </row>
    <row r="806" spans="1:7" ht="12.75" x14ac:dyDescent="0.2">
      <c r="A806" s="20"/>
      <c r="B806" s="20"/>
      <c r="C806" s="20"/>
      <c r="D806" s="20"/>
      <c r="E806" s="20"/>
      <c r="F806" s="20"/>
      <c r="G806" s="20"/>
    </row>
    <row r="807" spans="1:7" ht="12.75" x14ac:dyDescent="0.2">
      <c r="A807" s="20"/>
      <c r="B807" s="20"/>
      <c r="C807" s="20"/>
      <c r="D807" s="20"/>
      <c r="E807" s="20"/>
      <c r="F807" s="20"/>
      <c r="G807" s="20"/>
    </row>
    <row r="808" spans="1:7" ht="12.75" x14ac:dyDescent="0.2">
      <c r="A808" s="20"/>
      <c r="B808" s="20"/>
      <c r="C808" s="20"/>
      <c r="D808" s="20"/>
      <c r="E808" s="20"/>
      <c r="F808" s="20"/>
      <c r="G808" s="20"/>
    </row>
    <row r="809" spans="1:7" ht="12.75" x14ac:dyDescent="0.2">
      <c r="A809" s="20"/>
      <c r="B809" s="20"/>
      <c r="C809" s="20"/>
      <c r="D809" s="20"/>
      <c r="E809" s="20"/>
      <c r="F809" s="20"/>
      <c r="G809" s="20"/>
    </row>
    <row r="810" spans="1:7" ht="12.75" x14ac:dyDescent="0.2">
      <c r="A810" s="20"/>
      <c r="B810" s="20"/>
      <c r="C810" s="20"/>
      <c r="D810" s="20"/>
      <c r="E810" s="20"/>
      <c r="F810" s="20"/>
      <c r="G810" s="20"/>
    </row>
    <row r="811" spans="1:7" ht="12.75" x14ac:dyDescent="0.2">
      <c r="A811" s="20"/>
      <c r="B811" s="20"/>
      <c r="C811" s="20"/>
      <c r="D811" s="20"/>
      <c r="E811" s="20"/>
      <c r="F811" s="20"/>
      <c r="G811" s="20"/>
    </row>
    <row r="812" spans="1:7" ht="12.75" x14ac:dyDescent="0.2">
      <c r="A812" s="20"/>
      <c r="B812" s="20"/>
      <c r="C812" s="20"/>
      <c r="D812" s="20"/>
      <c r="E812" s="20"/>
      <c r="F812" s="20"/>
      <c r="G812" s="20"/>
    </row>
    <row r="813" spans="1:7" ht="12.75" x14ac:dyDescent="0.2">
      <c r="A813" s="20"/>
      <c r="B813" s="20"/>
      <c r="C813" s="20"/>
      <c r="D813" s="20"/>
      <c r="E813" s="20"/>
      <c r="F813" s="20"/>
      <c r="G813" s="20"/>
    </row>
    <row r="814" spans="1:7" ht="12.75" x14ac:dyDescent="0.2">
      <c r="A814" s="20"/>
      <c r="B814" s="20"/>
      <c r="C814" s="20"/>
      <c r="D814" s="20"/>
      <c r="E814" s="20"/>
      <c r="F814" s="20"/>
      <c r="G814" s="20"/>
    </row>
    <row r="815" spans="1:7" ht="12.75" x14ac:dyDescent="0.2">
      <c r="A815" s="20"/>
      <c r="B815" s="20"/>
      <c r="C815" s="20"/>
      <c r="D815" s="20"/>
      <c r="E815" s="20"/>
      <c r="F815" s="20"/>
      <c r="G815" s="20"/>
    </row>
    <row r="816" spans="1:7" ht="12.75" x14ac:dyDescent="0.2">
      <c r="A816" s="20"/>
      <c r="B816" s="20"/>
      <c r="C816" s="20"/>
      <c r="D816" s="20"/>
      <c r="E816" s="20"/>
      <c r="F816" s="20"/>
      <c r="G816" s="20"/>
    </row>
    <row r="817" spans="1:7" ht="12.75" x14ac:dyDescent="0.2">
      <c r="A817" s="20"/>
      <c r="B817" s="20"/>
      <c r="C817" s="20"/>
      <c r="D817" s="20"/>
      <c r="E817" s="20"/>
      <c r="F817" s="20"/>
      <c r="G817" s="20"/>
    </row>
    <row r="818" spans="1:7" ht="12.75" x14ac:dyDescent="0.2">
      <c r="A818" s="20"/>
      <c r="B818" s="20"/>
      <c r="C818" s="20"/>
      <c r="D818" s="20"/>
      <c r="E818" s="20"/>
      <c r="F818" s="20"/>
      <c r="G818" s="20"/>
    </row>
    <row r="819" spans="1:7" ht="12.75" x14ac:dyDescent="0.2">
      <c r="A819" s="20"/>
      <c r="B819" s="20"/>
      <c r="C819" s="20"/>
      <c r="D819" s="20"/>
      <c r="E819" s="20"/>
      <c r="F819" s="20"/>
      <c r="G819" s="20"/>
    </row>
    <row r="820" spans="1:7" ht="12.75" x14ac:dyDescent="0.2">
      <c r="A820" s="20"/>
      <c r="B820" s="20"/>
      <c r="C820" s="20"/>
      <c r="D820" s="20"/>
      <c r="E820" s="20"/>
      <c r="F820" s="20"/>
      <c r="G820" s="20"/>
    </row>
    <row r="821" spans="1:7" ht="12.75" x14ac:dyDescent="0.2">
      <c r="A821" s="20"/>
      <c r="B821" s="20"/>
      <c r="C821" s="20"/>
      <c r="D821" s="20"/>
      <c r="E821" s="20"/>
      <c r="F821" s="20"/>
      <c r="G821" s="20"/>
    </row>
    <row r="822" spans="1:7" ht="12.75" x14ac:dyDescent="0.2">
      <c r="A822" s="20"/>
      <c r="B822" s="20"/>
      <c r="C822" s="20"/>
      <c r="D822" s="20"/>
      <c r="E822" s="20"/>
      <c r="F822" s="20"/>
      <c r="G822" s="20"/>
    </row>
    <row r="823" spans="1:7" ht="12.75" x14ac:dyDescent="0.2">
      <c r="A823" s="20"/>
      <c r="B823" s="20"/>
      <c r="C823" s="20"/>
      <c r="D823" s="20"/>
      <c r="E823" s="20"/>
      <c r="F823" s="20"/>
      <c r="G823" s="20"/>
    </row>
    <row r="824" spans="1:7" ht="12.75" x14ac:dyDescent="0.2">
      <c r="A824" s="20"/>
      <c r="B824" s="20"/>
      <c r="C824" s="20"/>
      <c r="D824" s="20"/>
      <c r="E824" s="20"/>
      <c r="F824" s="20"/>
      <c r="G824" s="20"/>
    </row>
    <row r="825" spans="1:7" ht="12.75" x14ac:dyDescent="0.2">
      <c r="A825" s="20"/>
      <c r="B825" s="20"/>
      <c r="C825" s="20"/>
      <c r="D825" s="20"/>
      <c r="E825" s="20"/>
      <c r="F825" s="20"/>
      <c r="G825" s="20"/>
    </row>
    <row r="826" spans="1:7" ht="12.75" x14ac:dyDescent="0.2">
      <c r="A826" s="20"/>
      <c r="B826" s="20"/>
      <c r="C826" s="20"/>
      <c r="D826" s="20"/>
      <c r="E826" s="20"/>
      <c r="F826" s="20"/>
      <c r="G826" s="20"/>
    </row>
    <row r="827" spans="1:7" ht="12.75" x14ac:dyDescent="0.2">
      <c r="A827" s="20"/>
      <c r="B827" s="20"/>
      <c r="C827" s="20"/>
      <c r="D827" s="20"/>
      <c r="E827" s="20"/>
      <c r="F827" s="20"/>
      <c r="G827" s="20"/>
    </row>
    <row r="828" spans="1:7" ht="12.75" x14ac:dyDescent="0.2">
      <c r="A828" s="20"/>
      <c r="B828" s="20"/>
      <c r="C828" s="20"/>
      <c r="D828" s="20"/>
      <c r="E828" s="20"/>
      <c r="F828" s="20"/>
      <c r="G828" s="20"/>
    </row>
    <row r="829" spans="1:7" ht="12.75" x14ac:dyDescent="0.2">
      <c r="A829" s="20"/>
      <c r="B829" s="20"/>
      <c r="C829" s="20"/>
      <c r="D829" s="20"/>
      <c r="E829" s="20"/>
      <c r="F829" s="20"/>
      <c r="G829" s="20"/>
    </row>
    <row r="830" spans="1:7" ht="12.75" x14ac:dyDescent="0.2">
      <c r="A830" s="20"/>
      <c r="B830" s="20"/>
      <c r="C830" s="20"/>
      <c r="D830" s="20"/>
      <c r="E830" s="20"/>
      <c r="F830" s="20"/>
      <c r="G830" s="20"/>
    </row>
    <row r="831" spans="1:7" ht="12.75" x14ac:dyDescent="0.2">
      <c r="A831" s="20"/>
      <c r="B831" s="20"/>
      <c r="C831" s="20"/>
      <c r="D831" s="20"/>
      <c r="E831" s="20"/>
      <c r="F831" s="20"/>
      <c r="G831" s="20"/>
    </row>
    <row r="832" spans="1:7" ht="12.75" x14ac:dyDescent="0.2">
      <c r="A832" s="20"/>
      <c r="B832" s="20"/>
      <c r="C832" s="20"/>
      <c r="D832" s="20"/>
      <c r="E832" s="20"/>
      <c r="F832" s="20"/>
      <c r="G832" s="20"/>
    </row>
    <row r="833" spans="1:7" ht="12.75" x14ac:dyDescent="0.2">
      <c r="A833" s="20"/>
      <c r="B833" s="20"/>
      <c r="C833" s="20"/>
      <c r="D833" s="20"/>
      <c r="E833" s="20"/>
      <c r="F833" s="20"/>
      <c r="G833" s="20"/>
    </row>
    <row r="834" spans="1:7" ht="12.75" x14ac:dyDescent="0.2">
      <c r="A834" s="20"/>
      <c r="B834" s="20"/>
      <c r="C834" s="20"/>
      <c r="D834" s="20"/>
      <c r="E834" s="20"/>
      <c r="F834" s="20"/>
      <c r="G834" s="20"/>
    </row>
    <row r="835" spans="1:7" ht="12.75" x14ac:dyDescent="0.2">
      <c r="A835" s="20"/>
      <c r="B835" s="20"/>
      <c r="C835" s="20"/>
      <c r="D835" s="20"/>
      <c r="E835" s="20"/>
      <c r="F835" s="20"/>
      <c r="G835" s="20"/>
    </row>
    <row r="836" spans="1:7" ht="12.75" x14ac:dyDescent="0.2">
      <c r="A836" s="20"/>
      <c r="B836" s="20"/>
      <c r="C836" s="20"/>
      <c r="D836" s="20"/>
      <c r="E836" s="20"/>
      <c r="F836" s="20"/>
      <c r="G836" s="20"/>
    </row>
    <row r="837" spans="1:7" ht="12.75" x14ac:dyDescent="0.2">
      <c r="A837" s="20"/>
      <c r="B837" s="20"/>
      <c r="C837" s="20"/>
      <c r="D837" s="20"/>
      <c r="E837" s="20"/>
      <c r="F837" s="20"/>
      <c r="G837" s="20"/>
    </row>
    <row r="838" spans="1:7" ht="12.75" x14ac:dyDescent="0.2">
      <c r="A838" s="20"/>
      <c r="B838" s="20"/>
      <c r="C838" s="20"/>
      <c r="D838" s="20"/>
      <c r="E838" s="20"/>
      <c r="F838" s="20"/>
      <c r="G838" s="20"/>
    </row>
    <row r="839" spans="1:7" ht="12.75" x14ac:dyDescent="0.2">
      <c r="A839" s="20"/>
      <c r="B839" s="20"/>
      <c r="C839" s="20"/>
      <c r="D839" s="20"/>
      <c r="E839" s="20"/>
      <c r="F839" s="20"/>
      <c r="G839" s="20"/>
    </row>
    <row r="840" spans="1:7" ht="12.75" x14ac:dyDescent="0.2">
      <c r="A840" s="20"/>
      <c r="B840" s="20"/>
      <c r="C840" s="20"/>
      <c r="D840" s="20"/>
      <c r="E840" s="20"/>
      <c r="F840" s="20"/>
      <c r="G840" s="20"/>
    </row>
    <row r="841" spans="1:7" ht="12.75" x14ac:dyDescent="0.2">
      <c r="A841" s="20"/>
      <c r="B841" s="20"/>
      <c r="C841" s="20"/>
      <c r="D841" s="20"/>
      <c r="E841" s="20"/>
      <c r="F841" s="20"/>
      <c r="G841" s="20"/>
    </row>
    <row r="842" spans="1:7" ht="12.75" x14ac:dyDescent="0.2">
      <c r="A842" s="20"/>
      <c r="B842" s="20"/>
      <c r="C842" s="20"/>
      <c r="D842" s="20"/>
      <c r="E842" s="20"/>
      <c r="F842" s="20"/>
      <c r="G842" s="20"/>
    </row>
    <row r="843" spans="1:7" ht="12.75" x14ac:dyDescent="0.2">
      <c r="A843" s="20"/>
      <c r="B843" s="20"/>
      <c r="C843" s="20"/>
      <c r="D843" s="20"/>
      <c r="E843" s="20"/>
      <c r="F843" s="20"/>
      <c r="G843" s="20"/>
    </row>
    <row r="844" spans="1:7" ht="12.75" x14ac:dyDescent="0.2">
      <c r="A844" s="20"/>
      <c r="B844" s="20"/>
      <c r="C844" s="20"/>
      <c r="D844" s="20"/>
      <c r="E844" s="20"/>
      <c r="F844" s="20"/>
      <c r="G844" s="20"/>
    </row>
    <row r="845" spans="1:7" ht="12.75" x14ac:dyDescent="0.2">
      <c r="A845" s="20"/>
      <c r="B845" s="20"/>
      <c r="C845" s="20"/>
      <c r="D845" s="20"/>
      <c r="E845" s="20"/>
      <c r="F845" s="20"/>
      <c r="G845" s="20"/>
    </row>
    <row r="846" spans="1:7" ht="12.75" x14ac:dyDescent="0.2">
      <c r="A846" s="20"/>
      <c r="B846" s="20"/>
      <c r="C846" s="20"/>
      <c r="D846" s="20"/>
      <c r="E846" s="20"/>
      <c r="F846" s="20"/>
      <c r="G846" s="20"/>
    </row>
    <row r="847" spans="1:7" ht="12.75" x14ac:dyDescent="0.2">
      <c r="A847" s="20"/>
      <c r="B847" s="20"/>
      <c r="C847" s="20"/>
      <c r="D847" s="20"/>
      <c r="E847" s="20"/>
      <c r="F847" s="20"/>
      <c r="G847" s="20"/>
    </row>
    <row r="848" spans="1:7" ht="12.75" x14ac:dyDescent="0.2">
      <c r="A848" s="20"/>
      <c r="B848" s="20"/>
      <c r="C848" s="20"/>
      <c r="D848" s="20"/>
      <c r="E848" s="20"/>
      <c r="F848" s="20"/>
      <c r="G848" s="20"/>
    </row>
    <row r="849" spans="1:7" ht="12.75" x14ac:dyDescent="0.2">
      <c r="A849" s="20"/>
      <c r="B849" s="20"/>
      <c r="C849" s="20"/>
      <c r="D849" s="20"/>
      <c r="E849" s="20"/>
      <c r="F849" s="20"/>
      <c r="G849" s="20"/>
    </row>
    <row r="850" spans="1:7" ht="12.75" x14ac:dyDescent="0.2">
      <c r="A850" s="20"/>
      <c r="B850" s="20"/>
      <c r="C850" s="20"/>
      <c r="D850" s="20"/>
      <c r="E850" s="20"/>
      <c r="F850" s="20"/>
      <c r="G850" s="20"/>
    </row>
    <row r="851" spans="1:7" ht="12.75" x14ac:dyDescent="0.2">
      <c r="A851" s="20"/>
      <c r="B851" s="20"/>
      <c r="C851" s="20"/>
      <c r="D851" s="20"/>
      <c r="E851" s="20"/>
      <c r="F851" s="20"/>
      <c r="G851" s="20"/>
    </row>
    <row r="852" spans="1:7" ht="12.75" x14ac:dyDescent="0.2">
      <c r="A852" s="20"/>
      <c r="B852" s="20"/>
      <c r="C852" s="20"/>
      <c r="D852" s="20"/>
      <c r="E852" s="20"/>
      <c r="F852" s="20"/>
      <c r="G852" s="20"/>
    </row>
    <row r="853" spans="1:7" ht="12.75" x14ac:dyDescent="0.2">
      <c r="A853" s="20"/>
      <c r="B853" s="20"/>
      <c r="C853" s="20"/>
      <c r="D853" s="20"/>
      <c r="E853" s="20"/>
      <c r="F853" s="20"/>
      <c r="G853" s="20"/>
    </row>
    <row r="854" spans="1:7" ht="12.75" x14ac:dyDescent="0.2">
      <c r="A854" s="20"/>
      <c r="B854" s="20"/>
      <c r="C854" s="20"/>
      <c r="D854" s="20"/>
      <c r="E854" s="20"/>
      <c r="F854" s="20"/>
      <c r="G854" s="20"/>
    </row>
    <row r="855" spans="1:7" ht="12.75" x14ac:dyDescent="0.2">
      <c r="A855" s="20"/>
      <c r="B855" s="20"/>
      <c r="C855" s="20"/>
      <c r="D855" s="20"/>
      <c r="E855" s="20"/>
      <c r="F855" s="20"/>
      <c r="G855" s="20"/>
    </row>
    <row r="856" spans="1:7" ht="12.75" x14ac:dyDescent="0.2">
      <c r="A856" s="20"/>
      <c r="B856" s="20"/>
      <c r="C856" s="20"/>
      <c r="D856" s="20"/>
      <c r="E856" s="20"/>
      <c r="F856" s="20"/>
      <c r="G856" s="20"/>
    </row>
    <row r="857" spans="1:7" ht="12.75" x14ac:dyDescent="0.2">
      <c r="A857" s="20"/>
      <c r="B857" s="20"/>
      <c r="C857" s="20"/>
      <c r="D857" s="20"/>
      <c r="E857" s="20"/>
      <c r="F857" s="20"/>
      <c r="G857" s="20"/>
    </row>
    <row r="858" spans="1:7" ht="12.75" x14ac:dyDescent="0.2">
      <c r="A858" s="20"/>
      <c r="B858" s="20"/>
      <c r="C858" s="20"/>
      <c r="D858" s="20"/>
      <c r="E858" s="20"/>
      <c r="F858" s="20"/>
      <c r="G858" s="20"/>
    </row>
    <row r="859" spans="1:7" ht="12.75" x14ac:dyDescent="0.2">
      <c r="A859" s="20"/>
      <c r="B859" s="20"/>
      <c r="C859" s="20"/>
      <c r="D859" s="20"/>
      <c r="E859" s="20"/>
      <c r="F859" s="20"/>
      <c r="G859" s="20"/>
    </row>
    <row r="860" spans="1:7" ht="12.75" x14ac:dyDescent="0.2">
      <c r="A860" s="20"/>
      <c r="B860" s="20"/>
      <c r="C860" s="20"/>
      <c r="D860" s="20"/>
      <c r="E860" s="20"/>
      <c r="F860" s="20"/>
      <c r="G860" s="20"/>
    </row>
    <row r="861" spans="1:7" ht="12.75" x14ac:dyDescent="0.2">
      <c r="A861" s="20"/>
      <c r="B861" s="20"/>
      <c r="C861" s="20"/>
      <c r="D861" s="20"/>
      <c r="E861" s="20"/>
      <c r="F861" s="20"/>
      <c r="G861" s="20"/>
    </row>
    <row r="862" spans="1:7" ht="12.75" x14ac:dyDescent="0.2">
      <c r="A862" s="20"/>
      <c r="B862" s="20"/>
      <c r="C862" s="20"/>
      <c r="D862" s="20"/>
      <c r="E862" s="20"/>
      <c r="F862" s="20"/>
      <c r="G862" s="20"/>
    </row>
    <row r="863" spans="1:7" ht="12.75" x14ac:dyDescent="0.2">
      <c r="A863" s="20"/>
      <c r="B863" s="20"/>
      <c r="C863" s="20"/>
      <c r="D863" s="20"/>
      <c r="E863" s="20"/>
      <c r="F863" s="20"/>
      <c r="G863" s="20"/>
    </row>
    <row r="864" spans="1:7" ht="12.75" x14ac:dyDescent="0.2">
      <c r="A864" s="20"/>
      <c r="B864" s="20"/>
      <c r="C864" s="20"/>
      <c r="D864" s="20"/>
      <c r="E864" s="20"/>
      <c r="F864" s="20"/>
      <c r="G864" s="20"/>
    </row>
    <row r="865" spans="1:7" ht="12.75" x14ac:dyDescent="0.2">
      <c r="A865" s="20"/>
      <c r="B865" s="20"/>
      <c r="C865" s="20"/>
      <c r="D865" s="20"/>
      <c r="E865" s="20"/>
      <c r="F865" s="20"/>
      <c r="G865" s="20"/>
    </row>
    <row r="866" spans="1:7" ht="12.75" x14ac:dyDescent="0.2">
      <c r="A866" s="20"/>
      <c r="B866" s="20"/>
      <c r="C866" s="20"/>
      <c r="D866" s="20"/>
      <c r="E866" s="20"/>
      <c r="F866" s="20"/>
      <c r="G866" s="20"/>
    </row>
    <row r="867" spans="1:7" ht="12.75" x14ac:dyDescent="0.2">
      <c r="A867" s="20"/>
      <c r="B867" s="20"/>
      <c r="C867" s="20"/>
      <c r="D867" s="20"/>
      <c r="E867" s="20"/>
      <c r="F867" s="20"/>
      <c r="G867" s="20"/>
    </row>
    <row r="868" spans="1:7" ht="12.75" x14ac:dyDescent="0.2">
      <c r="A868" s="20"/>
      <c r="B868" s="20"/>
      <c r="C868" s="20"/>
      <c r="D868" s="20"/>
      <c r="E868" s="20"/>
      <c r="F868" s="20"/>
      <c r="G868" s="20"/>
    </row>
    <row r="869" spans="1:7" ht="12.75" x14ac:dyDescent="0.2">
      <c r="A869" s="20"/>
      <c r="B869" s="20"/>
      <c r="C869" s="20"/>
      <c r="D869" s="20"/>
      <c r="E869" s="20"/>
      <c r="F869" s="20"/>
      <c r="G869" s="20"/>
    </row>
    <row r="870" spans="1:7" ht="12.75" x14ac:dyDescent="0.2">
      <c r="A870" s="20"/>
      <c r="B870" s="20"/>
      <c r="C870" s="20"/>
      <c r="D870" s="20"/>
      <c r="E870" s="20"/>
      <c r="F870" s="20"/>
      <c r="G870" s="20"/>
    </row>
    <row r="871" spans="1:7" ht="12.75" x14ac:dyDescent="0.2">
      <c r="A871" s="20"/>
      <c r="B871" s="20"/>
      <c r="C871" s="20"/>
      <c r="D871" s="20"/>
      <c r="E871" s="20"/>
      <c r="F871" s="20"/>
      <c r="G871" s="20"/>
    </row>
    <row r="872" spans="1:7" ht="12.75" x14ac:dyDescent="0.2">
      <c r="A872" s="20"/>
      <c r="B872" s="20"/>
      <c r="C872" s="20"/>
      <c r="D872" s="20"/>
      <c r="E872" s="20"/>
      <c r="F872" s="20"/>
      <c r="G872" s="20"/>
    </row>
    <row r="873" spans="1:7" ht="12.75" x14ac:dyDescent="0.2">
      <c r="A873" s="20"/>
      <c r="B873" s="20"/>
      <c r="C873" s="20"/>
      <c r="D873" s="20"/>
      <c r="E873" s="20"/>
      <c r="F873" s="20"/>
      <c r="G873" s="20"/>
    </row>
    <row r="874" spans="1:7" ht="12.75" x14ac:dyDescent="0.2">
      <c r="A874" s="20"/>
      <c r="B874" s="20"/>
      <c r="C874" s="20"/>
      <c r="D874" s="20"/>
      <c r="E874" s="20"/>
      <c r="F874" s="20"/>
      <c r="G874" s="20"/>
    </row>
    <row r="875" spans="1:7" ht="12.75" x14ac:dyDescent="0.2">
      <c r="A875" s="20"/>
      <c r="B875" s="20"/>
      <c r="C875" s="20"/>
      <c r="D875" s="20"/>
      <c r="E875" s="20"/>
      <c r="F875" s="20"/>
      <c r="G875" s="20"/>
    </row>
    <row r="876" spans="1:7" ht="12.75" x14ac:dyDescent="0.2">
      <c r="A876" s="20"/>
      <c r="B876" s="20"/>
      <c r="C876" s="20"/>
      <c r="D876" s="20"/>
      <c r="E876" s="20"/>
      <c r="F876" s="20"/>
      <c r="G876" s="20"/>
    </row>
    <row r="877" spans="1:7" ht="12.75" x14ac:dyDescent="0.2">
      <c r="A877" s="20"/>
      <c r="B877" s="20"/>
      <c r="C877" s="20"/>
      <c r="D877" s="20"/>
      <c r="E877" s="20"/>
      <c r="F877" s="20"/>
      <c r="G877" s="20"/>
    </row>
    <row r="878" spans="1:7" ht="12.75" x14ac:dyDescent="0.2">
      <c r="A878" s="20"/>
      <c r="B878" s="20"/>
      <c r="C878" s="20"/>
      <c r="D878" s="20"/>
      <c r="E878" s="20"/>
      <c r="F878" s="20"/>
      <c r="G878" s="20"/>
    </row>
    <row r="879" spans="1:7" ht="12.75" x14ac:dyDescent="0.2">
      <c r="A879" s="20"/>
      <c r="B879" s="20"/>
      <c r="C879" s="20"/>
      <c r="D879" s="20"/>
      <c r="E879" s="20"/>
      <c r="F879" s="20"/>
      <c r="G879" s="20"/>
    </row>
    <row r="880" spans="1:7" ht="12.75" x14ac:dyDescent="0.2">
      <c r="A880" s="20"/>
      <c r="B880" s="20"/>
      <c r="C880" s="20"/>
      <c r="D880" s="20"/>
      <c r="E880" s="20"/>
      <c r="F880" s="20"/>
      <c r="G880" s="20"/>
    </row>
    <row r="881" spans="1:7" ht="12.75" x14ac:dyDescent="0.2">
      <c r="A881" s="20"/>
      <c r="B881" s="20"/>
      <c r="C881" s="20"/>
      <c r="D881" s="20"/>
      <c r="E881" s="20"/>
      <c r="F881" s="20"/>
      <c r="G881" s="20"/>
    </row>
    <row r="882" spans="1:7" ht="12.75" x14ac:dyDescent="0.2">
      <c r="A882" s="20"/>
      <c r="B882" s="20"/>
      <c r="C882" s="20"/>
      <c r="D882" s="20"/>
      <c r="E882" s="20"/>
      <c r="F882" s="20"/>
      <c r="G882" s="20"/>
    </row>
    <row r="883" spans="1:7" ht="12.75" x14ac:dyDescent="0.2">
      <c r="A883" s="20"/>
      <c r="B883" s="20"/>
      <c r="C883" s="20"/>
      <c r="D883" s="20"/>
      <c r="E883" s="20"/>
      <c r="F883" s="20"/>
      <c r="G883" s="20"/>
    </row>
    <row r="884" spans="1:7" ht="12.75" x14ac:dyDescent="0.2">
      <c r="A884" s="20"/>
      <c r="B884" s="20"/>
      <c r="C884" s="20"/>
      <c r="D884" s="20"/>
      <c r="E884" s="20"/>
      <c r="F884" s="20"/>
      <c r="G884" s="20"/>
    </row>
    <row r="885" spans="1:7" ht="12.75" x14ac:dyDescent="0.2">
      <c r="A885" s="20"/>
      <c r="B885" s="20"/>
      <c r="C885" s="20"/>
      <c r="D885" s="20"/>
      <c r="E885" s="20"/>
      <c r="F885" s="20"/>
      <c r="G885" s="20"/>
    </row>
    <row r="886" spans="1:7" ht="12.75" x14ac:dyDescent="0.2">
      <c r="A886" s="20"/>
      <c r="B886" s="20"/>
      <c r="C886" s="20"/>
      <c r="D886" s="20"/>
      <c r="E886" s="20"/>
      <c r="F886" s="20"/>
      <c r="G886" s="20"/>
    </row>
    <row r="887" spans="1:7" ht="12.75" x14ac:dyDescent="0.2">
      <c r="A887" s="20"/>
      <c r="B887" s="20"/>
      <c r="C887" s="20"/>
      <c r="D887" s="20"/>
      <c r="E887" s="20"/>
      <c r="F887" s="20"/>
      <c r="G887" s="20"/>
    </row>
    <row r="888" spans="1:7" ht="12.75" x14ac:dyDescent="0.2">
      <c r="A888" s="20"/>
      <c r="B888" s="20"/>
      <c r="C888" s="20"/>
      <c r="D888" s="20"/>
      <c r="E888" s="20"/>
      <c r="F888" s="20"/>
      <c r="G888" s="20"/>
    </row>
    <row r="889" spans="1:7" ht="12.75" x14ac:dyDescent="0.2">
      <c r="A889" s="20"/>
      <c r="B889" s="20"/>
      <c r="C889" s="20"/>
      <c r="D889" s="20"/>
      <c r="E889" s="20"/>
      <c r="F889" s="20"/>
      <c r="G889" s="20"/>
    </row>
    <row r="890" spans="1:7" ht="12.75" x14ac:dyDescent="0.2">
      <c r="A890" s="20"/>
      <c r="B890" s="20"/>
      <c r="C890" s="20"/>
      <c r="D890" s="20"/>
      <c r="E890" s="20"/>
      <c r="F890" s="20"/>
      <c r="G890" s="20"/>
    </row>
    <row r="891" spans="1:7" ht="12.75" x14ac:dyDescent="0.2">
      <c r="A891" s="20"/>
      <c r="B891" s="20"/>
      <c r="C891" s="20"/>
      <c r="D891" s="20"/>
      <c r="E891" s="20"/>
      <c r="F891" s="20"/>
      <c r="G891" s="20"/>
    </row>
    <row r="892" spans="1:7" ht="12.75" x14ac:dyDescent="0.2">
      <c r="A892" s="20"/>
      <c r="B892" s="20"/>
      <c r="C892" s="20"/>
      <c r="D892" s="20"/>
      <c r="E892" s="20"/>
      <c r="F892" s="20"/>
      <c r="G892" s="20"/>
    </row>
    <row r="893" spans="1:7" ht="12.75" x14ac:dyDescent="0.2">
      <c r="A893" s="20"/>
      <c r="B893" s="20"/>
      <c r="C893" s="20"/>
      <c r="D893" s="20"/>
      <c r="E893" s="20"/>
      <c r="F893" s="20"/>
      <c r="G893" s="20"/>
    </row>
    <row r="894" spans="1:7" ht="12.75" x14ac:dyDescent="0.2">
      <c r="A894" s="20"/>
      <c r="B894" s="20"/>
      <c r="C894" s="20"/>
      <c r="D894" s="20"/>
      <c r="E894" s="20"/>
      <c r="F894" s="20"/>
      <c r="G894" s="20"/>
    </row>
    <row r="895" spans="1:7" ht="12.75" x14ac:dyDescent="0.2">
      <c r="A895" s="20"/>
      <c r="B895" s="20"/>
      <c r="C895" s="20"/>
      <c r="D895" s="20"/>
      <c r="E895" s="20"/>
      <c r="F895" s="20"/>
      <c r="G895" s="20"/>
    </row>
    <row r="896" spans="1:7" ht="12.75" x14ac:dyDescent="0.2">
      <c r="A896" s="20"/>
      <c r="B896" s="20"/>
      <c r="C896" s="20"/>
      <c r="D896" s="20"/>
      <c r="E896" s="20"/>
      <c r="F896" s="20"/>
      <c r="G896" s="20"/>
    </row>
    <row r="897" spans="1:7" ht="12.75" x14ac:dyDescent="0.2">
      <c r="A897" s="20"/>
      <c r="B897" s="20"/>
      <c r="C897" s="20"/>
      <c r="D897" s="20"/>
      <c r="E897" s="20"/>
      <c r="F897" s="20"/>
      <c r="G897" s="20"/>
    </row>
    <row r="898" spans="1:7" ht="12.75" x14ac:dyDescent="0.2">
      <c r="A898" s="20"/>
      <c r="B898" s="20"/>
      <c r="C898" s="20"/>
      <c r="D898" s="20"/>
      <c r="E898" s="20"/>
      <c r="F898" s="20"/>
      <c r="G898" s="20"/>
    </row>
    <row r="899" spans="1:7" ht="12.75" x14ac:dyDescent="0.2">
      <c r="A899" s="20"/>
      <c r="B899" s="20"/>
      <c r="C899" s="20"/>
      <c r="D899" s="20"/>
      <c r="E899" s="20"/>
      <c r="F899" s="20"/>
      <c r="G899" s="20"/>
    </row>
    <row r="900" spans="1:7" ht="12.75" x14ac:dyDescent="0.2">
      <c r="A900" s="20"/>
      <c r="B900" s="20"/>
      <c r="C900" s="20"/>
      <c r="D900" s="20"/>
      <c r="E900" s="20"/>
      <c r="F900" s="20"/>
      <c r="G900" s="20"/>
    </row>
    <row r="901" spans="1:7" ht="12.75" x14ac:dyDescent="0.2">
      <c r="A901" s="20"/>
      <c r="B901" s="20"/>
      <c r="C901" s="20"/>
      <c r="D901" s="20"/>
      <c r="E901" s="20"/>
      <c r="F901" s="20"/>
      <c r="G901" s="20"/>
    </row>
    <row r="902" spans="1:7" ht="12.75" x14ac:dyDescent="0.2">
      <c r="A902" s="20"/>
      <c r="B902" s="20"/>
      <c r="C902" s="20"/>
      <c r="D902" s="20"/>
      <c r="E902" s="20"/>
      <c r="F902" s="20"/>
      <c r="G902" s="20"/>
    </row>
    <row r="903" spans="1:7" ht="12.75" x14ac:dyDescent="0.2">
      <c r="A903" s="20"/>
      <c r="B903" s="20"/>
      <c r="C903" s="20"/>
      <c r="D903" s="20"/>
      <c r="E903" s="20"/>
      <c r="F903" s="20"/>
      <c r="G903" s="20"/>
    </row>
    <row r="904" spans="1:7" ht="12.75" x14ac:dyDescent="0.2">
      <c r="A904" s="20"/>
      <c r="B904" s="20"/>
      <c r="C904" s="20"/>
      <c r="D904" s="20"/>
      <c r="E904" s="20"/>
      <c r="F904" s="20"/>
      <c r="G904" s="20"/>
    </row>
    <row r="905" spans="1:7" ht="12.75" x14ac:dyDescent="0.2">
      <c r="A905" s="20"/>
      <c r="B905" s="20"/>
      <c r="C905" s="20"/>
      <c r="D905" s="20"/>
      <c r="E905" s="20"/>
      <c r="F905" s="20"/>
      <c r="G905" s="20"/>
    </row>
    <row r="906" spans="1:7" ht="12.75" x14ac:dyDescent="0.2">
      <c r="A906" s="20"/>
      <c r="B906" s="20"/>
      <c r="C906" s="20"/>
      <c r="D906" s="20"/>
      <c r="E906" s="20"/>
      <c r="F906" s="20"/>
      <c r="G906" s="20"/>
    </row>
    <row r="907" spans="1:7" ht="12.75" x14ac:dyDescent="0.2">
      <c r="A907" s="20"/>
      <c r="B907" s="20"/>
      <c r="C907" s="20"/>
      <c r="D907" s="20"/>
      <c r="E907" s="20"/>
      <c r="F907" s="20"/>
      <c r="G907" s="20"/>
    </row>
    <row r="908" spans="1:7" ht="12.75" x14ac:dyDescent="0.2">
      <c r="A908" s="20"/>
      <c r="B908" s="20"/>
      <c r="C908" s="20"/>
      <c r="D908" s="20"/>
      <c r="E908" s="20"/>
      <c r="F908" s="20"/>
      <c r="G908" s="20"/>
    </row>
    <row r="909" spans="1:7" ht="12.75" x14ac:dyDescent="0.2">
      <c r="A909" s="20"/>
      <c r="B909" s="20"/>
      <c r="C909" s="20"/>
      <c r="D909" s="20"/>
      <c r="E909" s="20"/>
      <c r="F909" s="20"/>
      <c r="G909" s="20"/>
    </row>
    <row r="910" spans="1:7" ht="12.75" x14ac:dyDescent="0.2">
      <c r="A910" s="20"/>
      <c r="B910" s="20"/>
      <c r="C910" s="20"/>
      <c r="D910" s="20"/>
      <c r="E910" s="20"/>
      <c r="F910" s="20"/>
      <c r="G910" s="20"/>
    </row>
    <row r="911" spans="1:7" ht="12.75" x14ac:dyDescent="0.2">
      <c r="A911" s="20"/>
      <c r="B911" s="20"/>
      <c r="C911" s="20"/>
      <c r="D911" s="20"/>
      <c r="E911" s="20"/>
      <c r="F911" s="20"/>
      <c r="G911" s="20"/>
    </row>
    <row r="912" spans="1:7" ht="12.75" x14ac:dyDescent="0.2">
      <c r="A912" s="20"/>
      <c r="B912" s="20"/>
      <c r="C912" s="20"/>
      <c r="D912" s="20"/>
      <c r="E912" s="20"/>
      <c r="F912" s="20"/>
      <c r="G912" s="20"/>
    </row>
    <row r="913" spans="1:7" ht="12.75" x14ac:dyDescent="0.2">
      <c r="A913" s="20"/>
      <c r="B913" s="20"/>
      <c r="C913" s="20"/>
      <c r="D913" s="20"/>
      <c r="E913" s="20"/>
      <c r="F913" s="20"/>
      <c r="G913" s="20"/>
    </row>
    <row r="914" spans="1:7" ht="12.75" x14ac:dyDescent="0.2">
      <c r="A914" s="20"/>
      <c r="B914" s="20"/>
      <c r="C914" s="20"/>
      <c r="D914" s="20"/>
      <c r="E914" s="20"/>
      <c r="F914" s="20"/>
      <c r="G914" s="20"/>
    </row>
    <row r="915" spans="1:7" ht="12.75" x14ac:dyDescent="0.2">
      <c r="A915" s="20"/>
      <c r="B915" s="20"/>
      <c r="C915" s="20"/>
      <c r="D915" s="20"/>
      <c r="E915" s="20"/>
      <c r="F915" s="20"/>
      <c r="G915" s="20"/>
    </row>
    <row r="916" spans="1:7" ht="12.75" x14ac:dyDescent="0.2">
      <c r="A916" s="20"/>
      <c r="B916" s="20"/>
      <c r="C916" s="20"/>
      <c r="D916" s="20"/>
      <c r="E916" s="20"/>
      <c r="F916" s="20"/>
      <c r="G916" s="20"/>
    </row>
    <row r="917" spans="1:7" ht="12.75" x14ac:dyDescent="0.2">
      <c r="A917" s="20"/>
      <c r="B917" s="20"/>
      <c r="C917" s="20"/>
      <c r="D917" s="20"/>
      <c r="E917" s="20"/>
      <c r="F917" s="20"/>
      <c r="G917" s="20"/>
    </row>
    <row r="918" spans="1:7" ht="12.75" x14ac:dyDescent="0.2">
      <c r="A918" s="20"/>
      <c r="B918" s="20"/>
      <c r="C918" s="20"/>
      <c r="D918" s="20"/>
      <c r="E918" s="20"/>
      <c r="F918" s="20"/>
      <c r="G918" s="20"/>
    </row>
    <row r="919" spans="1:7" ht="12.75" x14ac:dyDescent="0.2">
      <c r="A919" s="20"/>
      <c r="B919" s="20"/>
      <c r="C919" s="20"/>
      <c r="D919" s="20"/>
      <c r="E919" s="20"/>
      <c r="F919" s="20"/>
      <c r="G919" s="20"/>
    </row>
    <row r="920" spans="1:7" ht="12.75" x14ac:dyDescent="0.2">
      <c r="A920" s="20"/>
      <c r="B920" s="20"/>
      <c r="C920" s="20"/>
      <c r="D920" s="20"/>
      <c r="E920" s="20"/>
      <c r="F920" s="20"/>
      <c r="G920" s="20"/>
    </row>
    <row r="921" spans="1:7" ht="12.75" x14ac:dyDescent="0.2">
      <c r="A921" s="20"/>
      <c r="B921" s="20"/>
      <c r="C921" s="20"/>
      <c r="D921" s="20"/>
      <c r="E921" s="20"/>
      <c r="F921" s="20"/>
      <c r="G921" s="20"/>
    </row>
    <row r="922" spans="1:7" ht="12.75" x14ac:dyDescent="0.2">
      <c r="A922" s="20"/>
      <c r="B922" s="20"/>
      <c r="C922" s="20"/>
      <c r="D922" s="20"/>
      <c r="E922" s="20"/>
      <c r="F922" s="20"/>
      <c r="G922" s="20"/>
    </row>
    <row r="923" spans="1:7" ht="12.75" x14ac:dyDescent="0.2">
      <c r="A923" s="20"/>
      <c r="B923" s="20"/>
      <c r="C923" s="20"/>
      <c r="D923" s="20"/>
      <c r="E923" s="20"/>
      <c r="F923" s="20"/>
      <c r="G923" s="20"/>
    </row>
    <row r="924" spans="1:7" ht="12.75" x14ac:dyDescent="0.2">
      <c r="A924" s="20"/>
      <c r="B924" s="20"/>
      <c r="C924" s="20"/>
      <c r="D924" s="20"/>
      <c r="E924" s="20"/>
      <c r="F924" s="20"/>
      <c r="G924" s="20"/>
    </row>
    <row r="925" spans="1:7" ht="12.75" x14ac:dyDescent="0.2">
      <c r="A925" s="20"/>
      <c r="B925" s="20"/>
      <c r="C925" s="20"/>
      <c r="D925" s="20"/>
      <c r="E925" s="20"/>
      <c r="F925" s="20"/>
      <c r="G925" s="20"/>
    </row>
    <row r="926" spans="1:7" ht="12.75" x14ac:dyDescent="0.2">
      <c r="A926" s="20"/>
      <c r="B926" s="20"/>
      <c r="C926" s="20"/>
      <c r="D926" s="20"/>
      <c r="E926" s="20"/>
      <c r="F926" s="20"/>
      <c r="G926" s="20"/>
    </row>
    <row r="927" spans="1:7" ht="12.75" x14ac:dyDescent="0.2">
      <c r="A927" s="20"/>
      <c r="B927" s="20"/>
      <c r="C927" s="20"/>
      <c r="D927" s="20"/>
      <c r="E927" s="20"/>
      <c r="F927" s="20"/>
      <c r="G927" s="20"/>
    </row>
    <row r="928" spans="1:7" ht="12.75" x14ac:dyDescent="0.2">
      <c r="A928" s="20"/>
      <c r="B928" s="20"/>
      <c r="C928" s="20"/>
      <c r="D928" s="20"/>
      <c r="E928" s="20"/>
      <c r="F928" s="20"/>
      <c r="G928" s="20"/>
    </row>
    <row r="929" spans="1:7" ht="12.75" x14ac:dyDescent="0.2">
      <c r="A929" s="20"/>
      <c r="B929" s="20"/>
      <c r="C929" s="20"/>
      <c r="D929" s="20"/>
      <c r="E929" s="20"/>
      <c r="F929" s="20"/>
      <c r="G929" s="20"/>
    </row>
    <row r="930" spans="1:7" ht="12.75" x14ac:dyDescent="0.2">
      <c r="A930" s="20"/>
      <c r="B930" s="20"/>
      <c r="C930" s="20"/>
      <c r="D930" s="20"/>
      <c r="E930" s="20"/>
      <c r="F930" s="20"/>
      <c r="G930" s="20"/>
    </row>
    <row r="931" spans="1:7" ht="12.75" x14ac:dyDescent="0.2">
      <c r="A931" s="20"/>
      <c r="B931" s="20"/>
      <c r="C931" s="20"/>
      <c r="D931" s="20"/>
      <c r="E931" s="20"/>
      <c r="F931" s="20"/>
      <c r="G931" s="20"/>
    </row>
    <row r="932" spans="1:7" ht="12.75" x14ac:dyDescent="0.2">
      <c r="A932" s="20"/>
      <c r="B932" s="20"/>
      <c r="C932" s="20"/>
      <c r="D932" s="20"/>
      <c r="E932" s="20"/>
      <c r="F932" s="20"/>
      <c r="G932" s="20"/>
    </row>
    <row r="933" spans="1:7" ht="12.75" x14ac:dyDescent="0.2">
      <c r="A933" s="20"/>
      <c r="B933" s="20"/>
      <c r="C933" s="20"/>
      <c r="D933" s="20"/>
      <c r="E933" s="20"/>
      <c r="F933" s="20"/>
      <c r="G933" s="20"/>
    </row>
    <row r="934" spans="1:7" ht="12.75" x14ac:dyDescent="0.2">
      <c r="A934" s="20"/>
      <c r="B934" s="20"/>
      <c r="C934" s="20"/>
      <c r="D934" s="20"/>
      <c r="E934" s="20"/>
      <c r="F934" s="20"/>
      <c r="G934" s="20"/>
    </row>
    <row r="935" spans="1:7" ht="12.75" x14ac:dyDescent="0.2">
      <c r="A935" s="20"/>
      <c r="B935" s="20"/>
      <c r="C935" s="20"/>
      <c r="D935" s="20"/>
      <c r="E935" s="20"/>
      <c r="F935" s="20"/>
      <c r="G935" s="20"/>
    </row>
    <row r="936" spans="1:7" ht="12.75" x14ac:dyDescent="0.2">
      <c r="A936" s="20"/>
      <c r="B936" s="20"/>
      <c r="C936" s="20"/>
      <c r="D936" s="20"/>
      <c r="E936" s="20"/>
      <c r="F936" s="20"/>
      <c r="G936" s="20"/>
    </row>
    <row r="937" spans="1:7" ht="12.75" x14ac:dyDescent="0.2">
      <c r="A937" s="20"/>
      <c r="B937" s="20"/>
      <c r="C937" s="20"/>
      <c r="D937" s="20"/>
      <c r="E937" s="20"/>
      <c r="F937" s="20"/>
      <c r="G937" s="20"/>
    </row>
    <row r="938" spans="1:7" ht="12.75" x14ac:dyDescent="0.2">
      <c r="A938" s="20"/>
      <c r="B938" s="20"/>
      <c r="C938" s="20"/>
      <c r="D938" s="20"/>
      <c r="E938" s="20"/>
      <c r="F938" s="20"/>
      <c r="G938" s="20"/>
    </row>
    <row r="939" spans="1:7" ht="12.75" x14ac:dyDescent="0.2">
      <c r="A939" s="20"/>
      <c r="B939" s="20"/>
      <c r="C939" s="20"/>
      <c r="D939" s="20"/>
      <c r="E939" s="20"/>
      <c r="F939" s="20"/>
      <c r="G939" s="20"/>
    </row>
    <row r="940" spans="1:7" ht="12.75" x14ac:dyDescent="0.2">
      <c r="A940" s="20"/>
      <c r="B940" s="20"/>
      <c r="C940" s="20"/>
      <c r="D940" s="20"/>
      <c r="E940" s="20"/>
      <c r="F940" s="20"/>
      <c r="G940" s="20"/>
    </row>
    <row r="941" spans="1:7" ht="12.75" x14ac:dyDescent="0.2">
      <c r="A941" s="20"/>
      <c r="B941" s="20"/>
      <c r="C941" s="20"/>
      <c r="D941" s="20"/>
      <c r="E941" s="20"/>
      <c r="F941" s="20"/>
      <c r="G941" s="20"/>
    </row>
    <row r="942" spans="1:7" ht="12.75" x14ac:dyDescent="0.2">
      <c r="A942" s="20"/>
      <c r="B942" s="20"/>
      <c r="C942" s="20"/>
      <c r="D942" s="20"/>
      <c r="E942" s="20"/>
      <c r="F942" s="20"/>
      <c r="G942" s="20"/>
    </row>
    <row r="943" spans="1:7" ht="12.75" x14ac:dyDescent="0.2">
      <c r="A943" s="20"/>
      <c r="B943" s="20"/>
      <c r="C943" s="20"/>
      <c r="D943" s="20"/>
      <c r="E943" s="20"/>
      <c r="F943" s="20"/>
      <c r="G943" s="20"/>
    </row>
    <row r="944" spans="1:7" ht="12.75" x14ac:dyDescent="0.2">
      <c r="A944" s="20"/>
      <c r="B944" s="20"/>
      <c r="C944" s="20"/>
      <c r="D944" s="20"/>
      <c r="E944" s="20"/>
      <c r="F944" s="20"/>
      <c r="G944" s="20"/>
    </row>
    <row r="945" spans="1:7" ht="12.75" x14ac:dyDescent="0.2">
      <c r="A945" s="20"/>
      <c r="B945" s="20"/>
      <c r="C945" s="20"/>
      <c r="D945" s="20"/>
      <c r="E945" s="20"/>
      <c r="F945" s="20"/>
      <c r="G945" s="20"/>
    </row>
    <row r="946" spans="1:7" ht="12.75" x14ac:dyDescent="0.2">
      <c r="A946" s="20"/>
      <c r="B946" s="20"/>
      <c r="C946" s="20"/>
      <c r="D946" s="20"/>
      <c r="E946" s="20"/>
      <c r="F946" s="20"/>
      <c r="G946" s="20"/>
    </row>
    <row r="947" spans="1:7" ht="12.75" x14ac:dyDescent="0.2">
      <c r="A947" s="20"/>
      <c r="B947" s="20"/>
      <c r="C947" s="20"/>
      <c r="D947" s="20"/>
      <c r="E947" s="20"/>
      <c r="F947" s="20"/>
      <c r="G947" s="20"/>
    </row>
    <row r="948" spans="1:7" ht="12.75" x14ac:dyDescent="0.2">
      <c r="A948" s="20"/>
      <c r="B948" s="20"/>
      <c r="C948" s="20"/>
      <c r="D948" s="20"/>
      <c r="E948" s="20"/>
      <c r="F948" s="20"/>
      <c r="G948" s="20"/>
    </row>
    <row r="949" spans="1:7" ht="12.75" x14ac:dyDescent="0.2">
      <c r="A949" s="20"/>
      <c r="B949" s="20"/>
      <c r="C949" s="20"/>
      <c r="D949" s="20"/>
      <c r="E949" s="20"/>
      <c r="F949" s="20"/>
      <c r="G949" s="20"/>
    </row>
    <row r="950" spans="1:7" ht="12.75" x14ac:dyDescent="0.2">
      <c r="A950" s="20"/>
      <c r="B950" s="20"/>
      <c r="C950" s="20"/>
      <c r="D950" s="20"/>
      <c r="E950" s="20"/>
      <c r="F950" s="20"/>
      <c r="G950" s="20"/>
    </row>
    <row r="951" spans="1:7" ht="12.75" x14ac:dyDescent="0.2">
      <c r="A951" s="20"/>
      <c r="B951" s="20"/>
      <c r="C951" s="20"/>
      <c r="D951" s="20"/>
      <c r="E951" s="20"/>
      <c r="F951" s="20"/>
      <c r="G951" s="20"/>
    </row>
    <row r="952" spans="1:7" ht="12.75" x14ac:dyDescent="0.2">
      <c r="A952" s="20"/>
      <c r="B952" s="20"/>
      <c r="C952" s="20"/>
      <c r="D952" s="20"/>
      <c r="E952" s="20"/>
      <c r="F952" s="20"/>
      <c r="G952" s="20"/>
    </row>
    <row r="953" spans="1:7" ht="12.75" x14ac:dyDescent="0.2">
      <c r="A953" s="20"/>
      <c r="B953" s="20"/>
      <c r="C953" s="20"/>
      <c r="D953" s="20"/>
      <c r="E953" s="20"/>
      <c r="F953" s="20"/>
      <c r="G953" s="20"/>
    </row>
    <row r="954" spans="1:7" ht="12.75" x14ac:dyDescent="0.2">
      <c r="A954" s="20"/>
      <c r="B954" s="20"/>
      <c r="C954" s="20"/>
      <c r="D954" s="20"/>
      <c r="E954" s="20"/>
      <c r="F954" s="20"/>
      <c r="G954" s="20"/>
    </row>
    <row r="955" spans="1:7" ht="12.75" x14ac:dyDescent="0.2">
      <c r="A955" s="20"/>
      <c r="B955" s="20"/>
      <c r="C955" s="20"/>
      <c r="D955" s="20"/>
      <c r="E955" s="20"/>
      <c r="F955" s="20"/>
      <c r="G955" s="20"/>
    </row>
    <row r="956" spans="1:7" ht="12.75" x14ac:dyDescent="0.2">
      <c r="A956" s="20"/>
      <c r="B956" s="20"/>
      <c r="C956" s="20"/>
      <c r="D956" s="20"/>
      <c r="E956" s="20"/>
      <c r="F956" s="20"/>
      <c r="G956" s="20"/>
    </row>
    <row r="957" spans="1:7" ht="12.75" x14ac:dyDescent="0.2">
      <c r="A957" s="20"/>
      <c r="B957" s="20"/>
      <c r="C957" s="20"/>
      <c r="D957" s="20"/>
      <c r="E957" s="20"/>
      <c r="F957" s="20"/>
      <c r="G957" s="20"/>
    </row>
    <row r="958" spans="1:7" ht="12.75" x14ac:dyDescent="0.2">
      <c r="A958" s="20"/>
      <c r="B958" s="20"/>
      <c r="C958" s="20"/>
      <c r="D958" s="20"/>
      <c r="E958" s="20"/>
      <c r="F958" s="20"/>
      <c r="G958" s="20"/>
    </row>
    <row r="959" spans="1:7" ht="12.75" x14ac:dyDescent="0.2">
      <c r="A959" s="20"/>
      <c r="B959" s="20"/>
      <c r="C959" s="20"/>
      <c r="D959" s="20"/>
      <c r="E959" s="20"/>
      <c r="F959" s="20"/>
      <c r="G959" s="20"/>
    </row>
    <row r="960" spans="1:7" ht="12.75" x14ac:dyDescent="0.2">
      <c r="A960" s="20"/>
      <c r="B960" s="20"/>
      <c r="C960" s="20"/>
      <c r="D960" s="20"/>
      <c r="E960" s="20"/>
      <c r="F960" s="20"/>
      <c r="G960" s="20"/>
    </row>
    <row r="961" spans="1:7" ht="12.75" x14ac:dyDescent="0.2">
      <c r="A961" s="20"/>
      <c r="B961" s="20"/>
      <c r="C961" s="20"/>
      <c r="D961" s="20"/>
      <c r="E961" s="20"/>
      <c r="F961" s="20"/>
      <c r="G961" s="20"/>
    </row>
    <row r="962" spans="1:7" ht="12.75" x14ac:dyDescent="0.2">
      <c r="A962" s="20"/>
      <c r="B962" s="20"/>
      <c r="C962" s="20"/>
      <c r="D962" s="20"/>
      <c r="E962" s="20"/>
      <c r="F962" s="20"/>
      <c r="G962" s="20"/>
    </row>
    <row r="963" spans="1:7" ht="12.75" x14ac:dyDescent="0.2">
      <c r="A963" s="20"/>
      <c r="B963" s="20"/>
      <c r="C963" s="20"/>
      <c r="D963" s="20"/>
      <c r="E963" s="20"/>
      <c r="F963" s="20"/>
      <c r="G963" s="20"/>
    </row>
    <row r="964" spans="1:7" ht="12.75" x14ac:dyDescent="0.2">
      <c r="A964" s="20"/>
      <c r="B964" s="20"/>
      <c r="C964" s="20"/>
      <c r="D964" s="20"/>
      <c r="E964" s="20"/>
      <c r="F964" s="20"/>
      <c r="G964" s="20"/>
    </row>
    <row r="965" spans="1:7" ht="12.75" x14ac:dyDescent="0.2">
      <c r="A965" s="20"/>
      <c r="B965" s="20"/>
      <c r="C965" s="20"/>
      <c r="D965" s="20"/>
      <c r="E965" s="20"/>
      <c r="F965" s="20"/>
      <c r="G965" s="20"/>
    </row>
    <row r="966" spans="1:7" ht="12.75" x14ac:dyDescent="0.2">
      <c r="A966" s="20"/>
      <c r="B966" s="20"/>
      <c r="C966" s="20"/>
      <c r="D966" s="20"/>
      <c r="E966" s="20"/>
      <c r="F966" s="20"/>
      <c r="G966" s="20"/>
    </row>
    <row r="967" spans="1:7" ht="12.75" x14ac:dyDescent="0.2">
      <c r="A967" s="20"/>
      <c r="B967" s="20"/>
      <c r="C967" s="20"/>
      <c r="D967" s="20"/>
      <c r="E967" s="20"/>
      <c r="F967" s="20"/>
      <c r="G967" s="20"/>
    </row>
    <row r="968" spans="1:7" ht="12.75" x14ac:dyDescent="0.2">
      <c r="A968" s="20"/>
      <c r="B968" s="20"/>
      <c r="C968" s="20"/>
      <c r="D968" s="20"/>
      <c r="E968" s="20"/>
      <c r="F968" s="20"/>
      <c r="G968" s="20"/>
    </row>
    <row r="969" spans="1:7" ht="12.75" x14ac:dyDescent="0.2">
      <c r="A969" s="20"/>
      <c r="B969" s="20"/>
      <c r="C969" s="20"/>
      <c r="D969" s="20"/>
      <c r="E969" s="20"/>
      <c r="F969" s="20"/>
      <c r="G969" s="20"/>
    </row>
    <row r="970" spans="1:7" ht="12.75" x14ac:dyDescent="0.2">
      <c r="A970" s="20"/>
      <c r="B970" s="20"/>
      <c r="C970" s="20"/>
      <c r="D970" s="20"/>
      <c r="E970" s="20"/>
      <c r="F970" s="20"/>
      <c r="G970" s="20"/>
    </row>
    <row r="971" spans="1:7" ht="12.75" x14ac:dyDescent="0.2">
      <c r="A971" s="20"/>
      <c r="B971" s="20"/>
      <c r="C971" s="20"/>
      <c r="D971" s="20"/>
      <c r="E971" s="20"/>
      <c r="F971" s="20"/>
      <c r="G971" s="20"/>
    </row>
    <row r="972" spans="1:7" ht="12.75" x14ac:dyDescent="0.2">
      <c r="A972" s="20"/>
      <c r="B972" s="20"/>
      <c r="C972" s="20"/>
      <c r="D972" s="20"/>
      <c r="E972" s="20"/>
      <c r="F972" s="20"/>
      <c r="G972" s="20"/>
    </row>
    <row r="973" spans="1:7" ht="12.75" x14ac:dyDescent="0.2">
      <c r="A973" s="20"/>
      <c r="B973" s="20"/>
      <c r="C973" s="20"/>
      <c r="D973" s="20"/>
      <c r="E973" s="20"/>
      <c r="F973" s="20"/>
      <c r="G973" s="20"/>
    </row>
    <row r="974" spans="1:7" ht="12.75" x14ac:dyDescent="0.2">
      <c r="A974" s="20"/>
      <c r="B974" s="20"/>
      <c r="C974" s="20"/>
      <c r="D974" s="20"/>
      <c r="E974" s="20"/>
      <c r="F974" s="20"/>
      <c r="G974" s="20"/>
    </row>
    <row r="975" spans="1:7" ht="12.75" x14ac:dyDescent="0.2">
      <c r="A975" s="20"/>
      <c r="B975" s="20"/>
      <c r="C975" s="20"/>
      <c r="D975" s="20"/>
      <c r="E975" s="20"/>
      <c r="F975" s="20"/>
      <c r="G975" s="20"/>
    </row>
    <row r="976" spans="1:7" ht="12.75" x14ac:dyDescent="0.2">
      <c r="A976" s="20"/>
      <c r="B976" s="20"/>
      <c r="C976" s="20"/>
      <c r="D976" s="20"/>
      <c r="E976" s="20"/>
      <c r="F976" s="20"/>
      <c r="G976" s="20"/>
    </row>
    <row r="977" spans="1:7" ht="12.75" x14ac:dyDescent="0.2">
      <c r="A977" s="20"/>
      <c r="B977" s="20"/>
      <c r="C977" s="20"/>
      <c r="D977" s="20"/>
      <c r="E977" s="20"/>
      <c r="F977" s="20"/>
      <c r="G977" s="20"/>
    </row>
    <row r="978" spans="1:7" ht="12.75" x14ac:dyDescent="0.2">
      <c r="A978" s="20"/>
      <c r="B978" s="20"/>
      <c r="C978" s="20"/>
      <c r="D978" s="20"/>
      <c r="E978" s="20"/>
      <c r="F978" s="20"/>
      <c r="G978" s="20"/>
    </row>
    <row r="979" spans="1:7" ht="12.75" x14ac:dyDescent="0.2">
      <c r="A979" s="20"/>
      <c r="B979" s="20"/>
      <c r="C979" s="20"/>
      <c r="D979" s="20"/>
      <c r="E979" s="20"/>
      <c r="F979" s="20"/>
      <c r="G979" s="20"/>
    </row>
    <row r="980" spans="1:7" ht="12.75" x14ac:dyDescent="0.2">
      <c r="A980" s="20"/>
      <c r="B980" s="20"/>
      <c r="C980" s="20"/>
      <c r="D980" s="20"/>
      <c r="E980" s="20"/>
      <c r="F980" s="20"/>
      <c r="G980" s="20"/>
    </row>
    <row r="981" spans="1:7" ht="12.75" x14ac:dyDescent="0.2">
      <c r="A981" s="20"/>
      <c r="B981" s="20"/>
      <c r="C981" s="20"/>
      <c r="D981" s="20"/>
      <c r="E981" s="20"/>
      <c r="F981" s="20"/>
      <c r="G981" s="20"/>
    </row>
    <row r="982" spans="1:7" ht="12.75" x14ac:dyDescent="0.2">
      <c r="A982" s="20"/>
      <c r="B982" s="20"/>
      <c r="C982" s="20"/>
      <c r="D982" s="20"/>
      <c r="E982" s="20"/>
      <c r="F982" s="20"/>
      <c r="G982" s="20"/>
    </row>
    <row r="983" spans="1:7" ht="12.75" x14ac:dyDescent="0.2">
      <c r="A983" s="20"/>
      <c r="B983" s="20"/>
      <c r="C983" s="20"/>
      <c r="D983" s="20"/>
      <c r="E983" s="20"/>
      <c r="F983" s="20"/>
      <c r="G983" s="20"/>
    </row>
    <row r="984" spans="1:7" ht="12.75" x14ac:dyDescent="0.2">
      <c r="A984" s="20"/>
      <c r="B984" s="20"/>
      <c r="C984" s="20"/>
      <c r="D984" s="20"/>
      <c r="E984" s="20"/>
      <c r="F984" s="20"/>
      <c r="G984" s="20"/>
    </row>
    <row r="985" spans="1:7" ht="12.75" x14ac:dyDescent="0.2">
      <c r="A985" s="20"/>
      <c r="B985" s="20"/>
      <c r="C985" s="20"/>
      <c r="D985" s="20"/>
      <c r="E985" s="20"/>
      <c r="F985" s="20"/>
      <c r="G985" s="20"/>
    </row>
    <row r="986" spans="1:7" ht="12.75" x14ac:dyDescent="0.2">
      <c r="A986" s="20"/>
      <c r="B986" s="20"/>
      <c r="C986" s="20"/>
      <c r="D986" s="20"/>
      <c r="E986" s="20"/>
      <c r="F986" s="20"/>
      <c r="G986" s="20"/>
    </row>
    <row r="987" spans="1:7" ht="12.75" x14ac:dyDescent="0.2">
      <c r="A987" s="20"/>
      <c r="B987" s="20"/>
      <c r="C987" s="20"/>
      <c r="D987" s="20"/>
      <c r="E987" s="20"/>
      <c r="F987" s="20"/>
      <c r="G987" s="20"/>
    </row>
    <row r="988" spans="1:7" ht="12.75" x14ac:dyDescent="0.2">
      <c r="A988" s="20"/>
      <c r="B988" s="20"/>
      <c r="C988" s="20"/>
      <c r="D988" s="20"/>
      <c r="E988" s="20"/>
      <c r="F988" s="20"/>
      <c r="G988" s="20"/>
    </row>
    <row r="989" spans="1:7" ht="12.75" x14ac:dyDescent="0.2">
      <c r="A989" s="20"/>
      <c r="B989" s="20"/>
      <c r="C989" s="20"/>
      <c r="D989" s="20"/>
      <c r="E989" s="20"/>
      <c r="F989" s="20"/>
      <c r="G989" s="20"/>
    </row>
    <row r="990" spans="1:7" ht="12.75" x14ac:dyDescent="0.2">
      <c r="A990" s="20"/>
      <c r="B990" s="20"/>
      <c r="C990" s="20"/>
      <c r="D990" s="20"/>
      <c r="E990" s="20"/>
      <c r="F990" s="20"/>
      <c r="G990" s="20"/>
    </row>
    <row r="991" spans="1:7" ht="12.75" x14ac:dyDescent="0.2">
      <c r="A991" s="20"/>
      <c r="B991" s="20"/>
      <c r="C991" s="20"/>
      <c r="D991" s="20"/>
      <c r="E991" s="20"/>
      <c r="F991" s="20"/>
      <c r="G991" s="20"/>
    </row>
    <row r="992" spans="1:7" ht="12.75" x14ac:dyDescent="0.2">
      <c r="A992" s="20"/>
      <c r="B992" s="20"/>
      <c r="C992" s="20"/>
      <c r="D992" s="20"/>
      <c r="E992" s="20"/>
      <c r="F992" s="20"/>
      <c r="G992" s="20"/>
    </row>
    <row r="993" spans="1:7" ht="12.75" x14ac:dyDescent="0.2">
      <c r="A993" s="20"/>
      <c r="B993" s="20"/>
      <c r="C993" s="20"/>
      <c r="D993" s="20"/>
      <c r="E993" s="20"/>
      <c r="F993" s="20"/>
      <c r="G993" s="20"/>
    </row>
    <row r="994" spans="1:7" ht="12.75" x14ac:dyDescent="0.2">
      <c r="A994" s="20"/>
      <c r="B994" s="20"/>
      <c r="C994" s="20"/>
      <c r="D994" s="20"/>
      <c r="E994" s="20"/>
      <c r="F994" s="20"/>
      <c r="G994" s="20"/>
    </row>
    <row r="995" spans="1:7" ht="12.75" x14ac:dyDescent="0.2">
      <c r="A995" s="20"/>
      <c r="B995" s="20"/>
      <c r="C995" s="20"/>
      <c r="D995" s="20"/>
      <c r="E995" s="20"/>
      <c r="F995" s="20"/>
      <c r="G995" s="20"/>
    </row>
    <row r="996" spans="1:7" ht="12.75" x14ac:dyDescent="0.2">
      <c r="A996" s="20"/>
      <c r="B996" s="20"/>
      <c r="C996" s="20"/>
      <c r="D996" s="20"/>
      <c r="E996" s="20"/>
      <c r="F996" s="20"/>
      <c r="G996" s="20"/>
    </row>
    <row r="997" spans="1:7" ht="12.75" x14ac:dyDescent="0.2">
      <c r="A997" s="20"/>
      <c r="B997" s="20"/>
      <c r="C997" s="20"/>
      <c r="D997" s="20"/>
      <c r="E997" s="20"/>
      <c r="F997" s="20"/>
      <c r="G997" s="20"/>
    </row>
    <row r="998" spans="1:7" ht="12.75" x14ac:dyDescent="0.2">
      <c r="A998" s="20"/>
      <c r="B998" s="20"/>
      <c r="C998" s="20"/>
      <c r="D998" s="20"/>
      <c r="E998" s="20"/>
      <c r="F998" s="20"/>
      <c r="G998" s="20"/>
    </row>
    <row r="999" spans="1:7" ht="12.75" x14ac:dyDescent="0.2">
      <c r="A999" s="20"/>
      <c r="B999" s="20"/>
      <c r="C999" s="20"/>
      <c r="D999" s="20"/>
      <c r="E999" s="20"/>
      <c r="F999" s="20"/>
      <c r="G999" s="20"/>
    </row>
    <row r="1000" spans="1:7" ht="12.75" x14ac:dyDescent="0.2">
      <c r="A1000" s="20"/>
      <c r="B1000" s="20"/>
      <c r="C1000" s="20"/>
      <c r="D1000" s="20"/>
      <c r="E1000" s="20"/>
      <c r="F1000" s="20"/>
      <c r="G1000" s="2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000"/>
  <sheetViews>
    <sheetView workbookViewId="0"/>
  </sheetViews>
  <sheetFormatPr defaultColWidth="12.7109375" defaultRowHeight="15.75" customHeight="1" x14ac:dyDescent="0.2"/>
  <cols>
    <col min="1" max="1" width="9.140625" customWidth="1"/>
    <col min="2" max="2" width="3.85546875" customWidth="1"/>
    <col min="3" max="3" width="4.85546875" customWidth="1"/>
    <col min="4" max="4" width="8.140625" customWidth="1"/>
    <col min="5" max="5" width="17.28515625" customWidth="1"/>
    <col min="6" max="6" width="20.7109375" customWidth="1"/>
  </cols>
  <sheetData>
    <row r="1" spans="1:6" x14ac:dyDescent="0.2">
      <c r="A1" s="21" t="s">
        <v>612</v>
      </c>
      <c r="B1" s="22" t="s">
        <v>614</v>
      </c>
      <c r="C1" s="22" t="s">
        <v>650</v>
      </c>
      <c r="D1" s="22" t="s">
        <v>696</v>
      </c>
      <c r="E1" s="22" t="s">
        <v>697</v>
      </c>
    </row>
    <row r="2" spans="1:6" x14ac:dyDescent="0.2">
      <c r="A2" s="23" t="s">
        <v>698</v>
      </c>
      <c r="B2" s="4" t="s">
        <v>625</v>
      </c>
      <c r="C2" s="4" t="s">
        <v>626</v>
      </c>
      <c r="D2" s="4">
        <v>16</v>
      </c>
      <c r="E2" s="4">
        <v>15</v>
      </c>
    </row>
    <row r="3" spans="1:6" x14ac:dyDescent="0.2">
      <c r="A3" s="23" t="s">
        <v>698</v>
      </c>
      <c r="B3" s="4" t="s">
        <v>625</v>
      </c>
      <c r="C3" s="4" t="s">
        <v>627</v>
      </c>
      <c r="D3" s="4">
        <v>16.600000000000001</v>
      </c>
      <c r="E3" s="4">
        <v>15</v>
      </c>
    </row>
    <row r="4" spans="1:6" x14ac:dyDescent="0.2">
      <c r="A4" s="23" t="s">
        <v>698</v>
      </c>
      <c r="B4" s="4" t="s">
        <v>625</v>
      </c>
      <c r="C4" s="4" t="s">
        <v>628</v>
      </c>
      <c r="D4" s="4">
        <v>16.3</v>
      </c>
      <c r="E4" s="4">
        <v>15</v>
      </c>
    </row>
    <row r="5" spans="1:6" x14ac:dyDescent="0.2">
      <c r="A5" s="23" t="s">
        <v>698</v>
      </c>
      <c r="B5" s="4" t="s">
        <v>625</v>
      </c>
      <c r="C5" s="4" t="s">
        <v>629</v>
      </c>
      <c r="D5" s="4">
        <v>15.6</v>
      </c>
      <c r="E5" s="4">
        <v>15</v>
      </c>
      <c r="F5" s="4" t="s">
        <v>699</v>
      </c>
    </row>
    <row r="6" spans="1:6" x14ac:dyDescent="0.2">
      <c r="A6" s="23" t="s">
        <v>698</v>
      </c>
      <c r="B6" s="4" t="s">
        <v>625</v>
      </c>
      <c r="C6" s="4" t="s">
        <v>630</v>
      </c>
      <c r="D6" s="4">
        <v>16</v>
      </c>
      <c r="E6" s="4">
        <v>15</v>
      </c>
    </row>
    <row r="7" spans="1:6" x14ac:dyDescent="0.2">
      <c r="A7" s="23" t="s">
        <v>698</v>
      </c>
      <c r="B7" s="4" t="s">
        <v>631</v>
      </c>
      <c r="C7" s="4" t="s">
        <v>626</v>
      </c>
      <c r="D7" s="4">
        <v>17.7</v>
      </c>
      <c r="E7" s="4">
        <v>15</v>
      </c>
    </row>
    <row r="8" spans="1:6" x14ac:dyDescent="0.2">
      <c r="A8" s="23" t="s">
        <v>698</v>
      </c>
      <c r="B8" s="4" t="s">
        <v>631</v>
      </c>
      <c r="C8" s="4" t="s">
        <v>627</v>
      </c>
      <c r="D8" s="4">
        <v>16.600000000000001</v>
      </c>
      <c r="E8" s="4">
        <v>15</v>
      </c>
    </row>
    <row r="9" spans="1:6" x14ac:dyDescent="0.2">
      <c r="A9" s="23" t="s">
        <v>698</v>
      </c>
      <c r="B9" s="4" t="s">
        <v>631</v>
      </c>
      <c r="C9" s="4" t="s">
        <v>628</v>
      </c>
      <c r="D9" s="4">
        <v>15.9</v>
      </c>
      <c r="E9" s="4">
        <v>15</v>
      </c>
    </row>
    <row r="10" spans="1:6" x14ac:dyDescent="0.2">
      <c r="A10" s="23" t="s">
        <v>698</v>
      </c>
      <c r="B10" s="4" t="s">
        <v>631</v>
      </c>
      <c r="C10" s="4" t="s">
        <v>629</v>
      </c>
      <c r="D10" s="4">
        <v>17.5</v>
      </c>
      <c r="E10" s="4">
        <v>17</v>
      </c>
    </row>
    <row r="11" spans="1:6" x14ac:dyDescent="0.2">
      <c r="A11" s="23" t="s">
        <v>698</v>
      </c>
      <c r="B11" s="4" t="s">
        <v>631</v>
      </c>
      <c r="C11" s="4" t="s">
        <v>630</v>
      </c>
      <c r="D11" s="4">
        <v>17.399999999999999</v>
      </c>
      <c r="E11" s="4">
        <v>17</v>
      </c>
    </row>
    <row r="12" spans="1:6" x14ac:dyDescent="0.2">
      <c r="A12" s="23" t="s">
        <v>698</v>
      </c>
      <c r="B12" s="4" t="s">
        <v>632</v>
      </c>
      <c r="C12" s="4" t="s">
        <v>626</v>
      </c>
      <c r="D12" s="4">
        <v>16.2</v>
      </c>
      <c r="E12" s="4">
        <v>15</v>
      </c>
    </row>
    <row r="13" spans="1:6" x14ac:dyDescent="0.2">
      <c r="A13" s="23" t="s">
        <v>698</v>
      </c>
      <c r="B13" s="4" t="s">
        <v>632</v>
      </c>
      <c r="C13" s="4" t="s">
        <v>627</v>
      </c>
      <c r="D13" s="4">
        <v>16.399999999999999</v>
      </c>
      <c r="E13" s="4">
        <v>15</v>
      </c>
    </row>
    <row r="14" spans="1:6" x14ac:dyDescent="0.2">
      <c r="A14" s="23" t="s">
        <v>698</v>
      </c>
      <c r="B14" s="4" t="s">
        <v>632</v>
      </c>
      <c r="C14" s="4" t="s">
        <v>628</v>
      </c>
      <c r="D14" s="4">
        <v>16</v>
      </c>
      <c r="E14" s="4">
        <v>15</v>
      </c>
    </row>
    <row r="15" spans="1:6" x14ac:dyDescent="0.2">
      <c r="A15" s="23" t="s">
        <v>698</v>
      </c>
      <c r="B15" s="4" t="s">
        <v>632</v>
      </c>
      <c r="C15" s="4" t="s">
        <v>629</v>
      </c>
      <c r="D15" s="4">
        <v>16.100000000000001</v>
      </c>
      <c r="E15" s="4">
        <v>15</v>
      </c>
    </row>
    <row r="16" spans="1:6" x14ac:dyDescent="0.2">
      <c r="A16" s="23" t="s">
        <v>698</v>
      </c>
      <c r="B16" s="4" t="s">
        <v>632</v>
      </c>
      <c r="C16" s="4" t="s">
        <v>630</v>
      </c>
      <c r="D16" s="4">
        <v>16.100000000000001</v>
      </c>
      <c r="E16" s="4">
        <v>15</v>
      </c>
    </row>
    <row r="17" spans="1:5" x14ac:dyDescent="0.2">
      <c r="A17" s="23" t="s">
        <v>698</v>
      </c>
      <c r="B17" s="4" t="s">
        <v>633</v>
      </c>
      <c r="C17" s="4" t="s">
        <v>626</v>
      </c>
      <c r="D17" s="4">
        <v>16.2</v>
      </c>
      <c r="E17" s="4">
        <v>15</v>
      </c>
    </row>
    <row r="18" spans="1:5" x14ac:dyDescent="0.2">
      <c r="A18" s="23" t="s">
        <v>698</v>
      </c>
      <c r="B18" s="4" t="s">
        <v>633</v>
      </c>
      <c r="C18" s="4" t="s">
        <v>627</v>
      </c>
      <c r="D18" s="4">
        <v>16.3</v>
      </c>
      <c r="E18" s="4">
        <v>15</v>
      </c>
    </row>
    <row r="19" spans="1:5" x14ac:dyDescent="0.2">
      <c r="A19" s="23" t="s">
        <v>698</v>
      </c>
      <c r="B19" s="4" t="s">
        <v>633</v>
      </c>
      <c r="C19" s="4" t="s">
        <v>628</v>
      </c>
      <c r="D19" s="4">
        <v>16.100000000000001</v>
      </c>
      <c r="E19" s="4">
        <v>15</v>
      </c>
    </row>
    <row r="20" spans="1:5" x14ac:dyDescent="0.2">
      <c r="A20" s="23" t="s">
        <v>698</v>
      </c>
      <c r="B20" s="4" t="s">
        <v>633</v>
      </c>
      <c r="C20" s="4" t="s">
        <v>629</v>
      </c>
      <c r="D20" s="4">
        <v>15.5</v>
      </c>
      <c r="E20" s="4">
        <v>15</v>
      </c>
    </row>
    <row r="21" spans="1:5" x14ac:dyDescent="0.2">
      <c r="A21" s="23" t="s">
        <v>698</v>
      </c>
      <c r="B21" s="4" t="s">
        <v>633</v>
      </c>
      <c r="C21" s="4" t="s">
        <v>630</v>
      </c>
      <c r="D21" s="4">
        <v>16.2</v>
      </c>
      <c r="E21" s="4">
        <v>15</v>
      </c>
    </row>
    <row r="22" spans="1:5" x14ac:dyDescent="0.2">
      <c r="A22" s="23" t="s">
        <v>700</v>
      </c>
      <c r="B22" s="4" t="s">
        <v>634</v>
      </c>
      <c r="C22" s="4" t="s">
        <v>626</v>
      </c>
      <c r="D22" s="4">
        <v>16.3</v>
      </c>
      <c r="E22" s="4">
        <v>15</v>
      </c>
    </row>
    <row r="23" spans="1:5" x14ac:dyDescent="0.2">
      <c r="A23" s="23" t="s">
        <v>700</v>
      </c>
      <c r="B23" s="4" t="s">
        <v>634</v>
      </c>
      <c r="C23" s="4" t="s">
        <v>627</v>
      </c>
      <c r="D23" s="4">
        <v>16.2</v>
      </c>
      <c r="E23" s="4">
        <v>15</v>
      </c>
    </row>
    <row r="24" spans="1:5" x14ac:dyDescent="0.2">
      <c r="A24" s="23" t="s">
        <v>700</v>
      </c>
      <c r="B24" s="4" t="s">
        <v>634</v>
      </c>
      <c r="C24" s="4" t="s">
        <v>628</v>
      </c>
      <c r="D24" s="4">
        <v>16.899999999999999</v>
      </c>
      <c r="E24" s="4">
        <v>15</v>
      </c>
    </row>
    <row r="25" spans="1:5" x14ac:dyDescent="0.2">
      <c r="A25" s="23" t="s">
        <v>700</v>
      </c>
      <c r="B25" s="4" t="s">
        <v>634</v>
      </c>
      <c r="C25" s="4" t="s">
        <v>629</v>
      </c>
      <c r="D25" s="4">
        <v>16.7</v>
      </c>
      <c r="E25" s="4">
        <v>15</v>
      </c>
    </row>
    <row r="26" spans="1:5" x14ac:dyDescent="0.2">
      <c r="A26" s="23" t="s">
        <v>700</v>
      </c>
      <c r="B26" s="4" t="s">
        <v>634</v>
      </c>
      <c r="C26" s="4" t="s">
        <v>630</v>
      </c>
      <c r="D26" s="4">
        <v>16.399999999999999</v>
      </c>
      <c r="E26" s="4">
        <v>15</v>
      </c>
    </row>
    <row r="27" spans="1:5" x14ac:dyDescent="0.2">
      <c r="A27" s="23" t="s">
        <v>700</v>
      </c>
      <c r="B27" s="4" t="s">
        <v>635</v>
      </c>
      <c r="C27" s="4" t="s">
        <v>626</v>
      </c>
      <c r="D27" s="4">
        <v>16.2</v>
      </c>
      <c r="E27" s="4">
        <v>15</v>
      </c>
    </row>
    <row r="28" spans="1:5" x14ac:dyDescent="0.2">
      <c r="A28" s="23" t="s">
        <v>700</v>
      </c>
      <c r="B28" s="4" t="s">
        <v>635</v>
      </c>
      <c r="C28" s="4" t="s">
        <v>627</v>
      </c>
      <c r="D28" s="4">
        <v>16.399999999999999</v>
      </c>
      <c r="E28" s="4">
        <v>15</v>
      </c>
    </row>
    <row r="29" spans="1:5" x14ac:dyDescent="0.2">
      <c r="A29" s="23" t="s">
        <v>700</v>
      </c>
      <c r="B29" s="4" t="s">
        <v>635</v>
      </c>
      <c r="C29" s="4" t="s">
        <v>628</v>
      </c>
      <c r="D29" s="4">
        <v>16.7</v>
      </c>
      <c r="E29" s="4">
        <v>15</v>
      </c>
    </row>
    <row r="30" spans="1:5" x14ac:dyDescent="0.2">
      <c r="A30" s="23" t="s">
        <v>700</v>
      </c>
      <c r="B30" s="4" t="s">
        <v>635</v>
      </c>
      <c r="C30" s="4" t="s">
        <v>629</v>
      </c>
      <c r="D30" s="4">
        <v>17</v>
      </c>
      <c r="E30" s="4">
        <v>15</v>
      </c>
    </row>
    <row r="31" spans="1:5" x14ac:dyDescent="0.2">
      <c r="A31" s="23" t="s">
        <v>700</v>
      </c>
      <c r="B31" s="4" t="s">
        <v>635</v>
      </c>
      <c r="C31" s="4" t="s">
        <v>630</v>
      </c>
      <c r="D31" s="4">
        <v>16.899999999999999</v>
      </c>
      <c r="E31" s="4">
        <v>15</v>
      </c>
    </row>
    <row r="32" spans="1:5" x14ac:dyDescent="0.2">
      <c r="A32" s="24">
        <v>45266</v>
      </c>
      <c r="B32" s="4" t="s">
        <v>636</v>
      </c>
      <c r="C32" s="4" t="s">
        <v>626</v>
      </c>
      <c r="D32" s="4">
        <v>16.399999999999999</v>
      </c>
      <c r="E32" s="4">
        <v>16</v>
      </c>
    </row>
    <row r="33" spans="1:5" x14ac:dyDescent="0.2">
      <c r="A33" s="24">
        <v>45266</v>
      </c>
      <c r="B33" s="4" t="s">
        <v>636</v>
      </c>
      <c r="C33" s="4" t="s">
        <v>627</v>
      </c>
      <c r="D33" s="4">
        <v>14.4</v>
      </c>
      <c r="E33" s="4">
        <v>15</v>
      </c>
    </row>
    <row r="34" spans="1:5" x14ac:dyDescent="0.2">
      <c r="A34" s="24">
        <v>45266</v>
      </c>
      <c r="B34" s="4" t="s">
        <v>636</v>
      </c>
      <c r="C34" s="4" t="s">
        <v>628</v>
      </c>
      <c r="D34" s="4">
        <v>16.100000000000001</v>
      </c>
      <c r="E34" s="4">
        <v>15</v>
      </c>
    </row>
    <row r="35" spans="1:5" x14ac:dyDescent="0.2">
      <c r="A35" s="24">
        <v>45266</v>
      </c>
      <c r="B35" s="4" t="s">
        <v>636</v>
      </c>
      <c r="C35" s="4" t="s">
        <v>629</v>
      </c>
      <c r="D35" s="4">
        <v>16.3</v>
      </c>
      <c r="E35" s="4">
        <v>15</v>
      </c>
    </row>
    <row r="36" spans="1:5" x14ac:dyDescent="0.2">
      <c r="A36" s="24">
        <v>45266</v>
      </c>
      <c r="B36" s="4" t="s">
        <v>636</v>
      </c>
      <c r="C36" s="4" t="s">
        <v>630</v>
      </c>
      <c r="D36" s="4">
        <v>16</v>
      </c>
      <c r="E36" s="4">
        <v>15</v>
      </c>
    </row>
    <row r="37" spans="1:5" x14ac:dyDescent="0.2">
      <c r="A37" s="23" t="s">
        <v>700</v>
      </c>
      <c r="B37" s="4" t="s">
        <v>637</v>
      </c>
      <c r="C37" s="4" t="s">
        <v>626</v>
      </c>
      <c r="D37" s="4">
        <v>16.2</v>
      </c>
      <c r="E37" s="4">
        <v>15</v>
      </c>
    </row>
    <row r="38" spans="1:5" x14ac:dyDescent="0.2">
      <c r="A38" s="23" t="s">
        <v>700</v>
      </c>
      <c r="B38" s="4" t="s">
        <v>637</v>
      </c>
      <c r="C38" s="4" t="s">
        <v>627</v>
      </c>
      <c r="D38" s="4">
        <v>16.399999999999999</v>
      </c>
      <c r="E38" s="4">
        <v>15</v>
      </c>
    </row>
    <row r="39" spans="1:5" x14ac:dyDescent="0.2">
      <c r="A39" s="23" t="s">
        <v>700</v>
      </c>
      <c r="B39" s="4" t="s">
        <v>637</v>
      </c>
      <c r="C39" s="4" t="s">
        <v>628</v>
      </c>
      <c r="D39" s="4">
        <v>16.600000000000001</v>
      </c>
      <c r="E39" s="4">
        <v>15</v>
      </c>
    </row>
    <row r="40" spans="1:5" x14ac:dyDescent="0.2">
      <c r="A40" s="23" t="s">
        <v>700</v>
      </c>
      <c r="B40" s="4" t="s">
        <v>637</v>
      </c>
      <c r="C40" s="4" t="s">
        <v>629</v>
      </c>
      <c r="D40" s="4">
        <v>17.2</v>
      </c>
      <c r="E40" s="4">
        <v>15</v>
      </c>
    </row>
    <row r="41" spans="1:5" x14ac:dyDescent="0.2">
      <c r="A41" s="23" t="s">
        <v>700</v>
      </c>
      <c r="B41" s="4" t="s">
        <v>637</v>
      </c>
      <c r="C41" s="4" t="s">
        <v>630</v>
      </c>
      <c r="D41" s="4">
        <v>16.2</v>
      </c>
      <c r="E41" s="4">
        <v>15</v>
      </c>
    </row>
    <row r="42" spans="1:5" x14ac:dyDescent="0.2">
      <c r="A42" s="23" t="s">
        <v>698</v>
      </c>
      <c r="B42" s="4" t="s">
        <v>638</v>
      </c>
      <c r="C42" s="4" t="s">
        <v>626</v>
      </c>
      <c r="D42" s="4">
        <v>15.6</v>
      </c>
      <c r="E42" s="4">
        <v>15</v>
      </c>
    </row>
    <row r="43" spans="1:5" x14ac:dyDescent="0.2">
      <c r="A43" s="23" t="s">
        <v>698</v>
      </c>
      <c r="B43" s="4" t="s">
        <v>638</v>
      </c>
      <c r="C43" s="4" t="s">
        <v>627</v>
      </c>
      <c r="D43" s="4">
        <v>16.2</v>
      </c>
      <c r="E43" s="4">
        <v>15</v>
      </c>
    </row>
    <row r="44" spans="1:5" x14ac:dyDescent="0.2">
      <c r="A44" s="23" t="s">
        <v>698</v>
      </c>
      <c r="B44" s="4" t="s">
        <v>638</v>
      </c>
      <c r="C44" s="4" t="s">
        <v>628</v>
      </c>
      <c r="D44" s="4">
        <v>16</v>
      </c>
      <c r="E44" s="4">
        <v>15</v>
      </c>
    </row>
    <row r="45" spans="1:5" x14ac:dyDescent="0.2">
      <c r="A45" s="23" t="s">
        <v>698</v>
      </c>
      <c r="B45" s="4" t="s">
        <v>638</v>
      </c>
      <c r="C45" s="4" t="s">
        <v>629</v>
      </c>
      <c r="D45" s="4">
        <v>16.100000000000001</v>
      </c>
      <c r="E45" s="4">
        <v>15</v>
      </c>
    </row>
    <row r="46" spans="1:5" x14ac:dyDescent="0.2">
      <c r="A46" s="23" t="s">
        <v>698</v>
      </c>
      <c r="B46" s="4" t="s">
        <v>638</v>
      </c>
      <c r="C46" s="4" t="s">
        <v>630</v>
      </c>
      <c r="D46" s="4">
        <v>16.2</v>
      </c>
      <c r="E46" s="4">
        <v>15</v>
      </c>
    </row>
    <row r="47" spans="1:5" x14ac:dyDescent="0.2">
      <c r="A47" s="23" t="s">
        <v>700</v>
      </c>
      <c r="B47" s="4" t="s">
        <v>640</v>
      </c>
      <c r="C47" s="4" t="s">
        <v>626</v>
      </c>
      <c r="D47" s="4">
        <v>16.3</v>
      </c>
      <c r="E47" s="4">
        <v>15</v>
      </c>
    </row>
    <row r="48" spans="1:5" x14ac:dyDescent="0.2">
      <c r="A48" s="23" t="s">
        <v>700</v>
      </c>
      <c r="B48" s="4" t="s">
        <v>640</v>
      </c>
      <c r="C48" s="4" t="s">
        <v>627</v>
      </c>
      <c r="D48" s="4">
        <v>17</v>
      </c>
      <c r="E48" s="4">
        <v>15</v>
      </c>
    </row>
    <row r="49" spans="1:5" x14ac:dyDescent="0.2">
      <c r="A49" s="23" t="s">
        <v>700</v>
      </c>
      <c r="B49" s="4" t="s">
        <v>640</v>
      </c>
      <c r="C49" s="4" t="s">
        <v>628</v>
      </c>
      <c r="D49" s="4">
        <v>16.399999999999999</v>
      </c>
      <c r="E49" s="4">
        <v>15</v>
      </c>
    </row>
    <row r="50" spans="1:5" x14ac:dyDescent="0.2">
      <c r="A50" s="23" t="s">
        <v>700</v>
      </c>
      <c r="B50" s="4" t="s">
        <v>640</v>
      </c>
      <c r="C50" s="4" t="s">
        <v>629</v>
      </c>
      <c r="D50" s="4">
        <v>16.8</v>
      </c>
      <c r="E50" s="4">
        <v>15</v>
      </c>
    </row>
    <row r="51" spans="1:5" x14ac:dyDescent="0.2">
      <c r="A51" s="23" t="s">
        <v>700</v>
      </c>
      <c r="B51" s="4" t="s">
        <v>640</v>
      </c>
      <c r="C51" s="4" t="s">
        <v>630</v>
      </c>
      <c r="D51" s="4">
        <v>17.100000000000001</v>
      </c>
      <c r="E51" s="4">
        <v>15</v>
      </c>
    </row>
    <row r="52" spans="1:5" x14ac:dyDescent="0.2">
      <c r="A52" s="23" t="s">
        <v>700</v>
      </c>
      <c r="B52" s="4" t="s">
        <v>641</v>
      </c>
      <c r="C52" s="4" t="s">
        <v>626</v>
      </c>
      <c r="D52" s="4">
        <v>17.3</v>
      </c>
      <c r="E52" s="4">
        <v>15</v>
      </c>
    </row>
    <row r="53" spans="1:5" x14ac:dyDescent="0.2">
      <c r="A53" s="23" t="s">
        <v>700</v>
      </c>
      <c r="B53" s="4" t="s">
        <v>641</v>
      </c>
      <c r="C53" s="4" t="s">
        <v>627</v>
      </c>
      <c r="D53" s="4">
        <v>17.2</v>
      </c>
      <c r="E53" s="4">
        <v>15</v>
      </c>
    </row>
    <row r="54" spans="1:5" x14ac:dyDescent="0.2">
      <c r="A54" s="23" t="s">
        <v>700</v>
      </c>
      <c r="B54" s="4" t="s">
        <v>641</v>
      </c>
      <c r="C54" s="4" t="s">
        <v>628</v>
      </c>
      <c r="D54" s="4">
        <v>18.100000000000001</v>
      </c>
      <c r="E54" s="4">
        <v>15</v>
      </c>
    </row>
    <row r="55" spans="1:5" x14ac:dyDescent="0.2">
      <c r="A55" s="23" t="s">
        <v>700</v>
      </c>
      <c r="B55" s="4" t="s">
        <v>641</v>
      </c>
      <c r="C55" s="4" t="s">
        <v>629</v>
      </c>
      <c r="D55" s="4">
        <v>16.899999999999999</v>
      </c>
      <c r="E55" s="4">
        <v>15</v>
      </c>
    </row>
    <row r="56" spans="1:5" x14ac:dyDescent="0.2">
      <c r="A56" s="23" t="s">
        <v>700</v>
      </c>
      <c r="B56" s="4" t="s">
        <v>641</v>
      </c>
      <c r="C56" s="4" t="s">
        <v>630</v>
      </c>
      <c r="D56" s="4">
        <v>16.8</v>
      </c>
      <c r="E56" s="4">
        <v>15</v>
      </c>
    </row>
    <row r="57" spans="1:5" x14ac:dyDescent="0.2">
      <c r="A57" s="23" t="s">
        <v>698</v>
      </c>
      <c r="B57" s="4" t="s">
        <v>643</v>
      </c>
      <c r="C57" s="4" t="s">
        <v>626</v>
      </c>
      <c r="D57" s="4">
        <v>16.5</v>
      </c>
      <c r="E57" s="4">
        <v>15</v>
      </c>
    </row>
    <row r="58" spans="1:5" x14ac:dyDescent="0.2">
      <c r="A58" s="23" t="s">
        <v>698</v>
      </c>
      <c r="B58" s="4" t="s">
        <v>643</v>
      </c>
      <c r="C58" s="4" t="s">
        <v>627</v>
      </c>
      <c r="D58" s="4">
        <v>16.8</v>
      </c>
      <c r="E58" s="4">
        <v>15</v>
      </c>
    </row>
    <row r="59" spans="1:5" x14ac:dyDescent="0.2">
      <c r="A59" s="23" t="s">
        <v>698</v>
      </c>
      <c r="B59" s="4" t="s">
        <v>643</v>
      </c>
      <c r="C59" s="4" t="s">
        <v>628</v>
      </c>
      <c r="D59" s="4">
        <v>20.5</v>
      </c>
      <c r="E59" s="4">
        <v>15</v>
      </c>
    </row>
    <row r="60" spans="1:5" x14ac:dyDescent="0.2">
      <c r="A60" s="23" t="s">
        <v>698</v>
      </c>
      <c r="B60" s="4" t="s">
        <v>643</v>
      </c>
      <c r="C60" s="4" t="s">
        <v>629</v>
      </c>
      <c r="D60" s="4">
        <v>18.8</v>
      </c>
      <c r="E60" s="4">
        <v>15</v>
      </c>
    </row>
    <row r="61" spans="1:5" x14ac:dyDescent="0.2">
      <c r="A61" s="23" t="s">
        <v>698</v>
      </c>
      <c r="B61" s="4" t="s">
        <v>643</v>
      </c>
      <c r="C61" s="4" t="s">
        <v>630</v>
      </c>
      <c r="D61" s="4">
        <v>18.399999999999999</v>
      </c>
      <c r="E61" s="4">
        <v>15</v>
      </c>
    </row>
    <row r="62" spans="1:5" x14ac:dyDescent="0.2">
      <c r="A62" s="24">
        <v>45266</v>
      </c>
      <c r="B62" s="4" t="s">
        <v>644</v>
      </c>
      <c r="C62" s="4" t="s">
        <v>626</v>
      </c>
      <c r="D62" s="4">
        <v>15.2</v>
      </c>
      <c r="E62" s="4">
        <v>16</v>
      </c>
    </row>
    <row r="63" spans="1:5" x14ac:dyDescent="0.2">
      <c r="A63" s="24">
        <v>45266</v>
      </c>
      <c r="B63" s="4" t="s">
        <v>644</v>
      </c>
      <c r="C63" s="4" t="s">
        <v>627</v>
      </c>
      <c r="D63" s="4">
        <v>17.7</v>
      </c>
      <c r="E63" s="4">
        <v>15</v>
      </c>
    </row>
    <row r="64" spans="1:5" x14ac:dyDescent="0.2">
      <c r="A64" s="24">
        <v>45266</v>
      </c>
      <c r="B64" s="4" t="s">
        <v>644</v>
      </c>
      <c r="C64" s="4" t="s">
        <v>628</v>
      </c>
      <c r="D64" s="4">
        <v>16.8</v>
      </c>
      <c r="E64" s="4">
        <v>15</v>
      </c>
    </row>
    <row r="65" spans="1:6" x14ac:dyDescent="0.2">
      <c r="A65" s="24">
        <v>45266</v>
      </c>
      <c r="B65" s="4" t="s">
        <v>644</v>
      </c>
      <c r="C65" s="4" t="s">
        <v>629</v>
      </c>
      <c r="D65" s="4">
        <v>16.2</v>
      </c>
      <c r="E65" s="4">
        <v>15</v>
      </c>
    </row>
    <row r="66" spans="1:6" x14ac:dyDescent="0.2">
      <c r="A66" s="24">
        <v>45266</v>
      </c>
      <c r="B66" s="4" t="s">
        <v>644</v>
      </c>
      <c r="C66" s="4" t="s">
        <v>630</v>
      </c>
      <c r="D66" s="4">
        <v>16.600000000000001</v>
      </c>
      <c r="E66" s="4">
        <v>15</v>
      </c>
    </row>
    <row r="67" spans="1:6" x14ac:dyDescent="0.2">
      <c r="A67" s="23" t="s">
        <v>698</v>
      </c>
      <c r="B67" s="4" t="s">
        <v>645</v>
      </c>
      <c r="C67" s="4" t="s">
        <v>626</v>
      </c>
      <c r="D67" s="4">
        <v>16</v>
      </c>
      <c r="E67" s="4">
        <v>15</v>
      </c>
    </row>
    <row r="68" spans="1:6" x14ac:dyDescent="0.2">
      <c r="A68" s="23" t="s">
        <v>698</v>
      </c>
      <c r="B68" s="4" t="s">
        <v>645</v>
      </c>
      <c r="C68" s="4" t="s">
        <v>627</v>
      </c>
      <c r="D68" s="4">
        <v>16.399999999999999</v>
      </c>
      <c r="E68" s="4">
        <v>15</v>
      </c>
    </row>
    <row r="69" spans="1:6" x14ac:dyDescent="0.2">
      <c r="A69" s="23" t="s">
        <v>698</v>
      </c>
      <c r="B69" s="4" t="s">
        <v>645</v>
      </c>
      <c r="C69" s="4" t="s">
        <v>628</v>
      </c>
      <c r="D69" s="4">
        <v>17.5</v>
      </c>
      <c r="E69" s="4">
        <v>15</v>
      </c>
    </row>
    <row r="70" spans="1:6" x14ac:dyDescent="0.2">
      <c r="A70" s="23" t="s">
        <v>698</v>
      </c>
      <c r="B70" s="4" t="s">
        <v>645</v>
      </c>
      <c r="C70" s="4" t="s">
        <v>629</v>
      </c>
      <c r="D70" s="4">
        <v>17.399999999999999</v>
      </c>
      <c r="E70" s="4">
        <v>15</v>
      </c>
    </row>
    <row r="71" spans="1:6" x14ac:dyDescent="0.2">
      <c r="A71" s="23" t="s">
        <v>698</v>
      </c>
      <c r="B71" s="4" t="s">
        <v>645</v>
      </c>
      <c r="C71" s="4" t="s">
        <v>630</v>
      </c>
      <c r="D71" s="4">
        <v>18.5</v>
      </c>
      <c r="E71" s="4">
        <v>15</v>
      </c>
    </row>
    <row r="72" spans="1:6" x14ac:dyDescent="0.2">
      <c r="A72" s="23" t="s">
        <v>698</v>
      </c>
      <c r="B72" s="4" t="s">
        <v>646</v>
      </c>
      <c r="C72" s="4" t="s">
        <v>626</v>
      </c>
      <c r="D72" s="4">
        <v>16.3</v>
      </c>
      <c r="E72" s="4">
        <v>15</v>
      </c>
    </row>
    <row r="73" spans="1:6" x14ac:dyDescent="0.2">
      <c r="A73" s="23" t="s">
        <v>698</v>
      </c>
      <c r="B73" s="4" t="s">
        <v>646</v>
      </c>
      <c r="C73" s="4" t="s">
        <v>627</v>
      </c>
      <c r="D73" s="4">
        <v>16.600000000000001</v>
      </c>
      <c r="E73" s="4">
        <v>15</v>
      </c>
    </row>
    <row r="74" spans="1:6" x14ac:dyDescent="0.2">
      <c r="A74" s="23" t="s">
        <v>698</v>
      </c>
      <c r="B74" s="4" t="s">
        <v>646</v>
      </c>
      <c r="C74" s="4" t="s">
        <v>628</v>
      </c>
      <c r="D74" s="4">
        <v>18.600000000000001</v>
      </c>
      <c r="E74" s="4">
        <v>15</v>
      </c>
    </row>
    <row r="75" spans="1:6" x14ac:dyDescent="0.2">
      <c r="A75" s="23" t="s">
        <v>698</v>
      </c>
      <c r="B75" s="4" t="s">
        <v>646</v>
      </c>
      <c r="C75" s="4" t="s">
        <v>629</v>
      </c>
      <c r="D75" s="4">
        <v>18</v>
      </c>
      <c r="E75" s="4">
        <v>15</v>
      </c>
    </row>
    <row r="76" spans="1:6" x14ac:dyDescent="0.2">
      <c r="A76" s="23" t="s">
        <v>698</v>
      </c>
      <c r="B76" s="4" t="s">
        <v>646</v>
      </c>
      <c r="C76" s="4" t="s">
        <v>630</v>
      </c>
      <c r="D76" s="4">
        <v>17.899999999999999</v>
      </c>
      <c r="E76" s="4">
        <v>15</v>
      </c>
    </row>
    <row r="77" spans="1:6" x14ac:dyDescent="0.2">
      <c r="A77" s="24">
        <v>45266</v>
      </c>
      <c r="B77" s="4" t="s">
        <v>647</v>
      </c>
      <c r="C77" s="4" t="s">
        <v>626</v>
      </c>
      <c r="D77" s="4">
        <v>16.100000000000001</v>
      </c>
      <c r="E77" s="4">
        <v>15</v>
      </c>
      <c r="F77" s="25"/>
    </row>
    <row r="78" spans="1:6" x14ac:dyDescent="0.2">
      <c r="A78" s="24">
        <v>45266</v>
      </c>
      <c r="B78" s="4" t="s">
        <v>647</v>
      </c>
      <c r="C78" s="4" t="s">
        <v>627</v>
      </c>
      <c r="D78" s="4">
        <v>15.8</v>
      </c>
      <c r="E78" s="4">
        <v>15</v>
      </c>
    </row>
    <row r="79" spans="1:6" x14ac:dyDescent="0.2">
      <c r="A79" s="24">
        <v>45266</v>
      </c>
      <c r="B79" s="4" t="s">
        <v>647</v>
      </c>
      <c r="C79" s="4" t="s">
        <v>628</v>
      </c>
      <c r="D79" s="4">
        <v>15.2</v>
      </c>
      <c r="E79" s="4">
        <v>15</v>
      </c>
    </row>
    <row r="80" spans="1:6" x14ac:dyDescent="0.2">
      <c r="A80" s="24">
        <v>45266</v>
      </c>
      <c r="B80" s="4" t="s">
        <v>647</v>
      </c>
      <c r="C80" s="4" t="s">
        <v>629</v>
      </c>
      <c r="D80" s="4">
        <v>16.100000000000001</v>
      </c>
      <c r="E80" s="4">
        <v>15</v>
      </c>
    </row>
    <row r="81" spans="1:6" x14ac:dyDescent="0.2">
      <c r="A81" s="24">
        <v>45266</v>
      </c>
      <c r="B81" s="4" t="s">
        <v>647</v>
      </c>
      <c r="C81" s="4" t="s">
        <v>630</v>
      </c>
      <c r="D81" s="4">
        <v>16.3</v>
      </c>
      <c r="E81" s="4">
        <v>16</v>
      </c>
    </row>
    <row r="82" spans="1:6" x14ac:dyDescent="0.2">
      <c r="A82" s="24">
        <v>45266</v>
      </c>
      <c r="B82" s="4" t="s">
        <v>648</v>
      </c>
      <c r="C82" s="4" t="s">
        <v>626</v>
      </c>
      <c r="D82" s="4">
        <v>16.600000000000001</v>
      </c>
      <c r="E82" s="4">
        <v>15</v>
      </c>
      <c r="F82" s="25"/>
    </row>
    <row r="83" spans="1:6" x14ac:dyDescent="0.2">
      <c r="A83" s="24">
        <v>45266</v>
      </c>
      <c r="B83" s="4" t="s">
        <v>648</v>
      </c>
      <c r="C83" s="4" t="s">
        <v>627</v>
      </c>
      <c r="D83" s="4">
        <v>17.100000000000001</v>
      </c>
      <c r="E83" s="4">
        <v>15</v>
      </c>
    </row>
    <row r="84" spans="1:6" x14ac:dyDescent="0.2">
      <c r="A84" s="24">
        <v>45266</v>
      </c>
      <c r="B84" s="4" t="s">
        <v>648</v>
      </c>
      <c r="C84" s="4" t="s">
        <v>628</v>
      </c>
      <c r="D84" s="4">
        <v>16.399999999999999</v>
      </c>
      <c r="E84" s="4">
        <v>17</v>
      </c>
    </row>
    <row r="85" spans="1:6" x14ac:dyDescent="0.2">
      <c r="A85" s="24">
        <v>45266</v>
      </c>
      <c r="B85" s="4" t="s">
        <v>648</v>
      </c>
      <c r="C85" s="4" t="s">
        <v>629</v>
      </c>
      <c r="D85" s="4">
        <v>16.2</v>
      </c>
      <c r="E85" s="4">
        <v>16</v>
      </c>
    </row>
    <row r="86" spans="1:6" x14ac:dyDescent="0.2">
      <c r="A86" s="24">
        <v>45266</v>
      </c>
      <c r="B86" s="4" t="s">
        <v>648</v>
      </c>
      <c r="C86" s="4" t="s">
        <v>630</v>
      </c>
      <c r="D86" s="4">
        <v>15.7</v>
      </c>
      <c r="E86" s="4">
        <v>15</v>
      </c>
    </row>
    <row r="87" spans="1:6" x14ac:dyDescent="0.2">
      <c r="A87" s="24">
        <v>45266</v>
      </c>
      <c r="B87" s="4" t="s">
        <v>649</v>
      </c>
      <c r="C87" s="4" t="s">
        <v>626</v>
      </c>
      <c r="D87" s="4">
        <v>18.100000000000001</v>
      </c>
      <c r="E87" s="4">
        <v>15</v>
      </c>
    </row>
    <row r="88" spans="1:6" x14ac:dyDescent="0.2">
      <c r="A88" s="24">
        <v>45266</v>
      </c>
      <c r="B88" s="4" t="s">
        <v>649</v>
      </c>
      <c r="C88" s="4" t="s">
        <v>627</v>
      </c>
      <c r="D88" s="4">
        <v>19.7</v>
      </c>
      <c r="E88" s="4">
        <v>15</v>
      </c>
    </row>
    <row r="89" spans="1:6" x14ac:dyDescent="0.2">
      <c r="A89" s="24">
        <v>45266</v>
      </c>
      <c r="B89" s="4" t="s">
        <v>649</v>
      </c>
      <c r="C89" s="4" t="s">
        <v>628</v>
      </c>
      <c r="D89" s="4">
        <v>18.3</v>
      </c>
      <c r="E89" s="4">
        <v>15</v>
      </c>
    </row>
    <row r="90" spans="1:6" x14ac:dyDescent="0.2">
      <c r="A90" s="24">
        <v>45266</v>
      </c>
      <c r="B90" s="4" t="s">
        <v>649</v>
      </c>
      <c r="C90" s="4" t="s">
        <v>629</v>
      </c>
      <c r="D90" s="4">
        <v>17.2</v>
      </c>
      <c r="E90" s="4">
        <v>15</v>
      </c>
      <c r="F90" s="25"/>
    </row>
    <row r="91" spans="1:6" x14ac:dyDescent="0.2">
      <c r="A91" s="24">
        <v>45266</v>
      </c>
      <c r="B91" s="4" t="s">
        <v>649</v>
      </c>
      <c r="C91" s="4" t="s">
        <v>630</v>
      </c>
      <c r="D91" s="4">
        <v>17</v>
      </c>
      <c r="E91" s="4">
        <v>15</v>
      </c>
    </row>
    <row r="92" spans="1:6" x14ac:dyDescent="0.2">
      <c r="A92" s="23"/>
    </row>
    <row r="93" spans="1:6" x14ac:dyDescent="0.2">
      <c r="A93" s="23"/>
    </row>
    <row r="94" spans="1:6" x14ac:dyDescent="0.2">
      <c r="A94" s="23"/>
    </row>
    <row r="95" spans="1:6" x14ac:dyDescent="0.2">
      <c r="A95" s="23"/>
    </row>
    <row r="96" spans="1:6" x14ac:dyDescent="0.2">
      <c r="A96" s="23"/>
    </row>
    <row r="97" spans="1:1" x14ac:dyDescent="0.2">
      <c r="A97" s="23"/>
    </row>
    <row r="98" spans="1:1" x14ac:dyDescent="0.2">
      <c r="A98" s="23"/>
    </row>
    <row r="99" spans="1:1" x14ac:dyDescent="0.2">
      <c r="A99" s="23"/>
    </row>
    <row r="100" spans="1:1" x14ac:dyDescent="0.2">
      <c r="A100" s="23"/>
    </row>
    <row r="101" spans="1:1" x14ac:dyDescent="0.2">
      <c r="A101" s="23"/>
    </row>
    <row r="102" spans="1:1" x14ac:dyDescent="0.2">
      <c r="A102" s="23"/>
    </row>
    <row r="103" spans="1:1" x14ac:dyDescent="0.2">
      <c r="A103" s="23"/>
    </row>
    <row r="104" spans="1:1" x14ac:dyDescent="0.2">
      <c r="A104" s="23"/>
    </row>
    <row r="105" spans="1:1" x14ac:dyDescent="0.2">
      <c r="A105" s="23"/>
    </row>
    <row r="106" spans="1:1" x14ac:dyDescent="0.2">
      <c r="A106" s="23"/>
    </row>
    <row r="107" spans="1:1" x14ac:dyDescent="0.2">
      <c r="A107" s="23"/>
    </row>
    <row r="108" spans="1:1" x14ac:dyDescent="0.2">
      <c r="A108" s="23"/>
    </row>
    <row r="109" spans="1:1" x14ac:dyDescent="0.2">
      <c r="A109" s="23"/>
    </row>
    <row r="110" spans="1:1" x14ac:dyDescent="0.2">
      <c r="A110" s="23"/>
    </row>
    <row r="111" spans="1:1" x14ac:dyDescent="0.2">
      <c r="A111" s="23"/>
    </row>
    <row r="112" spans="1:1" x14ac:dyDescent="0.2">
      <c r="A112" s="23"/>
    </row>
    <row r="113" spans="1:1" x14ac:dyDescent="0.2">
      <c r="A113" s="23"/>
    </row>
    <row r="114" spans="1:1" x14ac:dyDescent="0.2">
      <c r="A114" s="23"/>
    </row>
    <row r="115" spans="1:1" x14ac:dyDescent="0.2">
      <c r="A115" s="23"/>
    </row>
    <row r="116" spans="1:1" x14ac:dyDescent="0.2">
      <c r="A116" s="23"/>
    </row>
    <row r="117" spans="1:1" x14ac:dyDescent="0.2">
      <c r="A117" s="23"/>
    </row>
    <row r="118" spans="1:1" x14ac:dyDescent="0.2">
      <c r="A118" s="23"/>
    </row>
    <row r="119" spans="1:1" x14ac:dyDescent="0.2">
      <c r="A119" s="23"/>
    </row>
    <row r="120" spans="1:1" x14ac:dyDescent="0.2">
      <c r="A120" s="23"/>
    </row>
    <row r="121" spans="1:1" x14ac:dyDescent="0.2">
      <c r="A121" s="23"/>
    </row>
    <row r="122" spans="1:1" x14ac:dyDescent="0.2">
      <c r="A122" s="23"/>
    </row>
    <row r="123" spans="1:1" x14ac:dyDescent="0.2">
      <c r="A123" s="23"/>
    </row>
    <row r="124" spans="1:1" x14ac:dyDescent="0.2">
      <c r="A124" s="23"/>
    </row>
    <row r="125" spans="1:1" x14ac:dyDescent="0.2">
      <c r="A125" s="23"/>
    </row>
    <row r="126" spans="1:1" x14ac:dyDescent="0.2">
      <c r="A126" s="23"/>
    </row>
    <row r="127" spans="1:1" x14ac:dyDescent="0.2">
      <c r="A127" s="23"/>
    </row>
    <row r="128" spans="1:1" x14ac:dyDescent="0.2">
      <c r="A128" s="23"/>
    </row>
    <row r="129" spans="1:1" x14ac:dyDescent="0.2">
      <c r="A129" s="23"/>
    </row>
    <row r="130" spans="1:1" x14ac:dyDescent="0.2">
      <c r="A130" s="23"/>
    </row>
    <row r="131" spans="1:1" x14ac:dyDescent="0.2">
      <c r="A131" s="23"/>
    </row>
    <row r="132" spans="1:1" x14ac:dyDescent="0.2">
      <c r="A132" s="23"/>
    </row>
    <row r="133" spans="1:1" x14ac:dyDescent="0.2">
      <c r="A133" s="23"/>
    </row>
    <row r="134" spans="1:1" x14ac:dyDescent="0.2">
      <c r="A134" s="23"/>
    </row>
    <row r="135" spans="1:1" x14ac:dyDescent="0.2">
      <c r="A135" s="23"/>
    </row>
    <row r="136" spans="1:1" x14ac:dyDescent="0.2">
      <c r="A136" s="23"/>
    </row>
    <row r="137" spans="1:1" x14ac:dyDescent="0.2">
      <c r="A137" s="23"/>
    </row>
    <row r="138" spans="1:1" x14ac:dyDescent="0.2">
      <c r="A138" s="23"/>
    </row>
    <row r="139" spans="1:1" x14ac:dyDescent="0.2">
      <c r="A139" s="23"/>
    </row>
    <row r="140" spans="1:1" x14ac:dyDescent="0.2">
      <c r="A140" s="23"/>
    </row>
    <row r="141" spans="1:1" x14ac:dyDescent="0.2">
      <c r="A141" s="23"/>
    </row>
    <row r="142" spans="1:1" x14ac:dyDescent="0.2">
      <c r="A142" s="23"/>
    </row>
    <row r="143" spans="1:1" x14ac:dyDescent="0.2">
      <c r="A143" s="23"/>
    </row>
    <row r="144" spans="1:1" x14ac:dyDescent="0.2">
      <c r="A144" s="23"/>
    </row>
    <row r="145" spans="1:1" x14ac:dyDescent="0.2">
      <c r="A145" s="23"/>
    </row>
    <row r="146" spans="1:1" x14ac:dyDescent="0.2">
      <c r="A146" s="23"/>
    </row>
    <row r="147" spans="1:1" x14ac:dyDescent="0.2">
      <c r="A147" s="23"/>
    </row>
    <row r="148" spans="1:1" x14ac:dyDescent="0.2">
      <c r="A148" s="23"/>
    </row>
    <row r="149" spans="1:1" x14ac:dyDescent="0.2">
      <c r="A149" s="23"/>
    </row>
    <row r="150" spans="1:1" x14ac:dyDescent="0.2">
      <c r="A150" s="23"/>
    </row>
    <row r="151" spans="1:1" x14ac:dyDescent="0.2">
      <c r="A151" s="23"/>
    </row>
    <row r="152" spans="1:1" x14ac:dyDescent="0.2">
      <c r="A152" s="23"/>
    </row>
    <row r="153" spans="1:1" x14ac:dyDescent="0.2">
      <c r="A153" s="23"/>
    </row>
    <row r="154" spans="1:1" x14ac:dyDescent="0.2">
      <c r="A154" s="23"/>
    </row>
    <row r="155" spans="1:1" x14ac:dyDescent="0.2">
      <c r="A155" s="23"/>
    </row>
    <row r="156" spans="1:1" x14ac:dyDescent="0.2">
      <c r="A156" s="23"/>
    </row>
    <row r="157" spans="1:1" x14ac:dyDescent="0.2">
      <c r="A157" s="23"/>
    </row>
    <row r="158" spans="1:1" x14ac:dyDescent="0.2">
      <c r="A158" s="23"/>
    </row>
    <row r="159" spans="1:1" x14ac:dyDescent="0.2">
      <c r="A159" s="23"/>
    </row>
    <row r="160" spans="1:1" x14ac:dyDescent="0.2">
      <c r="A160" s="23"/>
    </row>
    <row r="161" spans="1:1" x14ac:dyDescent="0.2">
      <c r="A161" s="23"/>
    </row>
    <row r="162" spans="1:1" x14ac:dyDescent="0.2">
      <c r="A162" s="23"/>
    </row>
    <row r="163" spans="1:1" x14ac:dyDescent="0.2">
      <c r="A163" s="23"/>
    </row>
    <row r="164" spans="1:1" x14ac:dyDescent="0.2">
      <c r="A164" s="23"/>
    </row>
    <row r="165" spans="1:1" x14ac:dyDescent="0.2">
      <c r="A165" s="23"/>
    </row>
    <row r="166" spans="1:1" x14ac:dyDescent="0.2">
      <c r="A166" s="23"/>
    </row>
    <row r="167" spans="1:1" x14ac:dyDescent="0.2">
      <c r="A167" s="23"/>
    </row>
    <row r="168" spans="1:1" x14ac:dyDescent="0.2">
      <c r="A168" s="23"/>
    </row>
    <row r="169" spans="1:1" x14ac:dyDescent="0.2">
      <c r="A169" s="23"/>
    </row>
    <row r="170" spans="1:1" x14ac:dyDescent="0.2">
      <c r="A170" s="23"/>
    </row>
    <row r="171" spans="1:1" x14ac:dyDescent="0.2">
      <c r="A171" s="23"/>
    </row>
    <row r="172" spans="1:1" x14ac:dyDescent="0.2">
      <c r="A172" s="23"/>
    </row>
    <row r="173" spans="1:1" x14ac:dyDescent="0.2">
      <c r="A173" s="23"/>
    </row>
    <row r="174" spans="1:1" x14ac:dyDescent="0.2">
      <c r="A174" s="23"/>
    </row>
    <row r="175" spans="1:1" x14ac:dyDescent="0.2">
      <c r="A175" s="23"/>
    </row>
    <row r="176" spans="1:1" x14ac:dyDescent="0.2">
      <c r="A176" s="23"/>
    </row>
    <row r="177" spans="1:1" x14ac:dyDescent="0.2">
      <c r="A177" s="23"/>
    </row>
    <row r="178" spans="1:1" x14ac:dyDescent="0.2">
      <c r="A178" s="23"/>
    </row>
    <row r="179" spans="1:1" x14ac:dyDescent="0.2">
      <c r="A179" s="23"/>
    </row>
    <row r="180" spans="1:1" x14ac:dyDescent="0.2">
      <c r="A180" s="23"/>
    </row>
    <row r="181" spans="1:1" x14ac:dyDescent="0.2">
      <c r="A181" s="23"/>
    </row>
    <row r="182" spans="1:1" x14ac:dyDescent="0.2">
      <c r="A182" s="23"/>
    </row>
    <row r="183" spans="1:1" x14ac:dyDescent="0.2">
      <c r="A183" s="23"/>
    </row>
    <row r="184" spans="1:1" x14ac:dyDescent="0.2">
      <c r="A184" s="23"/>
    </row>
    <row r="185" spans="1:1" x14ac:dyDescent="0.2">
      <c r="A185" s="23"/>
    </row>
    <row r="186" spans="1:1" x14ac:dyDescent="0.2">
      <c r="A186" s="23"/>
    </row>
    <row r="187" spans="1:1" x14ac:dyDescent="0.2">
      <c r="A187" s="23"/>
    </row>
    <row r="188" spans="1:1" x14ac:dyDescent="0.2">
      <c r="A188" s="23"/>
    </row>
    <row r="189" spans="1:1" x14ac:dyDescent="0.2">
      <c r="A189" s="23"/>
    </row>
    <row r="190" spans="1:1" x14ac:dyDescent="0.2">
      <c r="A190" s="23"/>
    </row>
    <row r="191" spans="1:1" x14ac:dyDescent="0.2">
      <c r="A191" s="23"/>
    </row>
    <row r="192" spans="1:1" x14ac:dyDescent="0.2">
      <c r="A192" s="23"/>
    </row>
    <row r="193" spans="1:1" x14ac:dyDescent="0.2">
      <c r="A193" s="23"/>
    </row>
    <row r="194" spans="1:1" x14ac:dyDescent="0.2">
      <c r="A194" s="23"/>
    </row>
    <row r="195" spans="1:1" x14ac:dyDescent="0.2">
      <c r="A195" s="23"/>
    </row>
    <row r="196" spans="1:1" x14ac:dyDescent="0.2">
      <c r="A196" s="23"/>
    </row>
    <row r="197" spans="1:1" x14ac:dyDescent="0.2">
      <c r="A197" s="23"/>
    </row>
    <row r="198" spans="1:1" x14ac:dyDescent="0.2">
      <c r="A198" s="23"/>
    </row>
    <row r="199" spans="1:1" x14ac:dyDescent="0.2">
      <c r="A199" s="23"/>
    </row>
    <row r="200" spans="1:1" x14ac:dyDescent="0.2">
      <c r="A200" s="23"/>
    </row>
    <row r="201" spans="1:1" x14ac:dyDescent="0.2">
      <c r="A201" s="23"/>
    </row>
    <row r="202" spans="1:1" x14ac:dyDescent="0.2">
      <c r="A202" s="23"/>
    </row>
    <row r="203" spans="1:1" x14ac:dyDescent="0.2">
      <c r="A203" s="23"/>
    </row>
    <row r="204" spans="1:1" x14ac:dyDescent="0.2">
      <c r="A204" s="23"/>
    </row>
    <row r="205" spans="1:1" x14ac:dyDescent="0.2">
      <c r="A205" s="23"/>
    </row>
    <row r="206" spans="1:1" x14ac:dyDescent="0.2">
      <c r="A206" s="23"/>
    </row>
    <row r="207" spans="1:1" x14ac:dyDescent="0.2">
      <c r="A207" s="23"/>
    </row>
    <row r="208" spans="1:1" x14ac:dyDescent="0.2">
      <c r="A208" s="23"/>
    </row>
    <row r="209" spans="1:1" x14ac:dyDescent="0.2">
      <c r="A209" s="23"/>
    </row>
    <row r="210" spans="1:1" x14ac:dyDescent="0.2">
      <c r="A210" s="23"/>
    </row>
    <row r="211" spans="1:1" x14ac:dyDescent="0.2">
      <c r="A211" s="23"/>
    </row>
    <row r="212" spans="1:1" x14ac:dyDescent="0.2">
      <c r="A212" s="23"/>
    </row>
    <row r="213" spans="1:1" x14ac:dyDescent="0.2">
      <c r="A213" s="23"/>
    </row>
    <row r="214" spans="1:1" x14ac:dyDescent="0.2">
      <c r="A214" s="23"/>
    </row>
    <row r="215" spans="1:1" x14ac:dyDescent="0.2">
      <c r="A215" s="23"/>
    </row>
    <row r="216" spans="1:1" x14ac:dyDescent="0.2">
      <c r="A216" s="23"/>
    </row>
    <row r="217" spans="1:1" x14ac:dyDescent="0.2">
      <c r="A217" s="23"/>
    </row>
    <row r="218" spans="1:1" x14ac:dyDescent="0.2">
      <c r="A218" s="23"/>
    </row>
    <row r="219" spans="1:1" x14ac:dyDescent="0.2">
      <c r="A219" s="23"/>
    </row>
    <row r="220" spans="1:1" x14ac:dyDescent="0.2">
      <c r="A220" s="23"/>
    </row>
    <row r="221" spans="1:1" x14ac:dyDescent="0.2">
      <c r="A221" s="23"/>
    </row>
    <row r="222" spans="1:1" x14ac:dyDescent="0.2">
      <c r="A222" s="23"/>
    </row>
    <row r="223" spans="1:1" x14ac:dyDescent="0.2">
      <c r="A223" s="23"/>
    </row>
    <row r="224" spans="1:1" x14ac:dyDescent="0.2">
      <c r="A224" s="23"/>
    </row>
    <row r="225" spans="1:1" x14ac:dyDescent="0.2">
      <c r="A225" s="23"/>
    </row>
    <row r="226" spans="1:1" x14ac:dyDescent="0.2">
      <c r="A226" s="23"/>
    </row>
    <row r="227" spans="1:1" x14ac:dyDescent="0.2">
      <c r="A227" s="23"/>
    </row>
    <row r="228" spans="1:1" x14ac:dyDescent="0.2">
      <c r="A228" s="23"/>
    </row>
    <row r="229" spans="1:1" x14ac:dyDescent="0.2">
      <c r="A229" s="23"/>
    </row>
    <row r="230" spans="1:1" x14ac:dyDescent="0.2">
      <c r="A230" s="23"/>
    </row>
    <row r="231" spans="1:1" x14ac:dyDescent="0.2">
      <c r="A231" s="23"/>
    </row>
    <row r="232" spans="1:1" x14ac:dyDescent="0.2">
      <c r="A232" s="23"/>
    </row>
    <row r="233" spans="1:1" x14ac:dyDescent="0.2">
      <c r="A233" s="23"/>
    </row>
    <row r="234" spans="1:1" x14ac:dyDescent="0.2">
      <c r="A234" s="23"/>
    </row>
    <row r="235" spans="1:1" x14ac:dyDescent="0.2">
      <c r="A235" s="23"/>
    </row>
    <row r="236" spans="1:1" x14ac:dyDescent="0.2">
      <c r="A236" s="23"/>
    </row>
    <row r="237" spans="1:1" x14ac:dyDescent="0.2">
      <c r="A237" s="23"/>
    </row>
    <row r="238" spans="1:1" x14ac:dyDescent="0.2">
      <c r="A238" s="23"/>
    </row>
    <row r="239" spans="1:1" x14ac:dyDescent="0.2">
      <c r="A239" s="23"/>
    </row>
    <row r="240" spans="1:1" x14ac:dyDescent="0.2">
      <c r="A240" s="23"/>
    </row>
    <row r="241" spans="1:1" x14ac:dyDescent="0.2">
      <c r="A241" s="23"/>
    </row>
    <row r="242" spans="1:1" x14ac:dyDescent="0.2">
      <c r="A242" s="23"/>
    </row>
    <row r="243" spans="1:1" x14ac:dyDescent="0.2">
      <c r="A243" s="23"/>
    </row>
    <row r="244" spans="1:1" x14ac:dyDescent="0.2">
      <c r="A244" s="23"/>
    </row>
    <row r="245" spans="1:1" x14ac:dyDescent="0.2">
      <c r="A245" s="23"/>
    </row>
    <row r="246" spans="1:1" x14ac:dyDescent="0.2">
      <c r="A246" s="23"/>
    </row>
    <row r="247" spans="1:1" x14ac:dyDescent="0.2">
      <c r="A247" s="23"/>
    </row>
    <row r="248" spans="1:1" x14ac:dyDescent="0.2">
      <c r="A248" s="23"/>
    </row>
    <row r="249" spans="1:1" x14ac:dyDescent="0.2">
      <c r="A249" s="23"/>
    </row>
    <row r="250" spans="1:1" x14ac:dyDescent="0.2">
      <c r="A250" s="23"/>
    </row>
    <row r="251" spans="1:1" x14ac:dyDescent="0.2">
      <c r="A251" s="23"/>
    </row>
    <row r="252" spans="1:1" x14ac:dyDescent="0.2">
      <c r="A252" s="23"/>
    </row>
    <row r="253" spans="1:1" x14ac:dyDescent="0.2">
      <c r="A253" s="23"/>
    </row>
    <row r="254" spans="1:1" x14ac:dyDescent="0.2">
      <c r="A254" s="23"/>
    </row>
    <row r="255" spans="1:1" x14ac:dyDescent="0.2">
      <c r="A255" s="23"/>
    </row>
    <row r="256" spans="1:1" x14ac:dyDescent="0.2">
      <c r="A256" s="23"/>
    </row>
    <row r="257" spans="1:1" x14ac:dyDescent="0.2">
      <c r="A257" s="23"/>
    </row>
    <row r="258" spans="1:1" x14ac:dyDescent="0.2">
      <c r="A258" s="23"/>
    </row>
    <row r="259" spans="1:1" x14ac:dyDescent="0.2">
      <c r="A259" s="23"/>
    </row>
    <row r="260" spans="1:1" x14ac:dyDescent="0.2">
      <c r="A260" s="23"/>
    </row>
    <row r="261" spans="1:1" x14ac:dyDescent="0.2">
      <c r="A261" s="23"/>
    </row>
    <row r="262" spans="1:1" x14ac:dyDescent="0.2">
      <c r="A262" s="23"/>
    </row>
    <row r="263" spans="1:1" x14ac:dyDescent="0.2">
      <c r="A263" s="23"/>
    </row>
    <row r="264" spans="1:1" x14ac:dyDescent="0.2">
      <c r="A264" s="23"/>
    </row>
    <row r="265" spans="1:1" x14ac:dyDescent="0.2">
      <c r="A265" s="23"/>
    </row>
    <row r="266" spans="1:1" x14ac:dyDescent="0.2">
      <c r="A266" s="23"/>
    </row>
    <row r="267" spans="1:1" x14ac:dyDescent="0.2">
      <c r="A267" s="23"/>
    </row>
    <row r="268" spans="1:1" x14ac:dyDescent="0.2">
      <c r="A268" s="23"/>
    </row>
    <row r="269" spans="1:1" x14ac:dyDescent="0.2">
      <c r="A269" s="23"/>
    </row>
    <row r="270" spans="1:1" x14ac:dyDescent="0.2">
      <c r="A270" s="23"/>
    </row>
    <row r="271" spans="1:1" x14ac:dyDescent="0.2">
      <c r="A271" s="23"/>
    </row>
    <row r="272" spans="1:1" x14ac:dyDescent="0.2">
      <c r="A272" s="23"/>
    </row>
    <row r="273" spans="1:1" x14ac:dyDescent="0.2">
      <c r="A273" s="23"/>
    </row>
    <row r="274" spans="1:1" x14ac:dyDescent="0.2">
      <c r="A274" s="23"/>
    </row>
    <row r="275" spans="1:1" x14ac:dyDescent="0.2">
      <c r="A275" s="23"/>
    </row>
    <row r="276" spans="1:1" x14ac:dyDescent="0.2">
      <c r="A276" s="23"/>
    </row>
    <row r="277" spans="1:1" x14ac:dyDescent="0.2">
      <c r="A277" s="23"/>
    </row>
    <row r="278" spans="1:1" x14ac:dyDescent="0.2">
      <c r="A278" s="23"/>
    </row>
    <row r="279" spans="1:1" x14ac:dyDescent="0.2">
      <c r="A279" s="23"/>
    </row>
    <row r="280" spans="1:1" x14ac:dyDescent="0.2">
      <c r="A280" s="23"/>
    </row>
    <row r="281" spans="1:1" x14ac:dyDescent="0.2">
      <c r="A281" s="23"/>
    </row>
    <row r="282" spans="1:1" x14ac:dyDescent="0.2">
      <c r="A282" s="23"/>
    </row>
    <row r="283" spans="1:1" x14ac:dyDescent="0.2">
      <c r="A283" s="23"/>
    </row>
    <row r="284" spans="1:1" x14ac:dyDescent="0.2">
      <c r="A284" s="23"/>
    </row>
    <row r="285" spans="1:1" x14ac:dyDescent="0.2">
      <c r="A285" s="23"/>
    </row>
    <row r="286" spans="1:1" x14ac:dyDescent="0.2">
      <c r="A286" s="23"/>
    </row>
    <row r="287" spans="1:1" x14ac:dyDescent="0.2">
      <c r="A287" s="23"/>
    </row>
    <row r="288" spans="1:1" x14ac:dyDescent="0.2">
      <c r="A288" s="23"/>
    </row>
    <row r="289" spans="1:1" x14ac:dyDescent="0.2">
      <c r="A289" s="23"/>
    </row>
    <row r="290" spans="1:1" x14ac:dyDescent="0.2">
      <c r="A290" s="23"/>
    </row>
    <row r="291" spans="1:1" x14ac:dyDescent="0.2">
      <c r="A291" s="23"/>
    </row>
    <row r="292" spans="1:1" x14ac:dyDescent="0.2">
      <c r="A292" s="23"/>
    </row>
    <row r="293" spans="1:1" x14ac:dyDescent="0.2">
      <c r="A293" s="23"/>
    </row>
    <row r="294" spans="1:1" x14ac:dyDescent="0.2">
      <c r="A294" s="23"/>
    </row>
    <row r="295" spans="1:1" x14ac:dyDescent="0.2">
      <c r="A295" s="23"/>
    </row>
    <row r="296" spans="1:1" x14ac:dyDescent="0.2">
      <c r="A296" s="23"/>
    </row>
    <row r="297" spans="1:1" x14ac:dyDescent="0.2">
      <c r="A297" s="23"/>
    </row>
    <row r="298" spans="1:1" x14ac:dyDescent="0.2">
      <c r="A298" s="23"/>
    </row>
    <row r="299" spans="1:1" x14ac:dyDescent="0.2">
      <c r="A299" s="23"/>
    </row>
    <row r="300" spans="1:1" x14ac:dyDescent="0.2">
      <c r="A300" s="23"/>
    </row>
    <row r="301" spans="1:1" x14ac:dyDescent="0.2">
      <c r="A301" s="23"/>
    </row>
    <row r="302" spans="1:1" x14ac:dyDescent="0.2">
      <c r="A302" s="23"/>
    </row>
    <row r="303" spans="1:1" x14ac:dyDescent="0.2">
      <c r="A303" s="23"/>
    </row>
    <row r="304" spans="1:1" x14ac:dyDescent="0.2">
      <c r="A304" s="23"/>
    </row>
    <row r="305" spans="1:1" x14ac:dyDescent="0.2">
      <c r="A305" s="23"/>
    </row>
    <row r="306" spans="1:1" x14ac:dyDescent="0.2">
      <c r="A306" s="23"/>
    </row>
    <row r="307" spans="1:1" x14ac:dyDescent="0.2">
      <c r="A307" s="23"/>
    </row>
    <row r="308" spans="1:1" x14ac:dyDescent="0.2">
      <c r="A308" s="23"/>
    </row>
    <row r="309" spans="1:1" x14ac:dyDescent="0.2">
      <c r="A309" s="23"/>
    </row>
    <row r="310" spans="1:1" x14ac:dyDescent="0.2">
      <c r="A310" s="23"/>
    </row>
    <row r="311" spans="1:1" x14ac:dyDescent="0.2">
      <c r="A311" s="23"/>
    </row>
    <row r="312" spans="1:1" x14ac:dyDescent="0.2">
      <c r="A312" s="23"/>
    </row>
    <row r="313" spans="1:1" x14ac:dyDescent="0.2">
      <c r="A313" s="23"/>
    </row>
    <row r="314" spans="1:1" x14ac:dyDescent="0.2">
      <c r="A314" s="23"/>
    </row>
    <row r="315" spans="1:1" x14ac:dyDescent="0.2">
      <c r="A315" s="23"/>
    </row>
    <row r="316" spans="1:1" x14ac:dyDescent="0.2">
      <c r="A316" s="23"/>
    </row>
    <row r="317" spans="1:1" x14ac:dyDescent="0.2">
      <c r="A317" s="23"/>
    </row>
    <row r="318" spans="1:1" x14ac:dyDescent="0.2">
      <c r="A318" s="23"/>
    </row>
    <row r="319" spans="1:1" x14ac:dyDescent="0.2">
      <c r="A319" s="23"/>
    </row>
    <row r="320" spans="1:1" x14ac:dyDescent="0.2">
      <c r="A320" s="23"/>
    </row>
    <row r="321" spans="1:1" x14ac:dyDescent="0.2">
      <c r="A321" s="23"/>
    </row>
    <row r="322" spans="1:1" x14ac:dyDescent="0.2">
      <c r="A322" s="23"/>
    </row>
    <row r="323" spans="1:1" x14ac:dyDescent="0.2">
      <c r="A323" s="23"/>
    </row>
    <row r="324" spans="1:1" x14ac:dyDescent="0.2">
      <c r="A324" s="23"/>
    </row>
    <row r="325" spans="1:1" x14ac:dyDescent="0.2">
      <c r="A325" s="23"/>
    </row>
    <row r="326" spans="1:1" x14ac:dyDescent="0.2">
      <c r="A326" s="23"/>
    </row>
    <row r="327" spans="1:1" x14ac:dyDescent="0.2">
      <c r="A327" s="23"/>
    </row>
    <row r="328" spans="1:1" x14ac:dyDescent="0.2">
      <c r="A328" s="23"/>
    </row>
    <row r="329" spans="1:1" x14ac:dyDescent="0.2">
      <c r="A329" s="23"/>
    </row>
    <row r="330" spans="1:1" x14ac:dyDescent="0.2">
      <c r="A330" s="23"/>
    </row>
    <row r="331" spans="1:1" x14ac:dyDescent="0.2">
      <c r="A331" s="23"/>
    </row>
    <row r="332" spans="1:1" x14ac:dyDescent="0.2">
      <c r="A332" s="23"/>
    </row>
    <row r="333" spans="1:1" x14ac:dyDescent="0.2">
      <c r="A333" s="23"/>
    </row>
    <row r="334" spans="1:1" x14ac:dyDescent="0.2">
      <c r="A334" s="23"/>
    </row>
    <row r="335" spans="1:1" x14ac:dyDescent="0.2">
      <c r="A335" s="23"/>
    </row>
    <row r="336" spans="1:1" x14ac:dyDescent="0.2">
      <c r="A336" s="23"/>
    </row>
    <row r="337" spans="1:1" x14ac:dyDescent="0.2">
      <c r="A337" s="23"/>
    </row>
    <row r="338" spans="1:1" x14ac:dyDescent="0.2">
      <c r="A338" s="23"/>
    </row>
    <row r="339" spans="1:1" x14ac:dyDescent="0.2">
      <c r="A339" s="23"/>
    </row>
    <row r="340" spans="1:1" x14ac:dyDescent="0.2">
      <c r="A340" s="23"/>
    </row>
    <row r="341" spans="1:1" x14ac:dyDescent="0.2">
      <c r="A341" s="23"/>
    </row>
    <row r="342" spans="1:1" x14ac:dyDescent="0.2">
      <c r="A342" s="23"/>
    </row>
    <row r="343" spans="1:1" x14ac:dyDescent="0.2">
      <c r="A343" s="23"/>
    </row>
    <row r="344" spans="1:1" x14ac:dyDescent="0.2">
      <c r="A344" s="23"/>
    </row>
    <row r="345" spans="1:1" x14ac:dyDescent="0.2">
      <c r="A345" s="23"/>
    </row>
    <row r="346" spans="1:1" x14ac:dyDescent="0.2">
      <c r="A346" s="23"/>
    </row>
    <row r="347" spans="1:1" x14ac:dyDescent="0.2">
      <c r="A347" s="23"/>
    </row>
    <row r="348" spans="1:1" x14ac:dyDescent="0.2">
      <c r="A348" s="23"/>
    </row>
    <row r="349" spans="1:1" x14ac:dyDescent="0.2">
      <c r="A349" s="23"/>
    </row>
    <row r="350" spans="1:1" x14ac:dyDescent="0.2">
      <c r="A350" s="23"/>
    </row>
    <row r="351" spans="1:1" x14ac:dyDescent="0.2">
      <c r="A351" s="23"/>
    </row>
    <row r="352" spans="1:1" x14ac:dyDescent="0.2">
      <c r="A352" s="23"/>
    </row>
    <row r="353" spans="1:1" x14ac:dyDescent="0.2">
      <c r="A353" s="23"/>
    </row>
    <row r="354" spans="1:1" x14ac:dyDescent="0.2">
      <c r="A354" s="23"/>
    </row>
    <row r="355" spans="1:1" x14ac:dyDescent="0.2">
      <c r="A355" s="23"/>
    </row>
    <row r="356" spans="1:1" x14ac:dyDescent="0.2">
      <c r="A356" s="23"/>
    </row>
    <row r="357" spans="1:1" x14ac:dyDescent="0.2">
      <c r="A357" s="23"/>
    </row>
    <row r="358" spans="1:1" x14ac:dyDescent="0.2">
      <c r="A358" s="23"/>
    </row>
    <row r="359" spans="1:1" x14ac:dyDescent="0.2">
      <c r="A359" s="23"/>
    </row>
    <row r="360" spans="1:1" x14ac:dyDescent="0.2">
      <c r="A360" s="23"/>
    </row>
    <row r="361" spans="1:1" x14ac:dyDescent="0.2">
      <c r="A361" s="23"/>
    </row>
    <row r="362" spans="1:1" x14ac:dyDescent="0.2">
      <c r="A362" s="23"/>
    </row>
    <row r="363" spans="1:1" x14ac:dyDescent="0.2">
      <c r="A363" s="23"/>
    </row>
    <row r="364" spans="1:1" x14ac:dyDescent="0.2">
      <c r="A364" s="23"/>
    </row>
    <row r="365" spans="1:1" x14ac:dyDescent="0.2">
      <c r="A365" s="23"/>
    </row>
    <row r="366" spans="1:1" x14ac:dyDescent="0.2">
      <c r="A366" s="23"/>
    </row>
    <row r="367" spans="1:1" x14ac:dyDescent="0.2">
      <c r="A367" s="23"/>
    </row>
    <row r="368" spans="1:1" x14ac:dyDescent="0.2">
      <c r="A368" s="23"/>
    </row>
    <row r="369" spans="1:1" x14ac:dyDescent="0.2">
      <c r="A369" s="23"/>
    </row>
    <row r="370" spans="1:1" x14ac:dyDescent="0.2">
      <c r="A370" s="23"/>
    </row>
    <row r="371" spans="1:1" x14ac:dyDescent="0.2">
      <c r="A371" s="23"/>
    </row>
    <row r="372" spans="1:1" x14ac:dyDescent="0.2">
      <c r="A372" s="23"/>
    </row>
    <row r="373" spans="1:1" x14ac:dyDescent="0.2">
      <c r="A373" s="23"/>
    </row>
    <row r="374" spans="1:1" x14ac:dyDescent="0.2">
      <c r="A374" s="23"/>
    </row>
    <row r="375" spans="1:1" x14ac:dyDescent="0.2">
      <c r="A375" s="23"/>
    </row>
    <row r="376" spans="1:1" x14ac:dyDescent="0.2">
      <c r="A376" s="23"/>
    </row>
    <row r="377" spans="1:1" x14ac:dyDescent="0.2">
      <c r="A377" s="23"/>
    </row>
    <row r="378" spans="1:1" x14ac:dyDescent="0.2">
      <c r="A378" s="23"/>
    </row>
    <row r="379" spans="1:1" x14ac:dyDescent="0.2">
      <c r="A379" s="23"/>
    </row>
    <row r="380" spans="1:1" x14ac:dyDescent="0.2">
      <c r="A380" s="23"/>
    </row>
    <row r="381" spans="1:1" x14ac:dyDescent="0.2">
      <c r="A381" s="23"/>
    </row>
    <row r="382" spans="1:1" x14ac:dyDescent="0.2">
      <c r="A382" s="23"/>
    </row>
    <row r="383" spans="1:1" x14ac:dyDescent="0.2">
      <c r="A383" s="23"/>
    </row>
    <row r="384" spans="1:1" x14ac:dyDescent="0.2">
      <c r="A384" s="23"/>
    </row>
    <row r="385" spans="1:1" x14ac:dyDescent="0.2">
      <c r="A385" s="23"/>
    </row>
    <row r="386" spans="1:1" x14ac:dyDescent="0.2">
      <c r="A386" s="23"/>
    </row>
    <row r="387" spans="1:1" x14ac:dyDescent="0.2">
      <c r="A387" s="23"/>
    </row>
    <row r="388" spans="1:1" x14ac:dyDescent="0.2">
      <c r="A388" s="23"/>
    </row>
    <row r="389" spans="1:1" x14ac:dyDescent="0.2">
      <c r="A389" s="23"/>
    </row>
    <row r="390" spans="1:1" x14ac:dyDescent="0.2">
      <c r="A390" s="23"/>
    </row>
    <row r="391" spans="1:1" x14ac:dyDescent="0.2">
      <c r="A391" s="23"/>
    </row>
    <row r="392" spans="1:1" x14ac:dyDescent="0.2">
      <c r="A392" s="23"/>
    </row>
    <row r="393" spans="1:1" x14ac:dyDescent="0.2">
      <c r="A393" s="23"/>
    </row>
    <row r="394" spans="1:1" x14ac:dyDescent="0.2">
      <c r="A394" s="23"/>
    </row>
    <row r="395" spans="1:1" x14ac:dyDescent="0.2">
      <c r="A395" s="23"/>
    </row>
    <row r="396" spans="1:1" x14ac:dyDescent="0.2">
      <c r="A396" s="23"/>
    </row>
    <row r="397" spans="1:1" x14ac:dyDescent="0.2">
      <c r="A397" s="23"/>
    </row>
    <row r="398" spans="1:1" x14ac:dyDescent="0.2">
      <c r="A398" s="23"/>
    </row>
    <row r="399" spans="1:1" x14ac:dyDescent="0.2">
      <c r="A399" s="23"/>
    </row>
    <row r="400" spans="1:1" x14ac:dyDescent="0.2">
      <c r="A400" s="23"/>
    </row>
    <row r="401" spans="1:1" x14ac:dyDescent="0.2">
      <c r="A401" s="23"/>
    </row>
    <row r="402" spans="1:1" x14ac:dyDescent="0.2">
      <c r="A402" s="23"/>
    </row>
    <row r="403" spans="1:1" x14ac:dyDescent="0.2">
      <c r="A403" s="23"/>
    </row>
    <row r="404" spans="1:1" x14ac:dyDescent="0.2">
      <c r="A404" s="23"/>
    </row>
    <row r="405" spans="1:1" x14ac:dyDescent="0.2">
      <c r="A405" s="23"/>
    </row>
    <row r="406" spans="1:1" x14ac:dyDescent="0.2">
      <c r="A406" s="23"/>
    </row>
    <row r="407" spans="1:1" x14ac:dyDescent="0.2">
      <c r="A407" s="23"/>
    </row>
    <row r="408" spans="1:1" x14ac:dyDescent="0.2">
      <c r="A408" s="23"/>
    </row>
    <row r="409" spans="1:1" x14ac:dyDescent="0.2">
      <c r="A409" s="23"/>
    </row>
    <row r="410" spans="1:1" x14ac:dyDescent="0.2">
      <c r="A410" s="23"/>
    </row>
    <row r="411" spans="1:1" x14ac:dyDescent="0.2">
      <c r="A411" s="23"/>
    </row>
    <row r="412" spans="1:1" x14ac:dyDescent="0.2">
      <c r="A412" s="23"/>
    </row>
    <row r="413" spans="1:1" x14ac:dyDescent="0.2">
      <c r="A413" s="23"/>
    </row>
    <row r="414" spans="1:1" x14ac:dyDescent="0.2">
      <c r="A414" s="23"/>
    </row>
    <row r="415" spans="1:1" x14ac:dyDescent="0.2">
      <c r="A415" s="23"/>
    </row>
    <row r="416" spans="1:1" x14ac:dyDescent="0.2">
      <c r="A416" s="23"/>
    </row>
    <row r="417" spans="1:1" x14ac:dyDescent="0.2">
      <c r="A417" s="23"/>
    </row>
    <row r="418" spans="1:1" x14ac:dyDescent="0.2">
      <c r="A418" s="23"/>
    </row>
    <row r="419" spans="1:1" x14ac:dyDescent="0.2">
      <c r="A419" s="23"/>
    </row>
    <row r="420" spans="1:1" x14ac:dyDescent="0.2">
      <c r="A420" s="23"/>
    </row>
    <row r="421" spans="1:1" x14ac:dyDescent="0.2">
      <c r="A421" s="23"/>
    </row>
    <row r="422" spans="1:1" x14ac:dyDescent="0.2">
      <c r="A422" s="23"/>
    </row>
    <row r="423" spans="1:1" x14ac:dyDescent="0.2">
      <c r="A423" s="23"/>
    </row>
    <row r="424" spans="1:1" x14ac:dyDescent="0.2">
      <c r="A424" s="23"/>
    </row>
    <row r="425" spans="1:1" x14ac:dyDescent="0.2">
      <c r="A425" s="23"/>
    </row>
    <row r="426" spans="1:1" x14ac:dyDescent="0.2">
      <c r="A426" s="23"/>
    </row>
    <row r="427" spans="1:1" x14ac:dyDescent="0.2">
      <c r="A427" s="23"/>
    </row>
    <row r="428" spans="1:1" x14ac:dyDescent="0.2">
      <c r="A428" s="23"/>
    </row>
    <row r="429" spans="1:1" x14ac:dyDescent="0.2">
      <c r="A429" s="23"/>
    </row>
    <row r="430" spans="1:1" x14ac:dyDescent="0.2">
      <c r="A430" s="23"/>
    </row>
    <row r="431" spans="1:1" x14ac:dyDescent="0.2">
      <c r="A431" s="23"/>
    </row>
    <row r="432" spans="1:1" x14ac:dyDescent="0.2">
      <c r="A432" s="23"/>
    </row>
    <row r="433" spans="1:1" x14ac:dyDescent="0.2">
      <c r="A433" s="23"/>
    </row>
    <row r="434" spans="1:1" x14ac:dyDescent="0.2">
      <c r="A434" s="23"/>
    </row>
    <row r="435" spans="1:1" x14ac:dyDescent="0.2">
      <c r="A435" s="23"/>
    </row>
    <row r="436" spans="1:1" x14ac:dyDescent="0.2">
      <c r="A436" s="23"/>
    </row>
    <row r="437" spans="1:1" x14ac:dyDescent="0.2">
      <c r="A437" s="23"/>
    </row>
    <row r="438" spans="1:1" x14ac:dyDescent="0.2">
      <c r="A438" s="23"/>
    </row>
    <row r="439" spans="1:1" x14ac:dyDescent="0.2">
      <c r="A439" s="23"/>
    </row>
    <row r="440" spans="1:1" x14ac:dyDescent="0.2">
      <c r="A440" s="23"/>
    </row>
    <row r="441" spans="1:1" x14ac:dyDescent="0.2">
      <c r="A441" s="23"/>
    </row>
    <row r="442" spans="1:1" x14ac:dyDescent="0.2">
      <c r="A442" s="23"/>
    </row>
    <row r="443" spans="1:1" x14ac:dyDescent="0.2">
      <c r="A443" s="23"/>
    </row>
    <row r="444" spans="1:1" x14ac:dyDescent="0.2">
      <c r="A444" s="23"/>
    </row>
    <row r="445" spans="1:1" x14ac:dyDescent="0.2">
      <c r="A445" s="23"/>
    </row>
    <row r="446" spans="1:1" x14ac:dyDescent="0.2">
      <c r="A446" s="23"/>
    </row>
    <row r="447" spans="1:1" x14ac:dyDescent="0.2">
      <c r="A447" s="23"/>
    </row>
    <row r="448" spans="1:1" x14ac:dyDescent="0.2">
      <c r="A448" s="23"/>
    </row>
    <row r="449" spans="1:1" x14ac:dyDescent="0.2">
      <c r="A449" s="23"/>
    </row>
    <row r="450" spans="1:1" x14ac:dyDescent="0.2">
      <c r="A450" s="23"/>
    </row>
    <row r="451" spans="1:1" x14ac:dyDescent="0.2">
      <c r="A451" s="23"/>
    </row>
    <row r="452" spans="1:1" x14ac:dyDescent="0.2">
      <c r="A452" s="23"/>
    </row>
    <row r="453" spans="1:1" x14ac:dyDescent="0.2">
      <c r="A453" s="23"/>
    </row>
    <row r="454" spans="1:1" x14ac:dyDescent="0.2">
      <c r="A454" s="23"/>
    </row>
    <row r="455" spans="1:1" x14ac:dyDescent="0.2">
      <c r="A455" s="23"/>
    </row>
    <row r="456" spans="1:1" x14ac:dyDescent="0.2">
      <c r="A456" s="23"/>
    </row>
    <row r="457" spans="1:1" x14ac:dyDescent="0.2">
      <c r="A457" s="23"/>
    </row>
    <row r="458" spans="1:1" x14ac:dyDescent="0.2">
      <c r="A458" s="23"/>
    </row>
    <row r="459" spans="1:1" x14ac:dyDescent="0.2">
      <c r="A459" s="23"/>
    </row>
    <row r="460" spans="1:1" x14ac:dyDescent="0.2">
      <c r="A460" s="23"/>
    </row>
    <row r="461" spans="1:1" x14ac:dyDescent="0.2">
      <c r="A461" s="23"/>
    </row>
    <row r="462" spans="1:1" x14ac:dyDescent="0.2">
      <c r="A462" s="23"/>
    </row>
    <row r="463" spans="1:1" x14ac:dyDescent="0.2">
      <c r="A463" s="23"/>
    </row>
    <row r="464" spans="1:1" x14ac:dyDescent="0.2">
      <c r="A464" s="23"/>
    </row>
    <row r="465" spans="1:1" x14ac:dyDescent="0.2">
      <c r="A465" s="23"/>
    </row>
    <row r="466" spans="1:1" x14ac:dyDescent="0.2">
      <c r="A466" s="23"/>
    </row>
    <row r="467" spans="1:1" x14ac:dyDescent="0.2">
      <c r="A467" s="23"/>
    </row>
    <row r="468" spans="1:1" x14ac:dyDescent="0.2">
      <c r="A468" s="23"/>
    </row>
    <row r="469" spans="1:1" x14ac:dyDescent="0.2">
      <c r="A469" s="23"/>
    </row>
    <row r="470" spans="1:1" x14ac:dyDescent="0.2">
      <c r="A470" s="23"/>
    </row>
    <row r="471" spans="1:1" x14ac:dyDescent="0.2">
      <c r="A471" s="23"/>
    </row>
    <row r="472" spans="1:1" x14ac:dyDescent="0.2">
      <c r="A472" s="23"/>
    </row>
    <row r="473" spans="1:1" x14ac:dyDescent="0.2">
      <c r="A473" s="23"/>
    </row>
    <row r="474" spans="1:1" x14ac:dyDescent="0.2">
      <c r="A474" s="23"/>
    </row>
    <row r="475" spans="1:1" x14ac:dyDescent="0.2">
      <c r="A475" s="23"/>
    </row>
    <row r="476" spans="1:1" x14ac:dyDescent="0.2">
      <c r="A476" s="23"/>
    </row>
    <row r="477" spans="1:1" x14ac:dyDescent="0.2">
      <c r="A477" s="23"/>
    </row>
    <row r="478" spans="1:1" x14ac:dyDescent="0.2">
      <c r="A478" s="23"/>
    </row>
    <row r="479" spans="1:1" x14ac:dyDescent="0.2">
      <c r="A479" s="23"/>
    </row>
    <row r="480" spans="1:1" x14ac:dyDescent="0.2">
      <c r="A480" s="23"/>
    </row>
    <row r="481" spans="1:1" x14ac:dyDescent="0.2">
      <c r="A481" s="23"/>
    </row>
    <row r="482" spans="1:1" x14ac:dyDescent="0.2">
      <c r="A482" s="23"/>
    </row>
    <row r="483" spans="1:1" x14ac:dyDescent="0.2">
      <c r="A483" s="23"/>
    </row>
    <row r="484" spans="1:1" x14ac:dyDescent="0.2">
      <c r="A484" s="23"/>
    </row>
    <row r="485" spans="1:1" x14ac:dyDescent="0.2">
      <c r="A485" s="23"/>
    </row>
    <row r="486" spans="1:1" x14ac:dyDescent="0.2">
      <c r="A486" s="23"/>
    </row>
    <row r="487" spans="1:1" x14ac:dyDescent="0.2">
      <c r="A487" s="23"/>
    </row>
    <row r="488" spans="1:1" x14ac:dyDescent="0.2">
      <c r="A488" s="23"/>
    </row>
    <row r="489" spans="1:1" x14ac:dyDescent="0.2">
      <c r="A489" s="23"/>
    </row>
    <row r="490" spans="1:1" x14ac:dyDescent="0.2">
      <c r="A490" s="23"/>
    </row>
    <row r="491" spans="1:1" x14ac:dyDescent="0.2">
      <c r="A491" s="23"/>
    </row>
    <row r="492" spans="1:1" x14ac:dyDescent="0.2">
      <c r="A492" s="23"/>
    </row>
    <row r="493" spans="1:1" x14ac:dyDescent="0.2">
      <c r="A493" s="23"/>
    </row>
    <row r="494" spans="1:1" x14ac:dyDescent="0.2">
      <c r="A494" s="23"/>
    </row>
    <row r="495" spans="1:1" x14ac:dyDescent="0.2">
      <c r="A495" s="23"/>
    </row>
    <row r="496" spans="1:1" x14ac:dyDescent="0.2">
      <c r="A496" s="23"/>
    </row>
    <row r="497" spans="1:1" x14ac:dyDescent="0.2">
      <c r="A497" s="23"/>
    </row>
    <row r="498" spans="1:1" x14ac:dyDescent="0.2">
      <c r="A498" s="23"/>
    </row>
    <row r="499" spans="1:1" x14ac:dyDescent="0.2">
      <c r="A499" s="23"/>
    </row>
    <row r="500" spans="1:1" x14ac:dyDescent="0.2">
      <c r="A500" s="23"/>
    </row>
    <row r="501" spans="1:1" x14ac:dyDescent="0.2">
      <c r="A501" s="23"/>
    </row>
    <row r="502" spans="1:1" x14ac:dyDescent="0.2">
      <c r="A502" s="23"/>
    </row>
    <row r="503" spans="1:1" x14ac:dyDescent="0.2">
      <c r="A503" s="23"/>
    </row>
    <row r="504" spans="1:1" x14ac:dyDescent="0.2">
      <c r="A504" s="23"/>
    </row>
    <row r="505" spans="1:1" x14ac:dyDescent="0.2">
      <c r="A505" s="23"/>
    </row>
    <row r="506" spans="1:1" x14ac:dyDescent="0.2">
      <c r="A506" s="23"/>
    </row>
    <row r="507" spans="1:1" x14ac:dyDescent="0.2">
      <c r="A507" s="23"/>
    </row>
    <row r="508" spans="1:1" x14ac:dyDescent="0.2">
      <c r="A508" s="23"/>
    </row>
    <row r="509" spans="1:1" x14ac:dyDescent="0.2">
      <c r="A509" s="23"/>
    </row>
    <row r="510" spans="1:1" x14ac:dyDescent="0.2">
      <c r="A510" s="23"/>
    </row>
    <row r="511" spans="1:1" x14ac:dyDescent="0.2">
      <c r="A511" s="23"/>
    </row>
    <row r="512" spans="1:1" x14ac:dyDescent="0.2">
      <c r="A512" s="23"/>
    </row>
    <row r="513" spans="1:1" x14ac:dyDescent="0.2">
      <c r="A513" s="23"/>
    </row>
    <row r="514" spans="1:1" x14ac:dyDescent="0.2">
      <c r="A514" s="23"/>
    </row>
    <row r="515" spans="1:1" x14ac:dyDescent="0.2">
      <c r="A515" s="23"/>
    </row>
    <row r="516" spans="1:1" x14ac:dyDescent="0.2">
      <c r="A516" s="23"/>
    </row>
    <row r="517" spans="1:1" x14ac:dyDescent="0.2">
      <c r="A517" s="23"/>
    </row>
    <row r="518" spans="1:1" x14ac:dyDescent="0.2">
      <c r="A518" s="23"/>
    </row>
    <row r="519" spans="1:1" x14ac:dyDescent="0.2">
      <c r="A519" s="23"/>
    </row>
    <row r="520" spans="1:1" x14ac:dyDescent="0.2">
      <c r="A520" s="23"/>
    </row>
    <row r="521" spans="1:1" x14ac:dyDescent="0.2">
      <c r="A521" s="23"/>
    </row>
    <row r="522" spans="1:1" x14ac:dyDescent="0.2">
      <c r="A522" s="23"/>
    </row>
    <row r="523" spans="1:1" x14ac:dyDescent="0.2">
      <c r="A523" s="23"/>
    </row>
    <row r="524" spans="1:1" x14ac:dyDescent="0.2">
      <c r="A524" s="23"/>
    </row>
    <row r="525" spans="1:1" x14ac:dyDescent="0.2">
      <c r="A525" s="23"/>
    </row>
    <row r="526" spans="1:1" x14ac:dyDescent="0.2">
      <c r="A526" s="23"/>
    </row>
    <row r="527" spans="1:1" x14ac:dyDescent="0.2">
      <c r="A527" s="23"/>
    </row>
    <row r="528" spans="1:1" x14ac:dyDescent="0.2">
      <c r="A528" s="23"/>
    </row>
    <row r="529" spans="1:1" x14ac:dyDescent="0.2">
      <c r="A529" s="23"/>
    </row>
    <row r="530" spans="1:1" x14ac:dyDescent="0.2">
      <c r="A530" s="23"/>
    </row>
    <row r="531" spans="1:1" x14ac:dyDescent="0.2">
      <c r="A531" s="23"/>
    </row>
    <row r="532" spans="1:1" x14ac:dyDescent="0.2">
      <c r="A532" s="23"/>
    </row>
    <row r="533" spans="1:1" x14ac:dyDescent="0.2">
      <c r="A533" s="23"/>
    </row>
    <row r="534" spans="1:1" x14ac:dyDescent="0.2">
      <c r="A534" s="23"/>
    </row>
    <row r="535" spans="1:1" x14ac:dyDescent="0.2">
      <c r="A535" s="23"/>
    </row>
    <row r="536" spans="1:1" x14ac:dyDescent="0.2">
      <c r="A536" s="23"/>
    </row>
    <row r="537" spans="1:1" x14ac:dyDescent="0.2">
      <c r="A537" s="23"/>
    </row>
    <row r="538" spans="1:1" x14ac:dyDescent="0.2">
      <c r="A538" s="23"/>
    </row>
    <row r="539" spans="1:1" x14ac:dyDescent="0.2">
      <c r="A539" s="23"/>
    </row>
    <row r="540" spans="1:1" x14ac:dyDescent="0.2">
      <c r="A540" s="23"/>
    </row>
    <row r="541" spans="1:1" x14ac:dyDescent="0.2">
      <c r="A541" s="23"/>
    </row>
    <row r="542" spans="1:1" x14ac:dyDescent="0.2">
      <c r="A542" s="23"/>
    </row>
    <row r="543" spans="1:1" x14ac:dyDescent="0.2">
      <c r="A543" s="23"/>
    </row>
    <row r="544" spans="1:1" x14ac:dyDescent="0.2">
      <c r="A544" s="23"/>
    </row>
    <row r="545" spans="1:1" x14ac:dyDescent="0.2">
      <c r="A545" s="23"/>
    </row>
    <row r="546" spans="1:1" x14ac:dyDescent="0.2">
      <c r="A546" s="23"/>
    </row>
    <row r="547" spans="1:1" x14ac:dyDescent="0.2">
      <c r="A547" s="23"/>
    </row>
    <row r="548" spans="1:1" x14ac:dyDescent="0.2">
      <c r="A548" s="23"/>
    </row>
    <row r="549" spans="1:1" x14ac:dyDescent="0.2">
      <c r="A549" s="23"/>
    </row>
    <row r="550" spans="1:1" x14ac:dyDescent="0.2">
      <c r="A550" s="23"/>
    </row>
    <row r="551" spans="1:1" x14ac:dyDescent="0.2">
      <c r="A551" s="23"/>
    </row>
    <row r="552" spans="1:1" x14ac:dyDescent="0.2">
      <c r="A552" s="23"/>
    </row>
    <row r="553" spans="1:1" x14ac:dyDescent="0.2">
      <c r="A553" s="23"/>
    </row>
    <row r="554" spans="1:1" x14ac:dyDescent="0.2">
      <c r="A554" s="23"/>
    </row>
    <row r="555" spans="1:1" x14ac:dyDescent="0.2">
      <c r="A555" s="23"/>
    </row>
    <row r="556" spans="1:1" x14ac:dyDescent="0.2">
      <c r="A556" s="23"/>
    </row>
    <row r="557" spans="1:1" x14ac:dyDescent="0.2">
      <c r="A557" s="23"/>
    </row>
    <row r="558" spans="1:1" x14ac:dyDescent="0.2">
      <c r="A558" s="23"/>
    </row>
    <row r="559" spans="1:1" x14ac:dyDescent="0.2">
      <c r="A559" s="23"/>
    </row>
    <row r="560" spans="1:1" x14ac:dyDescent="0.2">
      <c r="A560" s="23"/>
    </row>
    <row r="561" spans="1:1" x14ac:dyDescent="0.2">
      <c r="A561" s="23"/>
    </row>
    <row r="562" spans="1:1" x14ac:dyDescent="0.2">
      <c r="A562" s="23"/>
    </row>
    <row r="563" spans="1:1" x14ac:dyDescent="0.2">
      <c r="A563" s="23"/>
    </row>
    <row r="564" spans="1:1" x14ac:dyDescent="0.2">
      <c r="A564" s="23"/>
    </row>
    <row r="565" spans="1:1" x14ac:dyDescent="0.2">
      <c r="A565" s="23"/>
    </row>
    <row r="566" spans="1:1" x14ac:dyDescent="0.2">
      <c r="A566" s="23"/>
    </row>
    <row r="567" spans="1:1" x14ac:dyDescent="0.2">
      <c r="A567" s="23"/>
    </row>
    <row r="568" spans="1:1" x14ac:dyDescent="0.2">
      <c r="A568" s="23"/>
    </row>
    <row r="569" spans="1:1" x14ac:dyDescent="0.2">
      <c r="A569" s="23"/>
    </row>
    <row r="570" spans="1:1" x14ac:dyDescent="0.2">
      <c r="A570" s="23"/>
    </row>
    <row r="571" spans="1:1" x14ac:dyDescent="0.2">
      <c r="A571" s="23"/>
    </row>
    <row r="572" spans="1:1" x14ac:dyDescent="0.2">
      <c r="A572" s="23"/>
    </row>
    <row r="573" spans="1:1" x14ac:dyDescent="0.2">
      <c r="A573" s="23"/>
    </row>
    <row r="574" spans="1:1" x14ac:dyDescent="0.2">
      <c r="A574" s="23"/>
    </row>
    <row r="575" spans="1:1" x14ac:dyDescent="0.2">
      <c r="A575" s="23"/>
    </row>
    <row r="576" spans="1:1" x14ac:dyDescent="0.2">
      <c r="A576" s="23"/>
    </row>
    <row r="577" spans="1:1" x14ac:dyDescent="0.2">
      <c r="A577" s="23"/>
    </row>
    <row r="578" spans="1:1" x14ac:dyDescent="0.2">
      <c r="A578" s="23"/>
    </row>
    <row r="579" spans="1:1" x14ac:dyDescent="0.2">
      <c r="A579" s="23"/>
    </row>
    <row r="580" spans="1:1" x14ac:dyDescent="0.2">
      <c r="A580" s="23"/>
    </row>
    <row r="581" spans="1:1" x14ac:dyDescent="0.2">
      <c r="A581" s="23"/>
    </row>
    <row r="582" spans="1:1" x14ac:dyDescent="0.2">
      <c r="A582" s="23"/>
    </row>
    <row r="583" spans="1:1" x14ac:dyDescent="0.2">
      <c r="A583" s="23"/>
    </row>
    <row r="584" spans="1:1" x14ac:dyDescent="0.2">
      <c r="A584" s="23"/>
    </row>
    <row r="585" spans="1:1" x14ac:dyDescent="0.2">
      <c r="A585" s="23"/>
    </row>
    <row r="586" spans="1:1" x14ac:dyDescent="0.2">
      <c r="A586" s="23"/>
    </row>
    <row r="587" spans="1:1" x14ac:dyDescent="0.2">
      <c r="A587" s="23"/>
    </row>
    <row r="588" spans="1:1" x14ac:dyDescent="0.2">
      <c r="A588" s="23"/>
    </row>
    <row r="589" spans="1:1" x14ac:dyDescent="0.2">
      <c r="A589" s="23"/>
    </row>
    <row r="590" spans="1:1" x14ac:dyDescent="0.2">
      <c r="A590" s="23"/>
    </row>
    <row r="591" spans="1:1" x14ac:dyDescent="0.2">
      <c r="A591" s="23"/>
    </row>
    <row r="592" spans="1:1" x14ac:dyDescent="0.2">
      <c r="A592" s="23"/>
    </row>
    <row r="593" spans="1:1" x14ac:dyDescent="0.2">
      <c r="A593" s="23"/>
    </row>
    <row r="594" spans="1:1" x14ac:dyDescent="0.2">
      <c r="A594" s="23"/>
    </row>
    <row r="595" spans="1:1" x14ac:dyDescent="0.2">
      <c r="A595" s="23"/>
    </row>
    <row r="596" spans="1:1" x14ac:dyDescent="0.2">
      <c r="A596" s="23"/>
    </row>
    <row r="597" spans="1:1" x14ac:dyDescent="0.2">
      <c r="A597" s="23"/>
    </row>
    <row r="598" spans="1:1" x14ac:dyDescent="0.2">
      <c r="A598" s="23"/>
    </row>
    <row r="599" spans="1:1" x14ac:dyDescent="0.2">
      <c r="A599" s="23"/>
    </row>
    <row r="600" spans="1:1" x14ac:dyDescent="0.2">
      <c r="A600" s="23"/>
    </row>
    <row r="601" spans="1:1" x14ac:dyDescent="0.2">
      <c r="A601" s="23"/>
    </row>
    <row r="602" spans="1:1" x14ac:dyDescent="0.2">
      <c r="A602" s="23"/>
    </row>
    <row r="603" spans="1:1" x14ac:dyDescent="0.2">
      <c r="A603" s="23"/>
    </row>
    <row r="604" spans="1:1" x14ac:dyDescent="0.2">
      <c r="A604" s="23"/>
    </row>
    <row r="605" spans="1:1" x14ac:dyDescent="0.2">
      <c r="A605" s="23"/>
    </row>
    <row r="606" spans="1:1" x14ac:dyDescent="0.2">
      <c r="A606" s="23"/>
    </row>
    <row r="607" spans="1:1" x14ac:dyDescent="0.2">
      <c r="A607" s="23"/>
    </row>
    <row r="608" spans="1:1" x14ac:dyDescent="0.2">
      <c r="A608" s="23"/>
    </row>
    <row r="609" spans="1:1" x14ac:dyDescent="0.2">
      <c r="A609" s="23"/>
    </row>
    <row r="610" spans="1:1" x14ac:dyDescent="0.2">
      <c r="A610" s="23"/>
    </row>
    <row r="611" spans="1:1" x14ac:dyDescent="0.2">
      <c r="A611" s="23"/>
    </row>
    <row r="612" spans="1:1" x14ac:dyDescent="0.2">
      <c r="A612" s="23"/>
    </row>
    <row r="613" spans="1:1" x14ac:dyDescent="0.2">
      <c r="A613" s="23"/>
    </row>
    <row r="614" spans="1:1" x14ac:dyDescent="0.2">
      <c r="A614" s="23"/>
    </row>
    <row r="615" spans="1:1" x14ac:dyDescent="0.2">
      <c r="A615" s="23"/>
    </row>
    <row r="616" spans="1:1" x14ac:dyDescent="0.2">
      <c r="A616" s="23"/>
    </row>
    <row r="617" spans="1:1" x14ac:dyDescent="0.2">
      <c r="A617" s="23"/>
    </row>
    <row r="618" spans="1:1" x14ac:dyDescent="0.2">
      <c r="A618" s="23"/>
    </row>
    <row r="619" spans="1:1" x14ac:dyDescent="0.2">
      <c r="A619" s="23"/>
    </row>
    <row r="620" spans="1:1" x14ac:dyDescent="0.2">
      <c r="A620" s="23"/>
    </row>
    <row r="621" spans="1:1" x14ac:dyDescent="0.2">
      <c r="A621" s="23"/>
    </row>
    <row r="622" spans="1:1" x14ac:dyDescent="0.2">
      <c r="A622" s="23"/>
    </row>
    <row r="623" spans="1:1" x14ac:dyDescent="0.2">
      <c r="A623" s="23"/>
    </row>
    <row r="624" spans="1:1" x14ac:dyDescent="0.2">
      <c r="A624" s="23"/>
    </row>
    <row r="625" spans="1:1" x14ac:dyDescent="0.2">
      <c r="A625" s="23"/>
    </row>
    <row r="626" spans="1:1" x14ac:dyDescent="0.2">
      <c r="A626" s="23"/>
    </row>
    <row r="627" spans="1:1" x14ac:dyDescent="0.2">
      <c r="A627" s="23"/>
    </row>
    <row r="628" spans="1:1" x14ac:dyDescent="0.2">
      <c r="A628" s="23"/>
    </row>
    <row r="629" spans="1:1" x14ac:dyDescent="0.2">
      <c r="A629" s="23"/>
    </row>
    <row r="630" spans="1:1" x14ac:dyDescent="0.2">
      <c r="A630" s="23"/>
    </row>
    <row r="631" spans="1:1" x14ac:dyDescent="0.2">
      <c r="A631" s="23"/>
    </row>
    <row r="632" spans="1:1" x14ac:dyDescent="0.2">
      <c r="A632" s="23"/>
    </row>
    <row r="633" spans="1:1" x14ac:dyDescent="0.2">
      <c r="A633" s="23"/>
    </row>
    <row r="634" spans="1:1" x14ac:dyDescent="0.2">
      <c r="A634" s="23"/>
    </row>
    <row r="635" spans="1:1" x14ac:dyDescent="0.2">
      <c r="A635" s="23"/>
    </row>
    <row r="636" spans="1:1" x14ac:dyDescent="0.2">
      <c r="A636" s="23"/>
    </row>
    <row r="637" spans="1:1" x14ac:dyDescent="0.2">
      <c r="A637" s="23"/>
    </row>
    <row r="638" spans="1:1" x14ac:dyDescent="0.2">
      <c r="A638" s="23"/>
    </row>
    <row r="639" spans="1:1" x14ac:dyDescent="0.2">
      <c r="A639" s="23"/>
    </row>
    <row r="640" spans="1:1" x14ac:dyDescent="0.2">
      <c r="A640" s="23"/>
    </row>
    <row r="641" spans="1:1" x14ac:dyDescent="0.2">
      <c r="A641" s="23"/>
    </row>
    <row r="642" spans="1:1" x14ac:dyDescent="0.2">
      <c r="A642" s="23"/>
    </row>
    <row r="643" spans="1:1" x14ac:dyDescent="0.2">
      <c r="A643" s="23"/>
    </row>
    <row r="644" spans="1:1" x14ac:dyDescent="0.2">
      <c r="A644" s="23"/>
    </row>
    <row r="645" spans="1:1" x14ac:dyDescent="0.2">
      <c r="A645" s="23"/>
    </row>
    <row r="646" spans="1:1" x14ac:dyDescent="0.2">
      <c r="A646" s="23"/>
    </row>
    <row r="647" spans="1:1" x14ac:dyDescent="0.2">
      <c r="A647" s="23"/>
    </row>
    <row r="648" spans="1:1" x14ac:dyDescent="0.2">
      <c r="A648" s="23"/>
    </row>
    <row r="649" spans="1:1" x14ac:dyDescent="0.2">
      <c r="A649" s="23"/>
    </row>
    <row r="650" spans="1:1" x14ac:dyDescent="0.2">
      <c r="A650" s="23"/>
    </row>
    <row r="651" spans="1:1" x14ac:dyDescent="0.2">
      <c r="A651" s="23"/>
    </row>
    <row r="652" spans="1:1" x14ac:dyDescent="0.2">
      <c r="A652" s="23"/>
    </row>
    <row r="653" spans="1:1" x14ac:dyDescent="0.2">
      <c r="A653" s="23"/>
    </row>
    <row r="654" spans="1:1" x14ac:dyDescent="0.2">
      <c r="A654" s="23"/>
    </row>
    <row r="655" spans="1:1" x14ac:dyDescent="0.2">
      <c r="A655" s="23"/>
    </row>
    <row r="656" spans="1:1" x14ac:dyDescent="0.2">
      <c r="A656" s="23"/>
    </row>
    <row r="657" spans="1:1" x14ac:dyDescent="0.2">
      <c r="A657" s="23"/>
    </row>
    <row r="658" spans="1:1" x14ac:dyDescent="0.2">
      <c r="A658" s="23"/>
    </row>
    <row r="659" spans="1:1" x14ac:dyDescent="0.2">
      <c r="A659" s="23"/>
    </row>
    <row r="660" spans="1:1" x14ac:dyDescent="0.2">
      <c r="A660" s="23"/>
    </row>
    <row r="661" spans="1:1" x14ac:dyDescent="0.2">
      <c r="A661" s="23"/>
    </row>
    <row r="662" spans="1:1" x14ac:dyDescent="0.2">
      <c r="A662" s="23"/>
    </row>
    <row r="663" spans="1:1" x14ac:dyDescent="0.2">
      <c r="A663" s="23"/>
    </row>
    <row r="664" spans="1:1" x14ac:dyDescent="0.2">
      <c r="A664" s="23"/>
    </row>
    <row r="665" spans="1:1" x14ac:dyDescent="0.2">
      <c r="A665" s="23"/>
    </row>
    <row r="666" spans="1:1" x14ac:dyDescent="0.2">
      <c r="A666" s="23"/>
    </row>
    <row r="667" spans="1:1" x14ac:dyDescent="0.2">
      <c r="A667" s="23"/>
    </row>
    <row r="668" spans="1:1" x14ac:dyDescent="0.2">
      <c r="A668" s="23"/>
    </row>
    <row r="669" spans="1:1" x14ac:dyDescent="0.2">
      <c r="A669" s="23"/>
    </row>
    <row r="670" spans="1:1" x14ac:dyDescent="0.2">
      <c r="A670" s="23"/>
    </row>
    <row r="671" spans="1:1" x14ac:dyDescent="0.2">
      <c r="A671" s="23"/>
    </row>
    <row r="672" spans="1:1" x14ac:dyDescent="0.2">
      <c r="A672" s="23"/>
    </row>
    <row r="673" spans="1:1" x14ac:dyDescent="0.2">
      <c r="A673" s="23"/>
    </row>
    <row r="674" spans="1:1" x14ac:dyDescent="0.2">
      <c r="A674" s="23"/>
    </row>
    <row r="675" spans="1:1" x14ac:dyDescent="0.2">
      <c r="A675" s="23"/>
    </row>
    <row r="676" spans="1:1" x14ac:dyDescent="0.2">
      <c r="A676" s="23"/>
    </row>
    <row r="677" spans="1:1" x14ac:dyDescent="0.2">
      <c r="A677" s="23"/>
    </row>
    <row r="678" spans="1:1" x14ac:dyDescent="0.2">
      <c r="A678" s="23"/>
    </row>
    <row r="679" spans="1:1" x14ac:dyDescent="0.2">
      <c r="A679" s="23"/>
    </row>
    <row r="680" spans="1:1" x14ac:dyDescent="0.2">
      <c r="A680" s="23"/>
    </row>
    <row r="681" spans="1:1" x14ac:dyDescent="0.2">
      <c r="A681" s="23"/>
    </row>
    <row r="682" spans="1:1" x14ac:dyDescent="0.2">
      <c r="A682" s="23"/>
    </row>
    <row r="683" spans="1:1" x14ac:dyDescent="0.2">
      <c r="A683" s="23"/>
    </row>
    <row r="684" spans="1:1" x14ac:dyDescent="0.2">
      <c r="A684" s="23"/>
    </row>
    <row r="685" spans="1:1" x14ac:dyDescent="0.2">
      <c r="A685" s="23"/>
    </row>
    <row r="686" spans="1:1" x14ac:dyDescent="0.2">
      <c r="A686" s="23"/>
    </row>
    <row r="687" spans="1:1" x14ac:dyDescent="0.2">
      <c r="A687" s="23"/>
    </row>
    <row r="688" spans="1:1" x14ac:dyDescent="0.2">
      <c r="A688" s="23"/>
    </row>
    <row r="689" spans="1:1" x14ac:dyDescent="0.2">
      <c r="A689" s="23"/>
    </row>
    <row r="690" spans="1:1" x14ac:dyDescent="0.2">
      <c r="A690" s="23"/>
    </row>
    <row r="691" spans="1:1" x14ac:dyDescent="0.2">
      <c r="A691" s="23"/>
    </row>
    <row r="692" spans="1:1" x14ac:dyDescent="0.2">
      <c r="A692" s="23"/>
    </row>
    <row r="693" spans="1:1" x14ac:dyDescent="0.2">
      <c r="A693" s="23"/>
    </row>
    <row r="694" spans="1:1" x14ac:dyDescent="0.2">
      <c r="A694" s="23"/>
    </row>
    <row r="695" spans="1:1" x14ac:dyDescent="0.2">
      <c r="A695" s="23"/>
    </row>
    <row r="696" spans="1:1" x14ac:dyDescent="0.2">
      <c r="A696" s="23"/>
    </row>
    <row r="697" spans="1:1" x14ac:dyDescent="0.2">
      <c r="A697" s="23"/>
    </row>
    <row r="698" spans="1:1" x14ac:dyDescent="0.2">
      <c r="A698" s="23"/>
    </row>
    <row r="699" spans="1:1" x14ac:dyDescent="0.2">
      <c r="A699" s="23"/>
    </row>
    <row r="700" spans="1:1" x14ac:dyDescent="0.2">
      <c r="A700" s="23"/>
    </row>
    <row r="701" spans="1:1" x14ac:dyDescent="0.2">
      <c r="A701" s="23"/>
    </row>
    <row r="702" spans="1:1" x14ac:dyDescent="0.2">
      <c r="A702" s="23"/>
    </row>
    <row r="703" spans="1:1" x14ac:dyDescent="0.2">
      <c r="A703" s="23"/>
    </row>
    <row r="704" spans="1:1" x14ac:dyDescent="0.2">
      <c r="A704" s="23"/>
    </row>
    <row r="705" spans="1:1" x14ac:dyDescent="0.2">
      <c r="A705" s="23"/>
    </row>
    <row r="706" spans="1:1" x14ac:dyDescent="0.2">
      <c r="A706" s="23"/>
    </row>
    <row r="707" spans="1:1" x14ac:dyDescent="0.2">
      <c r="A707" s="23"/>
    </row>
    <row r="708" spans="1:1" x14ac:dyDescent="0.2">
      <c r="A708" s="23"/>
    </row>
    <row r="709" spans="1:1" x14ac:dyDescent="0.2">
      <c r="A709" s="23"/>
    </row>
    <row r="710" spans="1:1" x14ac:dyDescent="0.2">
      <c r="A710" s="23"/>
    </row>
    <row r="711" spans="1:1" x14ac:dyDescent="0.2">
      <c r="A711" s="23"/>
    </row>
    <row r="712" spans="1:1" x14ac:dyDescent="0.2">
      <c r="A712" s="23"/>
    </row>
    <row r="713" spans="1:1" x14ac:dyDescent="0.2">
      <c r="A713" s="23"/>
    </row>
    <row r="714" spans="1:1" x14ac:dyDescent="0.2">
      <c r="A714" s="23"/>
    </row>
    <row r="715" spans="1:1" x14ac:dyDescent="0.2">
      <c r="A715" s="23"/>
    </row>
    <row r="716" spans="1:1" x14ac:dyDescent="0.2">
      <c r="A716" s="23"/>
    </row>
    <row r="717" spans="1:1" x14ac:dyDescent="0.2">
      <c r="A717" s="23"/>
    </row>
    <row r="718" spans="1:1" x14ac:dyDescent="0.2">
      <c r="A718" s="23"/>
    </row>
    <row r="719" spans="1:1" x14ac:dyDescent="0.2">
      <c r="A719" s="23"/>
    </row>
    <row r="720" spans="1:1" x14ac:dyDescent="0.2">
      <c r="A720" s="23"/>
    </row>
    <row r="721" spans="1:1" x14ac:dyDescent="0.2">
      <c r="A721" s="23"/>
    </row>
    <row r="722" spans="1:1" x14ac:dyDescent="0.2">
      <c r="A722" s="23"/>
    </row>
    <row r="723" spans="1:1" x14ac:dyDescent="0.2">
      <c r="A723" s="23"/>
    </row>
    <row r="724" spans="1:1" x14ac:dyDescent="0.2">
      <c r="A724" s="23"/>
    </row>
    <row r="725" spans="1:1" x14ac:dyDescent="0.2">
      <c r="A725" s="23"/>
    </row>
    <row r="726" spans="1:1" x14ac:dyDescent="0.2">
      <c r="A726" s="23"/>
    </row>
    <row r="727" spans="1:1" x14ac:dyDescent="0.2">
      <c r="A727" s="23"/>
    </row>
    <row r="728" spans="1:1" x14ac:dyDescent="0.2">
      <c r="A728" s="23"/>
    </row>
    <row r="729" spans="1:1" x14ac:dyDescent="0.2">
      <c r="A729" s="23"/>
    </row>
    <row r="730" spans="1:1" x14ac:dyDescent="0.2">
      <c r="A730" s="23"/>
    </row>
    <row r="731" spans="1:1" x14ac:dyDescent="0.2">
      <c r="A731" s="23"/>
    </row>
    <row r="732" spans="1:1" x14ac:dyDescent="0.2">
      <c r="A732" s="23"/>
    </row>
    <row r="733" spans="1:1" x14ac:dyDescent="0.2">
      <c r="A733" s="23"/>
    </row>
    <row r="734" spans="1:1" x14ac:dyDescent="0.2">
      <c r="A734" s="23"/>
    </row>
    <row r="735" spans="1:1" x14ac:dyDescent="0.2">
      <c r="A735" s="23"/>
    </row>
    <row r="736" spans="1:1" x14ac:dyDescent="0.2">
      <c r="A736" s="23"/>
    </row>
    <row r="737" spans="1:1" x14ac:dyDescent="0.2">
      <c r="A737" s="23"/>
    </row>
    <row r="738" spans="1:1" x14ac:dyDescent="0.2">
      <c r="A738" s="23"/>
    </row>
    <row r="739" spans="1:1" x14ac:dyDescent="0.2">
      <c r="A739" s="23"/>
    </row>
    <row r="740" spans="1:1" x14ac:dyDescent="0.2">
      <c r="A740" s="23"/>
    </row>
    <row r="741" spans="1:1" x14ac:dyDescent="0.2">
      <c r="A741" s="23"/>
    </row>
    <row r="742" spans="1:1" x14ac:dyDescent="0.2">
      <c r="A742" s="23"/>
    </row>
    <row r="743" spans="1:1" x14ac:dyDescent="0.2">
      <c r="A743" s="23"/>
    </row>
    <row r="744" spans="1:1" x14ac:dyDescent="0.2">
      <c r="A744" s="23"/>
    </row>
    <row r="745" spans="1:1" x14ac:dyDescent="0.2">
      <c r="A745" s="23"/>
    </row>
    <row r="746" spans="1:1" x14ac:dyDescent="0.2">
      <c r="A746" s="23"/>
    </row>
    <row r="747" spans="1:1" x14ac:dyDescent="0.2">
      <c r="A747" s="23"/>
    </row>
    <row r="748" spans="1:1" x14ac:dyDescent="0.2">
      <c r="A748" s="23"/>
    </row>
    <row r="749" spans="1:1" x14ac:dyDescent="0.2">
      <c r="A749" s="23"/>
    </row>
    <row r="750" spans="1:1" x14ac:dyDescent="0.2">
      <c r="A750" s="23"/>
    </row>
    <row r="751" spans="1:1" x14ac:dyDescent="0.2">
      <c r="A751" s="23"/>
    </row>
    <row r="752" spans="1:1" x14ac:dyDescent="0.2">
      <c r="A752" s="23"/>
    </row>
    <row r="753" spans="1:1" x14ac:dyDescent="0.2">
      <c r="A753" s="23"/>
    </row>
    <row r="754" spans="1:1" x14ac:dyDescent="0.2">
      <c r="A754" s="23"/>
    </row>
    <row r="755" spans="1:1" x14ac:dyDescent="0.2">
      <c r="A755" s="23"/>
    </row>
    <row r="756" spans="1:1" x14ac:dyDescent="0.2">
      <c r="A756" s="23"/>
    </row>
    <row r="757" spans="1:1" x14ac:dyDescent="0.2">
      <c r="A757" s="23"/>
    </row>
    <row r="758" spans="1:1" x14ac:dyDescent="0.2">
      <c r="A758" s="23"/>
    </row>
    <row r="759" spans="1:1" x14ac:dyDescent="0.2">
      <c r="A759" s="23"/>
    </row>
    <row r="760" spans="1:1" x14ac:dyDescent="0.2">
      <c r="A760" s="23"/>
    </row>
    <row r="761" spans="1:1" x14ac:dyDescent="0.2">
      <c r="A761" s="23"/>
    </row>
    <row r="762" spans="1:1" x14ac:dyDescent="0.2">
      <c r="A762" s="23"/>
    </row>
    <row r="763" spans="1:1" x14ac:dyDescent="0.2">
      <c r="A763" s="23"/>
    </row>
    <row r="764" spans="1:1" x14ac:dyDescent="0.2">
      <c r="A764" s="23"/>
    </row>
    <row r="765" spans="1:1" x14ac:dyDescent="0.2">
      <c r="A765" s="23"/>
    </row>
    <row r="766" spans="1:1" x14ac:dyDescent="0.2">
      <c r="A766" s="23"/>
    </row>
    <row r="767" spans="1:1" x14ac:dyDescent="0.2">
      <c r="A767" s="23"/>
    </row>
    <row r="768" spans="1:1" x14ac:dyDescent="0.2">
      <c r="A768" s="23"/>
    </row>
    <row r="769" spans="1:1" x14ac:dyDescent="0.2">
      <c r="A769" s="23"/>
    </row>
    <row r="770" spans="1:1" x14ac:dyDescent="0.2">
      <c r="A770" s="23"/>
    </row>
    <row r="771" spans="1:1" x14ac:dyDescent="0.2">
      <c r="A771" s="23"/>
    </row>
    <row r="772" spans="1:1" x14ac:dyDescent="0.2">
      <c r="A772" s="23"/>
    </row>
    <row r="773" spans="1:1" x14ac:dyDescent="0.2">
      <c r="A773" s="23"/>
    </row>
    <row r="774" spans="1:1" x14ac:dyDescent="0.2">
      <c r="A774" s="23"/>
    </row>
    <row r="775" spans="1:1" x14ac:dyDescent="0.2">
      <c r="A775" s="23"/>
    </row>
    <row r="776" spans="1:1" x14ac:dyDescent="0.2">
      <c r="A776" s="23"/>
    </row>
    <row r="777" spans="1:1" x14ac:dyDescent="0.2">
      <c r="A777" s="23"/>
    </row>
    <row r="778" spans="1:1" x14ac:dyDescent="0.2">
      <c r="A778" s="23"/>
    </row>
    <row r="779" spans="1:1" x14ac:dyDescent="0.2">
      <c r="A779" s="23"/>
    </row>
    <row r="780" spans="1:1" x14ac:dyDescent="0.2">
      <c r="A780" s="23"/>
    </row>
    <row r="781" spans="1:1" x14ac:dyDescent="0.2">
      <c r="A781" s="23"/>
    </row>
    <row r="782" spans="1:1" x14ac:dyDescent="0.2">
      <c r="A782" s="23"/>
    </row>
    <row r="783" spans="1:1" x14ac:dyDescent="0.2">
      <c r="A783" s="23"/>
    </row>
    <row r="784" spans="1:1" x14ac:dyDescent="0.2">
      <c r="A784" s="23"/>
    </row>
    <row r="785" spans="1:1" x14ac:dyDescent="0.2">
      <c r="A785" s="23"/>
    </row>
    <row r="786" spans="1:1" x14ac:dyDescent="0.2">
      <c r="A786" s="23"/>
    </row>
    <row r="787" spans="1:1" x14ac:dyDescent="0.2">
      <c r="A787" s="23"/>
    </row>
    <row r="788" spans="1:1" x14ac:dyDescent="0.2">
      <c r="A788" s="23"/>
    </row>
    <row r="789" spans="1:1" x14ac:dyDescent="0.2">
      <c r="A789" s="23"/>
    </row>
    <row r="790" spans="1:1" x14ac:dyDescent="0.2">
      <c r="A790" s="23"/>
    </row>
    <row r="791" spans="1:1" x14ac:dyDescent="0.2">
      <c r="A791" s="23"/>
    </row>
    <row r="792" spans="1:1" x14ac:dyDescent="0.2">
      <c r="A792" s="23"/>
    </row>
    <row r="793" spans="1:1" x14ac:dyDescent="0.2">
      <c r="A793" s="23"/>
    </row>
    <row r="794" spans="1:1" x14ac:dyDescent="0.2">
      <c r="A794" s="23"/>
    </row>
    <row r="795" spans="1:1" x14ac:dyDescent="0.2">
      <c r="A795" s="23"/>
    </row>
    <row r="796" spans="1:1" x14ac:dyDescent="0.2">
      <c r="A796" s="23"/>
    </row>
    <row r="797" spans="1:1" x14ac:dyDescent="0.2">
      <c r="A797" s="23"/>
    </row>
    <row r="798" spans="1:1" x14ac:dyDescent="0.2">
      <c r="A798" s="23"/>
    </row>
    <row r="799" spans="1:1" x14ac:dyDescent="0.2">
      <c r="A799" s="23"/>
    </row>
    <row r="800" spans="1:1" x14ac:dyDescent="0.2">
      <c r="A800" s="23"/>
    </row>
    <row r="801" spans="1:1" x14ac:dyDescent="0.2">
      <c r="A801" s="23"/>
    </row>
    <row r="802" spans="1:1" x14ac:dyDescent="0.2">
      <c r="A802" s="23"/>
    </row>
    <row r="803" spans="1:1" x14ac:dyDescent="0.2">
      <c r="A803" s="23"/>
    </row>
    <row r="804" spans="1:1" x14ac:dyDescent="0.2">
      <c r="A804" s="23"/>
    </row>
    <row r="805" spans="1:1" x14ac:dyDescent="0.2">
      <c r="A805" s="23"/>
    </row>
    <row r="806" spans="1:1" x14ac:dyDescent="0.2">
      <c r="A806" s="23"/>
    </row>
    <row r="807" spans="1:1" x14ac:dyDescent="0.2">
      <c r="A807" s="23"/>
    </row>
    <row r="808" spans="1:1" x14ac:dyDescent="0.2">
      <c r="A808" s="23"/>
    </row>
    <row r="809" spans="1:1" x14ac:dyDescent="0.2">
      <c r="A809" s="23"/>
    </row>
    <row r="810" spans="1:1" x14ac:dyDescent="0.2">
      <c r="A810" s="23"/>
    </row>
    <row r="811" spans="1:1" x14ac:dyDescent="0.2">
      <c r="A811" s="23"/>
    </row>
    <row r="812" spans="1:1" x14ac:dyDescent="0.2">
      <c r="A812" s="23"/>
    </row>
    <row r="813" spans="1:1" x14ac:dyDescent="0.2">
      <c r="A813" s="23"/>
    </row>
    <row r="814" spans="1:1" x14ac:dyDescent="0.2">
      <c r="A814" s="23"/>
    </row>
    <row r="815" spans="1:1" x14ac:dyDescent="0.2">
      <c r="A815" s="23"/>
    </row>
    <row r="816" spans="1:1" x14ac:dyDescent="0.2">
      <c r="A816" s="23"/>
    </row>
    <row r="817" spans="1:1" x14ac:dyDescent="0.2">
      <c r="A817" s="23"/>
    </row>
    <row r="818" spans="1:1" x14ac:dyDescent="0.2">
      <c r="A818" s="23"/>
    </row>
    <row r="819" spans="1:1" x14ac:dyDescent="0.2">
      <c r="A819" s="23"/>
    </row>
    <row r="820" spans="1:1" x14ac:dyDescent="0.2">
      <c r="A820" s="23"/>
    </row>
    <row r="821" spans="1:1" x14ac:dyDescent="0.2">
      <c r="A821" s="23"/>
    </row>
    <row r="822" spans="1:1" x14ac:dyDescent="0.2">
      <c r="A822" s="23"/>
    </row>
    <row r="823" spans="1:1" x14ac:dyDescent="0.2">
      <c r="A823" s="23"/>
    </row>
    <row r="824" spans="1:1" x14ac:dyDescent="0.2">
      <c r="A824" s="23"/>
    </row>
    <row r="825" spans="1:1" x14ac:dyDescent="0.2">
      <c r="A825" s="23"/>
    </row>
    <row r="826" spans="1:1" x14ac:dyDescent="0.2">
      <c r="A826" s="23"/>
    </row>
    <row r="827" spans="1:1" x14ac:dyDescent="0.2">
      <c r="A827" s="23"/>
    </row>
    <row r="828" spans="1:1" x14ac:dyDescent="0.2">
      <c r="A828" s="23"/>
    </row>
    <row r="829" spans="1:1" x14ac:dyDescent="0.2">
      <c r="A829" s="23"/>
    </row>
    <row r="830" spans="1:1" x14ac:dyDescent="0.2">
      <c r="A830" s="23"/>
    </row>
    <row r="831" spans="1:1" x14ac:dyDescent="0.2">
      <c r="A831" s="23"/>
    </row>
    <row r="832" spans="1:1" x14ac:dyDescent="0.2">
      <c r="A832" s="23"/>
    </row>
    <row r="833" spans="1:1" x14ac:dyDescent="0.2">
      <c r="A833" s="23"/>
    </row>
    <row r="834" spans="1:1" x14ac:dyDescent="0.2">
      <c r="A834" s="23"/>
    </row>
    <row r="835" spans="1:1" x14ac:dyDescent="0.2">
      <c r="A835" s="23"/>
    </row>
    <row r="836" spans="1:1" x14ac:dyDescent="0.2">
      <c r="A836" s="23"/>
    </row>
    <row r="837" spans="1:1" x14ac:dyDescent="0.2">
      <c r="A837" s="23"/>
    </row>
    <row r="838" spans="1:1" x14ac:dyDescent="0.2">
      <c r="A838" s="23"/>
    </row>
    <row r="839" spans="1:1" x14ac:dyDescent="0.2">
      <c r="A839" s="23"/>
    </row>
    <row r="840" spans="1:1" x14ac:dyDescent="0.2">
      <c r="A840" s="23"/>
    </row>
    <row r="841" spans="1:1" x14ac:dyDescent="0.2">
      <c r="A841" s="23"/>
    </row>
    <row r="842" spans="1:1" x14ac:dyDescent="0.2">
      <c r="A842" s="23"/>
    </row>
    <row r="843" spans="1:1" x14ac:dyDescent="0.2">
      <c r="A843" s="23"/>
    </row>
    <row r="844" spans="1:1" x14ac:dyDescent="0.2">
      <c r="A844" s="23"/>
    </row>
    <row r="845" spans="1:1" x14ac:dyDescent="0.2">
      <c r="A845" s="23"/>
    </row>
    <row r="846" spans="1:1" x14ac:dyDescent="0.2">
      <c r="A846" s="23"/>
    </row>
    <row r="847" spans="1:1" x14ac:dyDescent="0.2">
      <c r="A847" s="23"/>
    </row>
    <row r="848" spans="1:1" x14ac:dyDescent="0.2">
      <c r="A848" s="23"/>
    </row>
    <row r="849" spans="1:1" x14ac:dyDescent="0.2">
      <c r="A849" s="23"/>
    </row>
    <row r="850" spans="1:1" x14ac:dyDescent="0.2">
      <c r="A850" s="23"/>
    </row>
    <row r="851" spans="1:1" x14ac:dyDescent="0.2">
      <c r="A851" s="23"/>
    </row>
    <row r="852" spans="1:1" x14ac:dyDescent="0.2">
      <c r="A852" s="23"/>
    </row>
    <row r="853" spans="1:1" x14ac:dyDescent="0.2">
      <c r="A853" s="23"/>
    </row>
    <row r="854" spans="1:1" x14ac:dyDescent="0.2">
      <c r="A854" s="23"/>
    </row>
    <row r="855" spans="1:1" x14ac:dyDescent="0.2">
      <c r="A855" s="23"/>
    </row>
    <row r="856" spans="1:1" x14ac:dyDescent="0.2">
      <c r="A856" s="23"/>
    </row>
    <row r="857" spans="1:1" x14ac:dyDescent="0.2">
      <c r="A857" s="23"/>
    </row>
    <row r="858" spans="1:1" x14ac:dyDescent="0.2">
      <c r="A858" s="23"/>
    </row>
    <row r="859" spans="1:1" x14ac:dyDescent="0.2">
      <c r="A859" s="23"/>
    </row>
    <row r="860" spans="1:1" x14ac:dyDescent="0.2">
      <c r="A860" s="23"/>
    </row>
    <row r="861" spans="1:1" x14ac:dyDescent="0.2">
      <c r="A861" s="23"/>
    </row>
    <row r="862" spans="1:1" x14ac:dyDescent="0.2">
      <c r="A862" s="23"/>
    </row>
    <row r="863" spans="1:1" x14ac:dyDescent="0.2">
      <c r="A863" s="23"/>
    </row>
    <row r="864" spans="1:1" x14ac:dyDescent="0.2">
      <c r="A864" s="23"/>
    </row>
    <row r="865" spans="1:1" x14ac:dyDescent="0.2">
      <c r="A865" s="23"/>
    </row>
    <row r="866" spans="1:1" x14ac:dyDescent="0.2">
      <c r="A866" s="23"/>
    </row>
    <row r="867" spans="1:1" x14ac:dyDescent="0.2">
      <c r="A867" s="23"/>
    </row>
    <row r="868" spans="1:1" x14ac:dyDescent="0.2">
      <c r="A868" s="23"/>
    </row>
    <row r="869" spans="1:1" x14ac:dyDescent="0.2">
      <c r="A869" s="23"/>
    </row>
    <row r="870" spans="1:1" x14ac:dyDescent="0.2">
      <c r="A870" s="23"/>
    </row>
    <row r="871" spans="1:1" x14ac:dyDescent="0.2">
      <c r="A871" s="23"/>
    </row>
    <row r="872" spans="1:1" x14ac:dyDescent="0.2">
      <c r="A872" s="23"/>
    </row>
    <row r="873" spans="1:1" x14ac:dyDescent="0.2">
      <c r="A873" s="23"/>
    </row>
    <row r="874" spans="1:1" x14ac:dyDescent="0.2">
      <c r="A874" s="23"/>
    </row>
    <row r="875" spans="1:1" x14ac:dyDescent="0.2">
      <c r="A875" s="23"/>
    </row>
    <row r="876" spans="1:1" x14ac:dyDescent="0.2">
      <c r="A876" s="23"/>
    </row>
    <row r="877" spans="1:1" x14ac:dyDescent="0.2">
      <c r="A877" s="23"/>
    </row>
    <row r="878" spans="1:1" x14ac:dyDescent="0.2">
      <c r="A878" s="23"/>
    </row>
    <row r="879" spans="1:1" x14ac:dyDescent="0.2">
      <c r="A879" s="23"/>
    </row>
    <row r="880" spans="1:1" x14ac:dyDescent="0.2">
      <c r="A880" s="23"/>
    </row>
    <row r="881" spans="1:1" x14ac:dyDescent="0.2">
      <c r="A881" s="23"/>
    </row>
    <row r="882" spans="1:1" x14ac:dyDescent="0.2">
      <c r="A882" s="23"/>
    </row>
    <row r="883" spans="1:1" x14ac:dyDescent="0.2">
      <c r="A883" s="23"/>
    </row>
    <row r="884" spans="1:1" x14ac:dyDescent="0.2">
      <c r="A884" s="23"/>
    </row>
    <row r="885" spans="1:1" x14ac:dyDescent="0.2">
      <c r="A885" s="23"/>
    </row>
    <row r="886" spans="1:1" x14ac:dyDescent="0.2">
      <c r="A886" s="23"/>
    </row>
    <row r="887" spans="1:1" x14ac:dyDescent="0.2">
      <c r="A887" s="23"/>
    </row>
    <row r="888" spans="1:1" x14ac:dyDescent="0.2">
      <c r="A888" s="23"/>
    </row>
    <row r="889" spans="1:1" x14ac:dyDescent="0.2">
      <c r="A889" s="23"/>
    </row>
    <row r="890" spans="1:1" x14ac:dyDescent="0.2">
      <c r="A890" s="23"/>
    </row>
    <row r="891" spans="1:1" x14ac:dyDescent="0.2">
      <c r="A891" s="23"/>
    </row>
    <row r="892" spans="1:1" x14ac:dyDescent="0.2">
      <c r="A892" s="23"/>
    </row>
    <row r="893" spans="1:1" x14ac:dyDescent="0.2">
      <c r="A893" s="23"/>
    </row>
    <row r="894" spans="1:1" x14ac:dyDescent="0.2">
      <c r="A894" s="23"/>
    </row>
    <row r="895" spans="1:1" x14ac:dyDescent="0.2">
      <c r="A895" s="23"/>
    </row>
    <row r="896" spans="1:1" x14ac:dyDescent="0.2">
      <c r="A896" s="23"/>
    </row>
    <row r="897" spans="1:1" x14ac:dyDescent="0.2">
      <c r="A897" s="23"/>
    </row>
    <row r="898" spans="1:1" x14ac:dyDescent="0.2">
      <c r="A898" s="23"/>
    </row>
    <row r="899" spans="1:1" x14ac:dyDescent="0.2">
      <c r="A899" s="23"/>
    </row>
    <row r="900" spans="1:1" x14ac:dyDescent="0.2">
      <c r="A900" s="23"/>
    </row>
    <row r="901" spans="1:1" x14ac:dyDescent="0.2">
      <c r="A901" s="23"/>
    </row>
    <row r="902" spans="1:1" x14ac:dyDescent="0.2">
      <c r="A902" s="23"/>
    </row>
    <row r="903" spans="1:1" x14ac:dyDescent="0.2">
      <c r="A903" s="23"/>
    </row>
    <row r="904" spans="1:1" x14ac:dyDescent="0.2">
      <c r="A904" s="23"/>
    </row>
    <row r="905" spans="1:1" x14ac:dyDescent="0.2">
      <c r="A905" s="23"/>
    </row>
    <row r="906" spans="1:1" x14ac:dyDescent="0.2">
      <c r="A906" s="23"/>
    </row>
    <row r="907" spans="1:1" x14ac:dyDescent="0.2">
      <c r="A907" s="23"/>
    </row>
    <row r="908" spans="1:1" x14ac:dyDescent="0.2">
      <c r="A908" s="23"/>
    </row>
    <row r="909" spans="1:1" x14ac:dyDescent="0.2">
      <c r="A909" s="23"/>
    </row>
    <row r="910" spans="1:1" x14ac:dyDescent="0.2">
      <c r="A910" s="23"/>
    </row>
    <row r="911" spans="1:1" x14ac:dyDescent="0.2">
      <c r="A911" s="23"/>
    </row>
    <row r="912" spans="1:1" x14ac:dyDescent="0.2">
      <c r="A912" s="23"/>
    </row>
    <row r="913" spans="1:1" x14ac:dyDescent="0.2">
      <c r="A913" s="23"/>
    </row>
    <row r="914" spans="1:1" x14ac:dyDescent="0.2">
      <c r="A914" s="23"/>
    </row>
    <row r="915" spans="1:1" x14ac:dyDescent="0.2">
      <c r="A915" s="23"/>
    </row>
    <row r="916" spans="1:1" x14ac:dyDescent="0.2">
      <c r="A916" s="23"/>
    </row>
    <row r="917" spans="1:1" x14ac:dyDescent="0.2">
      <c r="A917" s="23"/>
    </row>
    <row r="918" spans="1:1" x14ac:dyDescent="0.2">
      <c r="A918" s="23"/>
    </row>
    <row r="919" spans="1:1" x14ac:dyDescent="0.2">
      <c r="A919" s="23"/>
    </row>
    <row r="920" spans="1:1" x14ac:dyDescent="0.2">
      <c r="A920" s="23"/>
    </row>
    <row r="921" spans="1:1" x14ac:dyDescent="0.2">
      <c r="A921" s="23"/>
    </row>
    <row r="922" spans="1:1" x14ac:dyDescent="0.2">
      <c r="A922" s="23"/>
    </row>
    <row r="923" spans="1:1" x14ac:dyDescent="0.2">
      <c r="A923" s="23"/>
    </row>
    <row r="924" spans="1:1" x14ac:dyDescent="0.2">
      <c r="A924" s="23"/>
    </row>
    <row r="925" spans="1:1" x14ac:dyDescent="0.2">
      <c r="A925" s="23"/>
    </row>
    <row r="926" spans="1:1" x14ac:dyDescent="0.2">
      <c r="A926" s="23"/>
    </row>
    <row r="927" spans="1:1" x14ac:dyDescent="0.2">
      <c r="A927" s="23"/>
    </row>
    <row r="928" spans="1:1" x14ac:dyDescent="0.2">
      <c r="A928" s="23"/>
    </row>
    <row r="929" spans="1:1" x14ac:dyDescent="0.2">
      <c r="A929" s="23"/>
    </row>
    <row r="930" spans="1:1" x14ac:dyDescent="0.2">
      <c r="A930" s="23"/>
    </row>
    <row r="931" spans="1:1" x14ac:dyDescent="0.2">
      <c r="A931" s="23"/>
    </row>
    <row r="932" spans="1:1" x14ac:dyDescent="0.2">
      <c r="A932" s="23"/>
    </row>
    <row r="933" spans="1:1" x14ac:dyDescent="0.2">
      <c r="A933" s="23"/>
    </row>
    <row r="934" spans="1:1" x14ac:dyDescent="0.2">
      <c r="A934" s="23"/>
    </row>
    <row r="935" spans="1:1" x14ac:dyDescent="0.2">
      <c r="A935" s="23"/>
    </row>
    <row r="936" spans="1:1" x14ac:dyDescent="0.2">
      <c r="A936" s="23"/>
    </row>
    <row r="937" spans="1:1" x14ac:dyDescent="0.2">
      <c r="A937" s="23"/>
    </row>
    <row r="938" spans="1:1" x14ac:dyDescent="0.2">
      <c r="A938" s="23"/>
    </row>
    <row r="939" spans="1:1" x14ac:dyDescent="0.2">
      <c r="A939" s="23"/>
    </row>
    <row r="940" spans="1:1" x14ac:dyDescent="0.2">
      <c r="A940" s="23"/>
    </row>
    <row r="941" spans="1:1" x14ac:dyDescent="0.2">
      <c r="A941" s="23"/>
    </row>
    <row r="942" spans="1:1" x14ac:dyDescent="0.2">
      <c r="A942" s="23"/>
    </row>
    <row r="943" spans="1:1" x14ac:dyDescent="0.2">
      <c r="A943" s="23"/>
    </row>
    <row r="944" spans="1:1" x14ac:dyDescent="0.2">
      <c r="A944" s="23"/>
    </row>
    <row r="945" spans="1:1" x14ac:dyDescent="0.2">
      <c r="A945" s="23"/>
    </row>
    <row r="946" spans="1:1" x14ac:dyDescent="0.2">
      <c r="A946" s="23"/>
    </row>
    <row r="947" spans="1:1" x14ac:dyDescent="0.2">
      <c r="A947" s="23"/>
    </row>
    <row r="948" spans="1:1" x14ac:dyDescent="0.2">
      <c r="A948" s="23"/>
    </row>
    <row r="949" spans="1:1" x14ac:dyDescent="0.2">
      <c r="A949" s="23"/>
    </row>
    <row r="950" spans="1:1" x14ac:dyDescent="0.2">
      <c r="A950" s="23"/>
    </row>
    <row r="951" spans="1:1" x14ac:dyDescent="0.2">
      <c r="A951" s="23"/>
    </row>
    <row r="952" spans="1:1" x14ac:dyDescent="0.2">
      <c r="A952" s="23"/>
    </row>
    <row r="953" spans="1:1" x14ac:dyDescent="0.2">
      <c r="A953" s="23"/>
    </row>
    <row r="954" spans="1:1" x14ac:dyDescent="0.2">
      <c r="A954" s="23"/>
    </row>
    <row r="955" spans="1:1" x14ac:dyDescent="0.2">
      <c r="A955" s="23"/>
    </row>
    <row r="956" spans="1:1" x14ac:dyDescent="0.2">
      <c r="A956" s="23"/>
    </row>
    <row r="957" spans="1:1" x14ac:dyDescent="0.2">
      <c r="A957" s="23"/>
    </row>
    <row r="958" spans="1:1" x14ac:dyDescent="0.2">
      <c r="A958" s="23"/>
    </row>
    <row r="959" spans="1:1" x14ac:dyDescent="0.2">
      <c r="A959" s="23"/>
    </row>
    <row r="960" spans="1:1" x14ac:dyDescent="0.2">
      <c r="A960" s="23"/>
    </row>
    <row r="961" spans="1:1" x14ac:dyDescent="0.2">
      <c r="A961" s="23"/>
    </row>
    <row r="962" spans="1:1" x14ac:dyDescent="0.2">
      <c r="A962" s="23"/>
    </row>
    <row r="963" spans="1:1" x14ac:dyDescent="0.2">
      <c r="A963" s="23"/>
    </row>
    <row r="964" spans="1:1" x14ac:dyDescent="0.2">
      <c r="A964" s="23"/>
    </row>
    <row r="965" spans="1:1" x14ac:dyDescent="0.2">
      <c r="A965" s="23"/>
    </row>
    <row r="966" spans="1:1" x14ac:dyDescent="0.2">
      <c r="A966" s="23"/>
    </row>
    <row r="967" spans="1:1" x14ac:dyDescent="0.2">
      <c r="A967" s="23"/>
    </row>
    <row r="968" spans="1:1" x14ac:dyDescent="0.2">
      <c r="A968" s="23"/>
    </row>
    <row r="969" spans="1:1" x14ac:dyDescent="0.2">
      <c r="A969" s="23"/>
    </row>
    <row r="970" spans="1:1" x14ac:dyDescent="0.2">
      <c r="A970" s="23"/>
    </row>
    <row r="971" spans="1:1" x14ac:dyDescent="0.2">
      <c r="A971" s="23"/>
    </row>
    <row r="972" spans="1:1" x14ac:dyDescent="0.2">
      <c r="A972" s="23"/>
    </row>
    <row r="973" spans="1:1" x14ac:dyDescent="0.2">
      <c r="A973" s="23"/>
    </row>
    <row r="974" spans="1:1" x14ac:dyDescent="0.2">
      <c r="A974" s="23"/>
    </row>
    <row r="975" spans="1:1" x14ac:dyDescent="0.2">
      <c r="A975" s="23"/>
    </row>
    <row r="976" spans="1:1" x14ac:dyDescent="0.2">
      <c r="A976" s="23"/>
    </row>
    <row r="977" spans="1:1" x14ac:dyDescent="0.2">
      <c r="A977" s="23"/>
    </row>
    <row r="978" spans="1:1" x14ac:dyDescent="0.2">
      <c r="A978" s="23"/>
    </row>
    <row r="979" spans="1:1" x14ac:dyDescent="0.2">
      <c r="A979" s="23"/>
    </row>
    <row r="980" spans="1:1" x14ac:dyDescent="0.2">
      <c r="A980" s="23"/>
    </row>
    <row r="981" spans="1:1" x14ac:dyDescent="0.2">
      <c r="A981" s="23"/>
    </row>
    <row r="982" spans="1:1" x14ac:dyDescent="0.2">
      <c r="A982" s="23"/>
    </row>
    <row r="983" spans="1:1" x14ac:dyDescent="0.2">
      <c r="A983" s="23"/>
    </row>
    <row r="984" spans="1:1" x14ac:dyDescent="0.2">
      <c r="A984" s="23"/>
    </row>
    <row r="985" spans="1:1" x14ac:dyDescent="0.2">
      <c r="A985" s="23"/>
    </row>
    <row r="986" spans="1:1" x14ac:dyDescent="0.2">
      <c r="A986" s="23"/>
    </row>
    <row r="987" spans="1:1" x14ac:dyDescent="0.2">
      <c r="A987" s="23"/>
    </row>
    <row r="988" spans="1:1" x14ac:dyDescent="0.2">
      <c r="A988" s="23"/>
    </row>
    <row r="989" spans="1:1" x14ac:dyDescent="0.2">
      <c r="A989" s="23"/>
    </row>
    <row r="990" spans="1:1" x14ac:dyDescent="0.2">
      <c r="A990" s="23"/>
    </row>
    <row r="991" spans="1:1" x14ac:dyDescent="0.2">
      <c r="A991" s="23"/>
    </row>
    <row r="992" spans="1:1" x14ac:dyDescent="0.2">
      <c r="A992" s="23"/>
    </row>
    <row r="993" spans="1:1" x14ac:dyDescent="0.2">
      <c r="A993" s="23"/>
    </row>
    <row r="994" spans="1:1" x14ac:dyDescent="0.2">
      <c r="A994" s="23"/>
    </row>
    <row r="995" spans="1:1" x14ac:dyDescent="0.2">
      <c r="A995" s="23"/>
    </row>
    <row r="996" spans="1:1" x14ac:dyDescent="0.2">
      <c r="A996" s="23"/>
    </row>
    <row r="997" spans="1:1" x14ac:dyDescent="0.2">
      <c r="A997" s="23"/>
    </row>
    <row r="998" spans="1:1" x14ac:dyDescent="0.2">
      <c r="A998" s="23"/>
    </row>
    <row r="999" spans="1:1" x14ac:dyDescent="0.2">
      <c r="A999" s="23"/>
    </row>
    <row r="1000" spans="1:1" x14ac:dyDescent="0.2">
      <c r="A1000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B22"/>
  <sheetViews>
    <sheetView workbookViewId="0"/>
  </sheetViews>
  <sheetFormatPr defaultColWidth="12.7109375" defaultRowHeight="15.75" customHeight="1" x14ac:dyDescent="0.2"/>
  <sheetData>
    <row r="2" spans="1:2" x14ac:dyDescent="0.2">
      <c r="A2" s="4" t="s">
        <v>701</v>
      </c>
    </row>
    <row r="4" spans="1:2" x14ac:dyDescent="0.2">
      <c r="A4" s="22" t="s">
        <v>702</v>
      </c>
    </row>
    <row r="5" spans="1:2" x14ac:dyDescent="0.2">
      <c r="A5" s="25">
        <v>45089</v>
      </c>
      <c r="B5" s="4" t="s">
        <v>647</v>
      </c>
    </row>
    <row r="6" spans="1:2" x14ac:dyDescent="0.2">
      <c r="B6" s="4" t="s">
        <v>648</v>
      </c>
    </row>
    <row r="7" spans="1:2" x14ac:dyDescent="0.2">
      <c r="B7" s="4" t="s">
        <v>649</v>
      </c>
    </row>
    <row r="8" spans="1:2" x14ac:dyDescent="0.2">
      <c r="B8" s="4" t="s">
        <v>636</v>
      </c>
    </row>
    <row r="9" spans="1:2" x14ac:dyDescent="0.2">
      <c r="B9" s="4" t="s">
        <v>644</v>
      </c>
    </row>
    <row r="10" spans="1:2" x14ac:dyDescent="0.2">
      <c r="A10" s="25">
        <v>45090</v>
      </c>
      <c r="B10" s="4" t="s">
        <v>625</v>
      </c>
    </row>
    <row r="11" spans="1:2" x14ac:dyDescent="0.2">
      <c r="B11" s="4" t="s">
        <v>631</v>
      </c>
    </row>
    <row r="12" spans="1:2" x14ac:dyDescent="0.2">
      <c r="B12" s="4" t="s">
        <v>632</v>
      </c>
    </row>
    <row r="13" spans="1:2" x14ac:dyDescent="0.2">
      <c r="B13" s="4" t="s">
        <v>633</v>
      </c>
    </row>
    <row r="14" spans="1:2" x14ac:dyDescent="0.2">
      <c r="B14" s="4" t="s">
        <v>645</v>
      </c>
    </row>
    <row r="15" spans="1:2" x14ac:dyDescent="0.2">
      <c r="B15" s="4" t="s">
        <v>646</v>
      </c>
    </row>
    <row r="16" spans="1:2" x14ac:dyDescent="0.2">
      <c r="B16" s="4" t="s">
        <v>638</v>
      </c>
    </row>
    <row r="17" spans="1:2" x14ac:dyDescent="0.2">
      <c r="B17" s="4" t="s">
        <v>643</v>
      </c>
    </row>
    <row r="18" spans="1:2" x14ac:dyDescent="0.2">
      <c r="A18" s="25">
        <v>45091</v>
      </c>
      <c r="B18" s="4" t="s">
        <v>641</v>
      </c>
    </row>
    <row r="19" spans="1:2" x14ac:dyDescent="0.2">
      <c r="B19" s="4" t="s">
        <v>635</v>
      </c>
    </row>
    <row r="20" spans="1:2" x14ac:dyDescent="0.2">
      <c r="B20" s="4" t="s">
        <v>634</v>
      </c>
    </row>
    <row r="21" spans="1:2" x14ac:dyDescent="0.2">
      <c r="B21" s="4" t="s">
        <v>637</v>
      </c>
    </row>
    <row r="22" spans="1:2" x14ac:dyDescent="0.2">
      <c r="B22" s="4" t="s">
        <v>640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166"/>
  <sheetViews>
    <sheetView workbookViewId="0">
      <selection sqref="A1:F166"/>
    </sheetView>
  </sheetViews>
  <sheetFormatPr defaultColWidth="12.7109375" defaultRowHeight="15.75" customHeight="1" x14ac:dyDescent="0.2"/>
  <cols>
    <col min="1" max="1" width="7.7109375" customWidth="1"/>
    <col min="2" max="2" width="4.140625" customWidth="1"/>
    <col min="3" max="3" width="11" customWidth="1"/>
    <col min="4" max="4" width="20.140625" customWidth="1"/>
    <col min="6" max="6" width="17.140625" customWidth="1"/>
    <col min="7" max="7" width="5.28515625" customWidth="1"/>
  </cols>
  <sheetData>
    <row r="1" spans="1:7" x14ac:dyDescent="0.2">
      <c r="A1" s="22" t="s">
        <v>703</v>
      </c>
      <c r="B1" s="22" t="s">
        <v>614</v>
      </c>
      <c r="C1" s="22" t="s">
        <v>704</v>
      </c>
      <c r="D1" s="22" t="s">
        <v>705</v>
      </c>
      <c r="E1" s="22" t="s">
        <v>757</v>
      </c>
      <c r="F1" s="22" t="s">
        <v>706</v>
      </c>
      <c r="G1" s="22"/>
    </row>
    <row r="2" spans="1:7" x14ac:dyDescent="0.2">
      <c r="A2" s="4" t="s">
        <v>707</v>
      </c>
      <c r="B2" s="4" t="s">
        <v>625</v>
      </c>
      <c r="C2" s="4" t="s">
        <v>709</v>
      </c>
      <c r="D2" s="4" t="s">
        <v>708</v>
      </c>
      <c r="E2" s="4">
        <v>10.5</v>
      </c>
    </row>
    <row r="3" spans="1:7" x14ac:dyDescent="0.2">
      <c r="A3" s="4" t="s">
        <v>707</v>
      </c>
      <c r="B3" s="4" t="s">
        <v>625</v>
      </c>
      <c r="C3" s="4" t="s">
        <v>709</v>
      </c>
      <c r="D3" s="4" t="s">
        <v>708</v>
      </c>
      <c r="E3" s="4">
        <v>38.1</v>
      </c>
    </row>
    <row r="4" spans="1:7" x14ac:dyDescent="0.2">
      <c r="A4" s="4" t="s">
        <v>707</v>
      </c>
      <c r="B4" s="4" t="s">
        <v>625</v>
      </c>
      <c r="C4" s="4" t="s">
        <v>709</v>
      </c>
      <c r="D4" s="4" t="s">
        <v>708</v>
      </c>
      <c r="E4" s="4">
        <v>9.5</v>
      </c>
    </row>
    <row r="5" spans="1:7" x14ac:dyDescent="0.2">
      <c r="A5" s="4" t="s">
        <v>707</v>
      </c>
      <c r="B5" s="4" t="s">
        <v>625</v>
      </c>
      <c r="C5" s="4" t="s">
        <v>710</v>
      </c>
      <c r="D5" s="4" t="s">
        <v>758</v>
      </c>
      <c r="E5" s="4">
        <v>28.4</v>
      </c>
    </row>
    <row r="6" spans="1:7" x14ac:dyDescent="0.2">
      <c r="A6" s="4" t="s">
        <v>707</v>
      </c>
      <c r="B6" s="4" t="s">
        <v>625</v>
      </c>
      <c r="C6" s="4" t="s">
        <v>709</v>
      </c>
      <c r="D6" s="4" t="s">
        <v>712</v>
      </c>
      <c r="E6" s="4">
        <v>54</v>
      </c>
    </row>
    <row r="7" spans="1:7" x14ac:dyDescent="0.2">
      <c r="A7" s="4" t="s">
        <v>707</v>
      </c>
      <c r="B7" s="4" t="s">
        <v>625</v>
      </c>
      <c r="C7" s="4" t="s">
        <v>709</v>
      </c>
      <c r="D7" s="4" t="s">
        <v>712</v>
      </c>
      <c r="E7" s="4">
        <v>12.6</v>
      </c>
    </row>
    <row r="8" spans="1:7" x14ac:dyDescent="0.2">
      <c r="A8" s="4" t="s">
        <v>707</v>
      </c>
      <c r="B8" s="4" t="s">
        <v>625</v>
      </c>
      <c r="C8" s="4" t="s">
        <v>709</v>
      </c>
      <c r="D8" s="4" t="s">
        <v>712</v>
      </c>
      <c r="E8" s="4">
        <v>36.6</v>
      </c>
    </row>
    <row r="9" spans="1:7" x14ac:dyDescent="0.2">
      <c r="A9" s="4" t="s">
        <v>707</v>
      </c>
      <c r="B9" s="4" t="s">
        <v>625</v>
      </c>
      <c r="C9" s="4" t="s">
        <v>710</v>
      </c>
      <c r="D9" s="4" t="s">
        <v>758</v>
      </c>
      <c r="E9" s="4">
        <v>17.100000000000001</v>
      </c>
    </row>
    <row r="10" spans="1:7" x14ac:dyDescent="0.2">
      <c r="A10" s="4" t="s">
        <v>707</v>
      </c>
      <c r="B10" s="4" t="s">
        <v>625</v>
      </c>
      <c r="C10" s="4" t="s">
        <v>710</v>
      </c>
      <c r="D10" s="4" t="s">
        <v>758</v>
      </c>
      <c r="E10" s="4">
        <v>25.7</v>
      </c>
    </row>
    <row r="11" spans="1:7" x14ac:dyDescent="0.2">
      <c r="A11" s="4" t="s">
        <v>707</v>
      </c>
      <c r="B11" s="4" t="s">
        <v>625</v>
      </c>
      <c r="C11" s="4" t="s">
        <v>709</v>
      </c>
      <c r="D11" s="4" t="s">
        <v>713</v>
      </c>
      <c r="E11" s="4">
        <v>23.1</v>
      </c>
    </row>
    <row r="12" spans="1:7" x14ac:dyDescent="0.2">
      <c r="A12" s="4" t="s">
        <v>707</v>
      </c>
      <c r="B12" s="4" t="s">
        <v>625</v>
      </c>
      <c r="C12" s="4" t="s">
        <v>709</v>
      </c>
      <c r="D12" s="4" t="s">
        <v>712</v>
      </c>
      <c r="E12" s="4">
        <v>95.5</v>
      </c>
    </row>
    <row r="13" spans="1:7" x14ac:dyDescent="0.2">
      <c r="A13" s="4" t="s">
        <v>707</v>
      </c>
      <c r="B13" s="4" t="s">
        <v>633</v>
      </c>
      <c r="C13" s="4" t="s">
        <v>710</v>
      </c>
      <c r="D13" s="4" t="s">
        <v>758</v>
      </c>
      <c r="E13" s="4">
        <v>29</v>
      </c>
    </row>
    <row r="14" spans="1:7" x14ac:dyDescent="0.2">
      <c r="A14" s="4" t="s">
        <v>707</v>
      </c>
      <c r="B14" s="4" t="s">
        <v>633</v>
      </c>
      <c r="C14" s="4" t="s">
        <v>709</v>
      </c>
      <c r="D14" s="4" t="s">
        <v>714</v>
      </c>
      <c r="E14" s="4">
        <v>3.5</v>
      </c>
    </row>
    <row r="15" spans="1:7" x14ac:dyDescent="0.2">
      <c r="A15" s="4" t="s">
        <v>707</v>
      </c>
      <c r="B15" s="4" t="s">
        <v>633</v>
      </c>
      <c r="C15" s="4" t="s">
        <v>710</v>
      </c>
      <c r="D15" s="4" t="s">
        <v>758</v>
      </c>
      <c r="E15" s="4">
        <v>28.6</v>
      </c>
    </row>
    <row r="16" spans="1:7" x14ac:dyDescent="0.2">
      <c r="A16" s="4" t="s">
        <v>707</v>
      </c>
      <c r="B16" s="4" t="s">
        <v>633</v>
      </c>
      <c r="C16" s="4" t="s">
        <v>709</v>
      </c>
      <c r="D16" s="4" t="s">
        <v>713</v>
      </c>
      <c r="E16" s="4">
        <v>17.100000000000001</v>
      </c>
    </row>
    <row r="17" spans="1:6" x14ac:dyDescent="0.2">
      <c r="A17" s="4" t="s">
        <v>707</v>
      </c>
      <c r="B17" s="4" t="s">
        <v>633</v>
      </c>
      <c r="C17" s="4" t="s">
        <v>709</v>
      </c>
      <c r="D17" s="4" t="s">
        <v>713</v>
      </c>
      <c r="E17" s="4">
        <v>23.9</v>
      </c>
    </row>
    <row r="18" spans="1:6" x14ac:dyDescent="0.2">
      <c r="A18" s="4" t="s">
        <v>707</v>
      </c>
      <c r="B18" s="4" t="s">
        <v>633</v>
      </c>
      <c r="C18" s="4" t="s">
        <v>710</v>
      </c>
      <c r="D18" s="4" t="s">
        <v>715</v>
      </c>
      <c r="E18" s="4">
        <v>57</v>
      </c>
    </row>
    <row r="19" spans="1:6" x14ac:dyDescent="0.2">
      <c r="A19" s="4" t="s">
        <v>707</v>
      </c>
      <c r="B19" s="4" t="s">
        <v>633</v>
      </c>
      <c r="C19" s="4" t="s">
        <v>709</v>
      </c>
      <c r="D19" s="4" t="s">
        <v>714</v>
      </c>
      <c r="F19" s="4">
        <v>18</v>
      </c>
    </row>
    <row r="20" spans="1:6" x14ac:dyDescent="0.2">
      <c r="A20" s="4" t="s">
        <v>707</v>
      </c>
      <c r="B20" s="4" t="s">
        <v>633</v>
      </c>
      <c r="C20" s="4" t="s">
        <v>709</v>
      </c>
      <c r="D20" s="4" t="s">
        <v>713</v>
      </c>
      <c r="E20" s="4">
        <v>17.100000000000001</v>
      </c>
    </row>
    <row r="21" spans="1:6" x14ac:dyDescent="0.2">
      <c r="A21" s="4" t="s">
        <v>707</v>
      </c>
      <c r="B21" s="4" t="s">
        <v>633</v>
      </c>
      <c r="C21" s="4" t="s">
        <v>709</v>
      </c>
      <c r="D21" s="4" t="s">
        <v>713</v>
      </c>
      <c r="E21" s="4">
        <v>20.2</v>
      </c>
    </row>
    <row r="22" spans="1:6" x14ac:dyDescent="0.2">
      <c r="A22" s="4" t="s">
        <v>707</v>
      </c>
      <c r="B22" s="4" t="s">
        <v>633</v>
      </c>
      <c r="C22" s="4" t="s">
        <v>710</v>
      </c>
      <c r="D22" s="4" t="s">
        <v>758</v>
      </c>
      <c r="E22" s="4">
        <v>27.4</v>
      </c>
    </row>
    <row r="23" spans="1:6" x14ac:dyDescent="0.2">
      <c r="A23" s="4" t="s">
        <v>707</v>
      </c>
      <c r="B23" s="4" t="s">
        <v>633</v>
      </c>
      <c r="C23" s="4" t="s">
        <v>710</v>
      </c>
      <c r="D23" s="4" t="s">
        <v>758</v>
      </c>
      <c r="E23" s="4">
        <v>19.3</v>
      </c>
    </row>
    <row r="24" spans="1:6" x14ac:dyDescent="0.2">
      <c r="A24" s="4" t="s">
        <v>707</v>
      </c>
      <c r="B24" s="4" t="s">
        <v>633</v>
      </c>
      <c r="C24" s="4" t="s">
        <v>710</v>
      </c>
      <c r="D24" s="4" t="s">
        <v>758</v>
      </c>
      <c r="E24" s="4">
        <v>16.899999999999999</v>
      </c>
    </row>
    <row r="25" spans="1:6" x14ac:dyDescent="0.2">
      <c r="A25" s="4" t="s">
        <v>707</v>
      </c>
      <c r="B25" s="4" t="s">
        <v>633</v>
      </c>
      <c r="C25" s="4" t="s">
        <v>710</v>
      </c>
      <c r="D25" s="4" t="s">
        <v>758</v>
      </c>
      <c r="E25" s="4">
        <v>13.4</v>
      </c>
    </row>
    <row r="26" spans="1:6" x14ac:dyDescent="0.2">
      <c r="A26" s="4" t="s">
        <v>707</v>
      </c>
      <c r="B26" s="4" t="s">
        <v>633</v>
      </c>
      <c r="C26" s="4" t="s">
        <v>709</v>
      </c>
      <c r="D26" s="4" t="s">
        <v>713</v>
      </c>
      <c r="E26" s="4">
        <v>12</v>
      </c>
    </row>
    <row r="27" spans="1:6" x14ac:dyDescent="0.2">
      <c r="A27" s="4" t="s">
        <v>707</v>
      </c>
      <c r="B27" s="4" t="s">
        <v>633</v>
      </c>
      <c r="C27" s="4" t="s">
        <v>710</v>
      </c>
      <c r="D27" s="4" t="s">
        <v>758</v>
      </c>
      <c r="E27" s="4">
        <v>22.7</v>
      </c>
    </row>
    <row r="28" spans="1:6" x14ac:dyDescent="0.2">
      <c r="A28" s="4" t="s">
        <v>707</v>
      </c>
      <c r="B28" s="4" t="s">
        <v>633</v>
      </c>
      <c r="C28" s="4" t="s">
        <v>710</v>
      </c>
      <c r="D28" s="4" t="s">
        <v>758</v>
      </c>
      <c r="E28" s="4">
        <v>21.6</v>
      </c>
    </row>
    <row r="29" spans="1:6" x14ac:dyDescent="0.2">
      <c r="A29" s="4" t="s">
        <v>707</v>
      </c>
      <c r="B29" s="4" t="s">
        <v>633</v>
      </c>
      <c r="C29" s="4" t="s">
        <v>710</v>
      </c>
      <c r="D29" s="4" t="s">
        <v>758</v>
      </c>
      <c r="E29" s="4">
        <v>11.4</v>
      </c>
    </row>
    <row r="30" spans="1:6" x14ac:dyDescent="0.2">
      <c r="A30" s="4" t="s">
        <v>707</v>
      </c>
      <c r="B30" s="4" t="s">
        <v>632</v>
      </c>
      <c r="C30" s="4" t="s">
        <v>709</v>
      </c>
      <c r="D30" s="4" t="s">
        <v>713</v>
      </c>
      <c r="E30" s="4">
        <v>34.5</v>
      </c>
    </row>
    <row r="31" spans="1:6" x14ac:dyDescent="0.2">
      <c r="A31" s="4" t="s">
        <v>707</v>
      </c>
      <c r="B31" s="4" t="s">
        <v>632</v>
      </c>
      <c r="C31" s="4" t="s">
        <v>709</v>
      </c>
      <c r="D31" s="4" t="s">
        <v>714</v>
      </c>
      <c r="F31" s="4">
        <v>44</v>
      </c>
    </row>
    <row r="32" spans="1:6" x14ac:dyDescent="0.2">
      <c r="A32" s="4" t="s">
        <v>707</v>
      </c>
      <c r="B32" s="4" t="s">
        <v>632</v>
      </c>
      <c r="C32" s="4" t="s">
        <v>710</v>
      </c>
      <c r="D32" s="4" t="s">
        <v>758</v>
      </c>
      <c r="E32" s="4">
        <v>31</v>
      </c>
    </row>
    <row r="33" spans="1:6" x14ac:dyDescent="0.2">
      <c r="A33" s="4" t="s">
        <v>707</v>
      </c>
      <c r="B33" s="4" t="s">
        <v>632</v>
      </c>
      <c r="C33" s="4" t="s">
        <v>709</v>
      </c>
      <c r="D33" s="4" t="s">
        <v>713</v>
      </c>
      <c r="E33" s="4">
        <v>20.7</v>
      </c>
    </row>
    <row r="34" spans="1:6" x14ac:dyDescent="0.2">
      <c r="A34" s="4" t="s">
        <v>707</v>
      </c>
      <c r="B34" s="4" t="s">
        <v>632</v>
      </c>
      <c r="C34" s="4" t="s">
        <v>709</v>
      </c>
      <c r="D34" s="4" t="s">
        <v>712</v>
      </c>
      <c r="E34" s="4">
        <v>94.4</v>
      </c>
    </row>
    <row r="35" spans="1:6" x14ac:dyDescent="0.2">
      <c r="A35" s="4" t="s">
        <v>707</v>
      </c>
      <c r="B35" s="4" t="s">
        <v>632</v>
      </c>
      <c r="C35" s="4" t="s">
        <v>710</v>
      </c>
      <c r="D35" s="4" t="s">
        <v>713</v>
      </c>
      <c r="E35" s="4">
        <v>18.600000000000001</v>
      </c>
    </row>
    <row r="36" spans="1:6" x14ac:dyDescent="0.2">
      <c r="A36" s="4" t="s">
        <v>707</v>
      </c>
      <c r="B36" s="4" t="s">
        <v>632</v>
      </c>
      <c r="C36" s="4" t="s">
        <v>709</v>
      </c>
      <c r="D36" s="4" t="s">
        <v>716</v>
      </c>
      <c r="F36" s="4">
        <v>1</v>
      </c>
    </row>
    <row r="37" spans="1:6" x14ac:dyDescent="0.2">
      <c r="A37" s="4" t="s">
        <v>707</v>
      </c>
      <c r="B37" s="4" t="s">
        <v>632</v>
      </c>
      <c r="C37" s="4" t="s">
        <v>709</v>
      </c>
      <c r="D37" s="4" t="s">
        <v>713</v>
      </c>
      <c r="E37" s="4">
        <v>24.2</v>
      </c>
    </row>
    <row r="38" spans="1:6" x14ac:dyDescent="0.2">
      <c r="A38" s="4" t="s">
        <v>707</v>
      </c>
      <c r="B38" s="4" t="s">
        <v>632</v>
      </c>
      <c r="C38" s="4" t="s">
        <v>709</v>
      </c>
      <c r="D38" s="4" t="s">
        <v>717</v>
      </c>
      <c r="F38" s="4">
        <v>1</v>
      </c>
    </row>
    <row r="39" spans="1:6" x14ac:dyDescent="0.2">
      <c r="A39" s="4" t="s">
        <v>707</v>
      </c>
      <c r="B39" s="4" t="s">
        <v>632</v>
      </c>
      <c r="C39" s="4" t="s">
        <v>710</v>
      </c>
      <c r="D39" s="4" t="s">
        <v>758</v>
      </c>
      <c r="E39" s="4">
        <v>24.4</v>
      </c>
    </row>
    <row r="40" spans="1:6" x14ac:dyDescent="0.2">
      <c r="A40" s="4" t="s">
        <v>707</v>
      </c>
      <c r="B40" s="4" t="s">
        <v>632</v>
      </c>
      <c r="C40" s="4" t="s">
        <v>709</v>
      </c>
      <c r="D40" s="4" t="s">
        <v>712</v>
      </c>
      <c r="E40" s="4">
        <v>108</v>
      </c>
    </row>
    <row r="41" spans="1:6" x14ac:dyDescent="0.2">
      <c r="A41" s="4" t="s">
        <v>707</v>
      </c>
      <c r="B41" s="4" t="s">
        <v>632</v>
      </c>
      <c r="C41" s="4" t="s">
        <v>709</v>
      </c>
      <c r="D41" s="4" t="s">
        <v>712</v>
      </c>
      <c r="E41" s="4">
        <v>52.7</v>
      </c>
    </row>
    <row r="42" spans="1:6" x14ac:dyDescent="0.2">
      <c r="A42" s="4" t="s">
        <v>707</v>
      </c>
      <c r="B42" s="4" t="s">
        <v>632</v>
      </c>
      <c r="C42" s="4" t="s">
        <v>709</v>
      </c>
      <c r="D42" s="4" t="s">
        <v>712</v>
      </c>
      <c r="E42" s="4">
        <v>57.8</v>
      </c>
    </row>
    <row r="43" spans="1:6" x14ac:dyDescent="0.2">
      <c r="A43" s="4" t="s">
        <v>707</v>
      </c>
      <c r="B43" s="4" t="s">
        <v>632</v>
      </c>
      <c r="C43" s="4" t="s">
        <v>709</v>
      </c>
      <c r="D43" s="4" t="s">
        <v>712</v>
      </c>
      <c r="E43" s="4">
        <v>34.5</v>
      </c>
    </row>
    <row r="44" spans="1:6" x14ac:dyDescent="0.2">
      <c r="A44" s="4" t="s">
        <v>707</v>
      </c>
      <c r="B44" s="4" t="s">
        <v>645</v>
      </c>
      <c r="C44" s="4" t="s">
        <v>709</v>
      </c>
      <c r="D44" s="4" t="s">
        <v>714</v>
      </c>
      <c r="F44" s="4">
        <v>17</v>
      </c>
    </row>
    <row r="45" spans="1:6" x14ac:dyDescent="0.2">
      <c r="A45" s="4" t="s">
        <v>707</v>
      </c>
      <c r="B45" s="4" t="s">
        <v>637</v>
      </c>
      <c r="C45" s="4" t="s">
        <v>709</v>
      </c>
      <c r="D45" s="4" t="s">
        <v>714</v>
      </c>
      <c r="F45" s="4">
        <v>9</v>
      </c>
    </row>
    <row r="46" spans="1:6" x14ac:dyDescent="0.2">
      <c r="A46" s="4" t="s">
        <v>707</v>
      </c>
      <c r="B46" s="4" t="s">
        <v>637</v>
      </c>
      <c r="C46" s="4" t="s">
        <v>709</v>
      </c>
      <c r="D46" s="4" t="s">
        <v>712</v>
      </c>
      <c r="E46" s="4">
        <v>44.4</v>
      </c>
    </row>
    <row r="47" spans="1:6" x14ac:dyDescent="0.2">
      <c r="A47" s="4" t="s">
        <v>707</v>
      </c>
      <c r="B47" s="4" t="s">
        <v>637</v>
      </c>
      <c r="C47" s="4" t="s">
        <v>710</v>
      </c>
      <c r="D47" s="4" t="s">
        <v>715</v>
      </c>
      <c r="E47" s="4">
        <v>36.1</v>
      </c>
    </row>
    <row r="48" spans="1:6" x14ac:dyDescent="0.2">
      <c r="A48" s="4" t="s">
        <v>707</v>
      </c>
      <c r="B48" s="4" t="s">
        <v>637</v>
      </c>
      <c r="C48" s="4" t="s">
        <v>710</v>
      </c>
      <c r="D48" s="4" t="s">
        <v>715</v>
      </c>
      <c r="E48" s="4">
        <v>37.9</v>
      </c>
    </row>
    <row r="49" spans="1:6" x14ac:dyDescent="0.2">
      <c r="A49" s="4" t="s">
        <v>707</v>
      </c>
      <c r="B49" s="4" t="s">
        <v>637</v>
      </c>
      <c r="C49" s="4" t="s">
        <v>709</v>
      </c>
      <c r="D49" s="4" t="s">
        <v>758</v>
      </c>
      <c r="E49" s="4">
        <v>9.9</v>
      </c>
    </row>
    <row r="50" spans="1:6" x14ac:dyDescent="0.2">
      <c r="A50" s="4" t="s">
        <v>707</v>
      </c>
      <c r="B50" s="4" t="s">
        <v>637</v>
      </c>
      <c r="C50" s="4" t="s">
        <v>709</v>
      </c>
      <c r="D50" s="4" t="s">
        <v>716</v>
      </c>
      <c r="F50" s="4">
        <v>1</v>
      </c>
    </row>
    <row r="51" spans="1:6" x14ac:dyDescent="0.2">
      <c r="A51" s="4" t="s">
        <v>707</v>
      </c>
      <c r="B51" s="4" t="s">
        <v>637</v>
      </c>
      <c r="C51" s="4" t="s">
        <v>710</v>
      </c>
      <c r="D51" s="4" t="s">
        <v>715</v>
      </c>
      <c r="E51" s="4">
        <v>19.100000000000001</v>
      </c>
    </row>
    <row r="52" spans="1:6" x14ac:dyDescent="0.2">
      <c r="A52" s="4" t="s">
        <v>707</v>
      </c>
      <c r="B52" s="4" t="s">
        <v>637</v>
      </c>
      <c r="C52" s="4" t="s">
        <v>710</v>
      </c>
      <c r="D52" s="4" t="s">
        <v>715</v>
      </c>
      <c r="E52" s="4">
        <v>36.4</v>
      </c>
    </row>
    <row r="53" spans="1:6" x14ac:dyDescent="0.2">
      <c r="A53" s="4" t="s">
        <v>707</v>
      </c>
      <c r="B53" s="4" t="s">
        <v>637</v>
      </c>
      <c r="C53" s="4" t="s">
        <v>710</v>
      </c>
      <c r="D53" s="4" t="s">
        <v>758</v>
      </c>
      <c r="E53" s="4">
        <v>8.6</v>
      </c>
    </row>
    <row r="54" spans="1:6" x14ac:dyDescent="0.2">
      <c r="A54" s="4" t="s">
        <v>707</v>
      </c>
      <c r="B54" s="4" t="s">
        <v>637</v>
      </c>
      <c r="C54" s="4" t="s">
        <v>710</v>
      </c>
      <c r="D54" s="4" t="s">
        <v>715</v>
      </c>
      <c r="E54" s="4">
        <v>43</v>
      </c>
    </row>
    <row r="55" spans="1:6" x14ac:dyDescent="0.2">
      <c r="A55" s="4" t="s">
        <v>707</v>
      </c>
      <c r="B55" s="4" t="s">
        <v>637</v>
      </c>
      <c r="C55" s="4" t="s">
        <v>709</v>
      </c>
      <c r="D55" s="4" t="s">
        <v>758</v>
      </c>
      <c r="E55" s="4">
        <v>7.3</v>
      </c>
    </row>
    <row r="56" spans="1:6" x14ac:dyDescent="0.2">
      <c r="A56" s="4" t="s">
        <v>707</v>
      </c>
      <c r="B56" s="4" t="s">
        <v>637</v>
      </c>
      <c r="C56" s="4" t="s">
        <v>709</v>
      </c>
      <c r="D56" s="4" t="s">
        <v>712</v>
      </c>
      <c r="E56" s="4">
        <v>14.9</v>
      </c>
    </row>
    <row r="57" spans="1:6" x14ac:dyDescent="0.2">
      <c r="A57" s="4" t="s">
        <v>707</v>
      </c>
      <c r="B57" s="4" t="s">
        <v>637</v>
      </c>
      <c r="C57" s="4" t="s">
        <v>709</v>
      </c>
      <c r="D57" s="4" t="s">
        <v>712</v>
      </c>
      <c r="E57" s="4">
        <v>22.5</v>
      </c>
    </row>
    <row r="58" spans="1:6" x14ac:dyDescent="0.2">
      <c r="A58" s="4" t="s">
        <v>707</v>
      </c>
      <c r="B58" s="4" t="s">
        <v>637</v>
      </c>
      <c r="C58" s="4" t="s">
        <v>709</v>
      </c>
      <c r="D58" s="4" t="s">
        <v>712</v>
      </c>
      <c r="E58" s="4">
        <v>12.3</v>
      </c>
    </row>
    <row r="59" spans="1:6" x14ac:dyDescent="0.2">
      <c r="A59" s="4" t="s">
        <v>707</v>
      </c>
      <c r="B59" s="4" t="s">
        <v>637</v>
      </c>
      <c r="C59" s="4" t="s">
        <v>709</v>
      </c>
      <c r="D59" s="4" t="s">
        <v>712</v>
      </c>
      <c r="E59" s="4">
        <v>30.1</v>
      </c>
    </row>
    <row r="60" spans="1:6" x14ac:dyDescent="0.2">
      <c r="A60" s="4" t="s">
        <v>707</v>
      </c>
      <c r="B60" s="4" t="s">
        <v>637</v>
      </c>
      <c r="C60" s="4" t="s">
        <v>710</v>
      </c>
      <c r="D60" s="4" t="s">
        <v>712</v>
      </c>
      <c r="E60" s="4">
        <v>11</v>
      </c>
    </row>
    <row r="61" spans="1:6" x14ac:dyDescent="0.2">
      <c r="A61" s="4" t="s">
        <v>707</v>
      </c>
      <c r="B61" s="4" t="s">
        <v>637</v>
      </c>
      <c r="C61" s="4" t="s">
        <v>709</v>
      </c>
      <c r="D61" s="4" t="s">
        <v>712</v>
      </c>
      <c r="E61" s="4">
        <v>40.700000000000003</v>
      </c>
    </row>
    <row r="62" spans="1:6" x14ac:dyDescent="0.2">
      <c r="A62" s="4" t="s">
        <v>707</v>
      </c>
      <c r="B62" s="4" t="s">
        <v>637</v>
      </c>
      <c r="C62" s="4" t="s">
        <v>709</v>
      </c>
      <c r="D62" s="4" t="s">
        <v>712</v>
      </c>
      <c r="E62" s="4">
        <v>33.299999999999997</v>
      </c>
    </row>
    <row r="63" spans="1:6" x14ac:dyDescent="0.2">
      <c r="A63" s="4" t="s">
        <v>707</v>
      </c>
      <c r="B63" s="4" t="s">
        <v>637</v>
      </c>
      <c r="C63" s="4" t="s">
        <v>709</v>
      </c>
      <c r="D63" s="4" t="s">
        <v>712</v>
      </c>
      <c r="E63" s="4">
        <v>35.1</v>
      </c>
    </row>
    <row r="64" spans="1:6" x14ac:dyDescent="0.2">
      <c r="A64" s="4" t="s">
        <v>707</v>
      </c>
      <c r="B64" s="4" t="s">
        <v>637</v>
      </c>
      <c r="C64" s="4" t="s">
        <v>709</v>
      </c>
      <c r="D64" s="4" t="s">
        <v>712</v>
      </c>
      <c r="E64" s="4">
        <v>42.6</v>
      </c>
    </row>
    <row r="65" spans="1:5" x14ac:dyDescent="0.2">
      <c r="A65" s="4" t="s">
        <v>707</v>
      </c>
      <c r="B65" s="4" t="s">
        <v>637</v>
      </c>
      <c r="C65" s="4" t="s">
        <v>709</v>
      </c>
      <c r="D65" s="4" t="s">
        <v>712</v>
      </c>
      <c r="E65" s="4">
        <v>36.700000000000003</v>
      </c>
    </row>
    <row r="66" spans="1:5" x14ac:dyDescent="0.2">
      <c r="A66" s="4" t="s">
        <v>707</v>
      </c>
      <c r="B66" s="4" t="s">
        <v>637</v>
      </c>
      <c r="C66" s="4" t="s">
        <v>709</v>
      </c>
      <c r="D66" s="4" t="s">
        <v>712</v>
      </c>
      <c r="E66" s="4">
        <v>16</v>
      </c>
    </row>
    <row r="67" spans="1:5" x14ac:dyDescent="0.2">
      <c r="A67" s="4" t="s">
        <v>707</v>
      </c>
      <c r="B67" s="4" t="s">
        <v>637</v>
      </c>
      <c r="C67" s="4" t="s">
        <v>709</v>
      </c>
      <c r="D67" s="4" t="s">
        <v>712</v>
      </c>
      <c r="E67" s="4">
        <v>21.3</v>
      </c>
    </row>
    <row r="68" spans="1:5" x14ac:dyDescent="0.2">
      <c r="A68" s="4" t="s">
        <v>707</v>
      </c>
      <c r="B68" s="4" t="s">
        <v>637</v>
      </c>
      <c r="C68" s="4" t="s">
        <v>709</v>
      </c>
      <c r="D68" s="4" t="s">
        <v>712</v>
      </c>
      <c r="E68" s="4">
        <v>38.799999999999997</v>
      </c>
    </row>
    <row r="69" spans="1:5" x14ac:dyDescent="0.2">
      <c r="A69" s="4" t="s">
        <v>707</v>
      </c>
      <c r="B69" s="4" t="s">
        <v>637</v>
      </c>
      <c r="C69" s="4" t="s">
        <v>709</v>
      </c>
      <c r="D69" s="4" t="s">
        <v>712</v>
      </c>
      <c r="E69" s="4">
        <v>22.5</v>
      </c>
    </row>
    <row r="70" spans="1:5" x14ac:dyDescent="0.2">
      <c r="A70" s="4" t="s">
        <v>707</v>
      </c>
      <c r="B70" s="4" t="s">
        <v>637</v>
      </c>
      <c r="C70" s="4" t="s">
        <v>709</v>
      </c>
      <c r="D70" s="4" t="s">
        <v>712</v>
      </c>
      <c r="E70" s="4">
        <v>27.1</v>
      </c>
    </row>
    <row r="71" spans="1:5" x14ac:dyDescent="0.2">
      <c r="A71" s="4" t="s">
        <v>707</v>
      </c>
      <c r="B71" s="4" t="s">
        <v>637</v>
      </c>
      <c r="C71" s="4" t="s">
        <v>709</v>
      </c>
      <c r="D71" s="4" t="s">
        <v>712</v>
      </c>
      <c r="E71" s="4">
        <v>29.6</v>
      </c>
    </row>
    <row r="72" spans="1:5" x14ac:dyDescent="0.2">
      <c r="A72" s="4" t="s">
        <v>707</v>
      </c>
      <c r="B72" s="4" t="s">
        <v>637</v>
      </c>
      <c r="C72" s="4" t="s">
        <v>709</v>
      </c>
      <c r="D72" s="4" t="s">
        <v>712</v>
      </c>
      <c r="E72" s="4">
        <v>18.5</v>
      </c>
    </row>
    <row r="73" spans="1:5" x14ac:dyDescent="0.2">
      <c r="A73" s="4" t="s">
        <v>707</v>
      </c>
      <c r="B73" s="4" t="s">
        <v>637</v>
      </c>
      <c r="C73" s="4" t="s">
        <v>709</v>
      </c>
      <c r="D73" s="4" t="s">
        <v>712</v>
      </c>
      <c r="E73" s="4">
        <v>19.7</v>
      </c>
    </row>
    <row r="74" spans="1:5" x14ac:dyDescent="0.2">
      <c r="A74" s="4" t="s">
        <v>707</v>
      </c>
      <c r="B74" s="4" t="s">
        <v>637</v>
      </c>
      <c r="C74" s="4" t="s">
        <v>709</v>
      </c>
      <c r="D74" s="4" t="s">
        <v>712</v>
      </c>
      <c r="E74" s="4">
        <v>18.7</v>
      </c>
    </row>
    <row r="75" spans="1:5" x14ac:dyDescent="0.2">
      <c r="A75" s="4" t="s">
        <v>707</v>
      </c>
      <c r="B75" s="4" t="s">
        <v>637</v>
      </c>
      <c r="C75" s="4" t="s">
        <v>709</v>
      </c>
      <c r="D75" s="4" t="s">
        <v>712</v>
      </c>
      <c r="E75" s="4">
        <v>23.6</v>
      </c>
    </row>
    <row r="76" spans="1:5" x14ac:dyDescent="0.2">
      <c r="A76" s="4" t="s">
        <v>707</v>
      </c>
      <c r="B76" s="4" t="s">
        <v>637</v>
      </c>
      <c r="C76" s="4" t="s">
        <v>710</v>
      </c>
      <c r="D76" s="4" t="s">
        <v>712</v>
      </c>
      <c r="E76" s="4">
        <v>10.3</v>
      </c>
    </row>
    <row r="77" spans="1:5" x14ac:dyDescent="0.2">
      <c r="A77" s="4" t="s">
        <v>707</v>
      </c>
      <c r="B77" s="4" t="s">
        <v>637</v>
      </c>
      <c r="C77" s="4" t="s">
        <v>709</v>
      </c>
      <c r="D77" s="4" t="s">
        <v>712</v>
      </c>
      <c r="E77" s="4">
        <v>20.9</v>
      </c>
    </row>
    <row r="78" spans="1:5" x14ac:dyDescent="0.2">
      <c r="A78" s="4" t="s">
        <v>707</v>
      </c>
      <c r="B78" s="4" t="s">
        <v>637</v>
      </c>
      <c r="C78" s="4" t="s">
        <v>709</v>
      </c>
      <c r="D78" s="4" t="s">
        <v>712</v>
      </c>
      <c r="E78" s="4">
        <v>54.6</v>
      </c>
    </row>
    <row r="79" spans="1:5" x14ac:dyDescent="0.2">
      <c r="A79" s="4" t="s">
        <v>707</v>
      </c>
      <c r="B79" s="4" t="s">
        <v>637</v>
      </c>
      <c r="C79" s="4" t="s">
        <v>709</v>
      </c>
      <c r="D79" s="4" t="s">
        <v>712</v>
      </c>
      <c r="E79" s="4">
        <v>31.2</v>
      </c>
    </row>
    <row r="80" spans="1:5" x14ac:dyDescent="0.2">
      <c r="A80" s="4" t="s">
        <v>707</v>
      </c>
      <c r="B80" s="4" t="s">
        <v>637</v>
      </c>
      <c r="C80" s="4" t="s">
        <v>709</v>
      </c>
      <c r="D80" s="4" t="s">
        <v>712</v>
      </c>
      <c r="E80" s="4">
        <v>43.1</v>
      </c>
    </row>
    <row r="81" spans="1:5" x14ac:dyDescent="0.2">
      <c r="A81" s="4" t="s">
        <v>707</v>
      </c>
      <c r="B81" s="4" t="s">
        <v>637</v>
      </c>
      <c r="C81" s="4" t="s">
        <v>709</v>
      </c>
      <c r="D81" s="4" t="s">
        <v>712</v>
      </c>
      <c r="E81" s="4">
        <v>14.7</v>
      </c>
    </row>
    <row r="82" spans="1:5" x14ac:dyDescent="0.2">
      <c r="A82" s="4" t="s">
        <v>707</v>
      </c>
      <c r="B82" s="4" t="s">
        <v>637</v>
      </c>
      <c r="C82" s="4" t="s">
        <v>709</v>
      </c>
      <c r="D82" s="4" t="s">
        <v>712</v>
      </c>
      <c r="E82" s="4">
        <v>25.9</v>
      </c>
    </row>
    <row r="83" spans="1:5" x14ac:dyDescent="0.2">
      <c r="A83" s="4" t="s">
        <v>707</v>
      </c>
      <c r="B83" s="4" t="s">
        <v>637</v>
      </c>
      <c r="C83" s="4" t="s">
        <v>709</v>
      </c>
      <c r="D83" s="4" t="s">
        <v>712</v>
      </c>
      <c r="E83" s="4">
        <v>50.4</v>
      </c>
    </row>
    <row r="84" spans="1:5" x14ac:dyDescent="0.2">
      <c r="A84" s="4" t="s">
        <v>707</v>
      </c>
      <c r="B84" s="4" t="s">
        <v>637</v>
      </c>
      <c r="C84" s="4" t="s">
        <v>709</v>
      </c>
      <c r="D84" s="4" t="s">
        <v>712</v>
      </c>
      <c r="E84" s="4">
        <v>28</v>
      </c>
    </row>
    <row r="85" spans="1:5" x14ac:dyDescent="0.2">
      <c r="A85" s="4" t="s">
        <v>707</v>
      </c>
      <c r="B85" s="4" t="s">
        <v>637</v>
      </c>
      <c r="C85" s="4" t="s">
        <v>709</v>
      </c>
      <c r="D85" s="4" t="s">
        <v>712</v>
      </c>
      <c r="E85" s="4">
        <v>26.6</v>
      </c>
    </row>
    <row r="86" spans="1:5" x14ac:dyDescent="0.2">
      <c r="A86" s="4" t="s">
        <v>707</v>
      </c>
      <c r="B86" s="4" t="s">
        <v>637</v>
      </c>
      <c r="C86" s="4" t="s">
        <v>709</v>
      </c>
      <c r="D86" s="4" t="s">
        <v>712</v>
      </c>
      <c r="E86" s="4">
        <v>27.3</v>
      </c>
    </row>
    <row r="87" spans="1:5" x14ac:dyDescent="0.2">
      <c r="A87" s="4" t="s">
        <v>707</v>
      </c>
      <c r="B87" s="4" t="s">
        <v>637</v>
      </c>
      <c r="C87" s="4" t="s">
        <v>709</v>
      </c>
      <c r="D87" s="4" t="s">
        <v>712</v>
      </c>
      <c r="E87" s="4">
        <v>23.4</v>
      </c>
    </row>
    <row r="88" spans="1:5" x14ac:dyDescent="0.2">
      <c r="A88" s="4" t="s">
        <v>707</v>
      </c>
      <c r="B88" s="4" t="s">
        <v>637</v>
      </c>
      <c r="C88" s="4" t="s">
        <v>709</v>
      </c>
      <c r="D88" s="4" t="s">
        <v>712</v>
      </c>
      <c r="E88" s="4">
        <v>51.3</v>
      </c>
    </row>
    <row r="89" spans="1:5" x14ac:dyDescent="0.2">
      <c r="A89" s="4" t="s">
        <v>707</v>
      </c>
      <c r="B89" s="4" t="s">
        <v>637</v>
      </c>
      <c r="C89" s="4" t="s">
        <v>709</v>
      </c>
      <c r="D89" s="4" t="s">
        <v>712</v>
      </c>
      <c r="E89" s="4">
        <v>53</v>
      </c>
    </row>
    <row r="90" spans="1:5" x14ac:dyDescent="0.2">
      <c r="A90" s="4" t="s">
        <v>707</v>
      </c>
      <c r="B90" s="4" t="s">
        <v>637</v>
      </c>
      <c r="C90" s="4" t="s">
        <v>709</v>
      </c>
      <c r="D90" s="4" t="s">
        <v>712</v>
      </c>
      <c r="E90" s="4">
        <v>28.2</v>
      </c>
    </row>
    <row r="91" spans="1:5" x14ac:dyDescent="0.2">
      <c r="A91" s="4" t="s">
        <v>707</v>
      </c>
      <c r="B91" s="4" t="s">
        <v>637</v>
      </c>
      <c r="C91" s="4" t="s">
        <v>709</v>
      </c>
      <c r="D91" s="4" t="s">
        <v>712</v>
      </c>
      <c r="E91" s="4">
        <v>30.1</v>
      </c>
    </row>
    <row r="92" spans="1:5" x14ac:dyDescent="0.2">
      <c r="A92" s="4" t="s">
        <v>707</v>
      </c>
      <c r="B92" s="4" t="s">
        <v>637</v>
      </c>
      <c r="C92" s="4" t="s">
        <v>709</v>
      </c>
      <c r="D92" s="4" t="s">
        <v>712</v>
      </c>
      <c r="E92" s="4">
        <v>35.299999999999997</v>
      </c>
    </row>
    <row r="93" spans="1:5" x14ac:dyDescent="0.2">
      <c r="A93" s="4" t="s">
        <v>707</v>
      </c>
      <c r="B93" s="4" t="s">
        <v>637</v>
      </c>
      <c r="C93" s="4" t="s">
        <v>709</v>
      </c>
      <c r="D93" s="4" t="s">
        <v>712</v>
      </c>
      <c r="E93" s="4">
        <v>48.5</v>
      </c>
    </row>
    <row r="94" spans="1:5" x14ac:dyDescent="0.2">
      <c r="A94" s="4" t="s">
        <v>707</v>
      </c>
      <c r="B94" s="4" t="s">
        <v>637</v>
      </c>
      <c r="C94" s="4" t="s">
        <v>709</v>
      </c>
      <c r="D94" s="4" t="s">
        <v>712</v>
      </c>
      <c r="E94" s="4">
        <v>21.5</v>
      </c>
    </row>
    <row r="95" spans="1:5" x14ac:dyDescent="0.2">
      <c r="A95" s="4" t="s">
        <v>718</v>
      </c>
      <c r="B95" s="4" t="s">
        <v>647</v>
      </c>
      <c r="C95" s="4" t="s">
        <v>710</v>
      </c>
      <c r="D95" s="4" t="s">
        <v>758</v>
      </c>
      <c r="E95" s="4">
        <v>44</v>
      </c>
    </row>
    <row r="96" spans="1:5" x14ac:dyDescent="0.2">
      <c r="A96" s="4" t="s">
        <v>718</v>
      </c>
      <c r="B96" s="4" t="s">
        <v>647</v>
      </c>
      <c r="C96" s="4" t="s">
        <v>710</v>
      </c>
      <c r="D96" s="4" t="s">
        <v>758</v>
      </c>
      <c r="E96" s="4">
        <v>49.1</v>
      </c>
    </row>
    <row r="97" spans="1:5" x14ac:dyDescent="0.2">
      <c r="A97" s="4" t="s">
        <v>718</v>
      </c>
      <c r="B97" s="4" t="s">
        <v>647</v>
      </c>
      <c r="C97" s="4" t="s">
        <v>710</v>
      </c>
      <c r="D97" s="4" t="s">
        <v>758</v>
      </c>
      <c r="E97" s="4">
        <v>43.9</v>
      </c>
    </row>
    <row r="98" spans="1:5" x14ac:dyDescent="0.2">
      <c r="A98" s="4" t="s">
        <v>718</v>
      </c>
      <c r="B98" s="4" t="s">
        <v>647</v>
      </c>
      <c r="C98" s="4" t="s">
        <v>710</v>
      </c>
      <c r="D98" s="4" t="s">
        <v>712</v>
      </c>
      <c r="E98" s="4">
        <v>23.7</v>
      </c>
    </row>
    <row r="99" spans="1:5" x14ac:dyDescent="0.2">
      <c r="A99" s="4" t="s">
        <v>718</v>
      </c>
      <c r="B99" s="4" t="s">
        <v>647</v>
      </c>
      <c r="C99" s="4" t="s">
        <v>710</v>
      </c>
      <c r="D99" s="4" t="s">
        <v>716</v>
      </c>
      <c r="E99" s="4">
        <v>15.3</v>
      </c>
    </row>
    <row r="100" spans="1:5" x14ac:dyDescent="0.2">
      <c r="A100" s="4" t="s">
        <v>718</v>
      </c>
      <c r="B100" s="4" t="s">
        <v>647</v>
      </c>
      <c r="C100" s="4" t="s">
        <v>710</v>
      </c>
      <c r="D100" s="4" t="s">
        <v>716</v>
      </c>
      <c r="E100" s="4">
        <v>14.7</v>
      </c>
    </row>
    <row r="101" spans="1:5" x14ac:dyDescent="0.2">
      <c r="A101" s="4" t="s">
        <v>718</v>
      </c>
      <c r="B101" s="4" t="s">
        <v>648</v>
      </c>
      <c r="C101" s="4" t="s">
        <v>710</v>
      </c>
      <c r="D101" s="4" t="s">
        <v>758</v>
      </c>
      <c r="E101" s="4">
        <v>55.4</v>
      </c>
    </row>
    <row r="102" spans="1:5" x14ac:dyDescent="0.2">
      <c r="A102" s="4" t="s">
        <v>718</v>
      </c>
      <c r="B102" s="4" t="s">
        <v>648</v>
      </c>
      <c r="C102" s="4" t="s">
        <v>710</v>
      </c>
      <c r="D102" s="4" t="s">
        <v>716</v>
      </c>
      <c r="E102" s="4">
        <v>15.2</v>
      </c>
    </row>
    <row r="103" spans="1:5" x14ac:dyDescent="0.2">
      <c r="A103" s="4" t="s">
        <v>718</v>
      </c>
      <c r="B103" s="4" t="s">
        <v>648</v>
      </c>
      <c r="C103" s="4" t="s">
        <v>710</v>
      </c>
      <c r="D103" s="4" t="s">
        <v>719</v>
      </c>
      <c r="E103" s="4">
        <v>11.4</v>
      </c>
    </row>
    <row r="104" spans="1:5" x14ac:dyDescent="0.2">
      <c r="A104" s="4" t="s">
        <v>718</v>
      </c>
      <c r="B104" s="4" t="s">
        <v>648</v>
      </c>
      <c r="C104" s="4" t="s">
        <v>710</v>
      </c>
      <c r="D104" s="4" t="s">
        <v>712</v>
      </c>
      <c r="E104" s="4">
        <v>36.4</v>
      </c>
    </row>
    <row r="105" spans="1:5" x14ac:dyDescent="0.2">
      <c r="A105" s="4" t="s">
        <v>718</v>
      </c>
      <c r="B105" s="4" t="s">
        <v>648</v>
      </c>
      <c r="C105" s="4" t="s">
        <v>710</v>
      </c>
      <c r="D105" s="4" t="s">
        <v>712</v>
      </c>
      <c r="E105" s="4">
        <v>47.3</v>
      </c>
    </row>
    <row r="106" spans="1:5" x14ac:dyDescent="0.2">
      <c r="A106" s="4" t="s">
        <v>718</v>
      </c>
      <c r="B106" s="4" t="s">
        <v>648</v>
      </c>
      <c r="C106" s="4" t="s">
        <v>710</v>
      </c>
      <c r="D106" s="4" t="s">
        <v>719</v>
      </c>
      <c r="E106" s="4">
        <v>19.5</v>
      </c>
    </row>
    <row r="107" spans="1:5" x14ac:dyDescent="0.2">
      <c r="A107" s="4" t="s">
        <v>718</v>
      </c>
      <c r="B107" s="4" t="s">
        <v>649</v>
      </c>
      <c r="C107" s="4" t="s">
        <v>710</v>
      </c>
      <c r="D107" s="4" t="s">
        <v>758</v>
      </c>
      <c r="E107" s="4">
        <v>62.5</v>
      </c>
    </row>
    <row r="108" spans="1:5" x14ac:dyDescent="0.2">
      <c r="A108" s="4" t="s">
        <v>718</v>
      </c>
      <c r="B108" s="4" t="s">
        <v>649</v>
      </c>
      <c r="C108" s="4" t="s">
        <v>710</v>
      </c>
      <c r="D108" s="4" t="s">
        <v>719</v>
      </c>
      <c r="E108" s="4">
        <v>17.399999999999999</v>
      </c>
    </row>
    <row r="109" spans="1:5" x14ac:dyDescent="0.2">
      <c r="A109" s="4" t="s">
        <v>718</v>
      </c>
      <c r="B109" s="4" t="s">
        <v>649</v>
      </c>
      <c r="C109" s="4" t="s">
        <v>710</v>
      </c>
      <c r="D109" s="4" t="s">
        <v>719</v>
      </c>
      <c r="E109" s="4">
        <v>26.1</v>
      </c>
    </row>
    <row r="110" spans="1:5" x14ac:dyDescent="0.2">
      <c r="A110" s="4" t="s">
        <v>718</v>
      </c>
      <c r="B110" s="4" t="s">
        <v>649</v>
      </c>
      <c r="C110" s="4" t="s">
        <v>710</v>
      </c>
      <c r="D110" s="4" t="s">
        <v>719</v>
      </c>
      <c r="E110" s="4">
        <v>8.6</v>
      </c>
    </row>
    <row r="111" spans="1:5" x14ac:dyDescent="0.2">
      <c r="A111" s="4" t="s">
        <v>718</v>
      </c>
      <c r="B111" s="4" t="s">
        <v>649</v>
      </c>
      <c r="C111" s="4" t="s">
        <v>710</v>
      </c>
      <c r="D111" s="4" t="s">
        <v>758</v>
      </c>
      <c r="E111" s="4">
        <v>59.7</v>
      </c>
    </row>
    <row r="112" spans="1:5" x14ac:dyDescent="0.2">
      <c r="A112" s="4" t="s">
        <v>718</v>
      </c>
      <c r="B112" s="4" t="s">
        <v>649</v>
      </c>
      <c r="C112" s="4" t="s">
        <v>710</v>
      </c>
      <c r="D112" s="4" t="s">
        <v>712</v>
      </c>
      <c r="E112" s="4">
        <v>42</v>
      </c>
    </row>
    <row r="113" spans="1:7" x14ac:dyDescent="0.2">
      <c r="A113" s="4" t="s">
        <v>718</v>
      </c>
      <c r="B113" s="4" t="s">
        <v>649</v>
      </c>
      <c r="C113" s="4" t="s">
        <v>710</v>
      </c>
      <c r="D113" s="4" t="s">
        <v>758</v>
      </c>
      <c r="E113" s="4">
        <v>36.9</v>
      </c>
    </row>
    <row r="114" spans="1:7" x14ac:dyDescent="0.2">
      <c r="A114" s="4" t="s">
        <v>718</v>
      </c>
      <c r="B114" s="4" t="s">
        <v>644</v>
      </c>
      <c r="C114" s="4" t="s">
        <v>710</v>
      </c>
      <c r="D114" s="4" t="s">
        <v>720</v>
      </c>
      <c r="F114" s="4">
        <v>25</v>
      </c>
      <c r="G114" s="4"/>
    </row>
    <row r="115" spans="1:7" x14ac:dyDescent="0.2">
      <c r="A115" s="4" t="s">
        <v>718</v>
      </c>
      <c r="B115" s="4" t="s">
        <v>644</v>
      </c>
      <c r="C115" s="4" t="s">
        <v>710</v>
      </c>
      <c r="D115" s="4" t="s">
        <v>721</v>
      </c>
      <c r="E115" s="4">
        <v>6.4</v>
      </c>
    </row>
    <row r="116" spans="1:7" x14ac:dyDescent="0.2">
      <c r="A116" s="4" t="s">
        <v>718</v>
      </c>
      <c r="B116" s="4" t="s">
        <v>636</v>
      </c>
      <c r="C116" s="4" t="s">
        <v>710</v>
      </c>
      <c r="D116" s="4" t="s">
        <v>758</v>
      </c>
      <c r="E116" s="4">
        <v>16.899999999999999</v>
      </c>
    </row>
    <row r="117" spans="1:7" x14ac:dyDescent="0.2">
      <c r="A117" s="4" t="s">
        <v>718</v>
      </c>
      <c r="B117" s="4" t="s">
        <v>636</v>
      </c>
      <c r="C117" s="4" t="s">
        <v>710</v>
      </c>
      <c r="D117" s="4" t="s">
        <v>758</v>
      </c>
      <c r="E117" s="4">
        <v>16</v>
      </c>
    </row>
    <row r="118" spans="1:7" x14ac:dyDescent="0.2">
      <c r="A118" s="4" t="s">
        <v>718</v>
      </c>
      <c r="B118" s="4" t="s">
        <v>636</v>
      </c>
      <c r="C118" s="4" t="s">
        <v>710</v>
      </c>
      <c r="D118" s="4" t="s">
        <v>759</v>
      </c>
      <c r="E118" s="4">
        <v>9.5</v>
      </c>
    </row>
    <row r="119" spans="1:7" x14ac:dyDescent="0.2">
      <c r="A119" s="4" t="s">
        <v>718</v>
      </c>
      <c r="B119" s="4" t="s">
        <v>631</v>
      </c>
      <c r="C119" s="4" t="s">
        <v>710</v>
      </c>
      <c r="D119" s="4" t="s">
        <v>719</v>
      </c>
      <c r="E119" s="4">
        <v>28.3</v>
      </c>
    </row>
    <row r="120" spans="1:7" x14ac:dyDescent="0.2">
      <c r="A120" s="4" t="s">
        <v>718</v>
      </c>
      <c r="B120" s="4" t="s">
        <v>631</v>
      </c>
      <c r="C120" s="4" t="s">
        <v>710</v>
      </c>
      <c r="D120" s="4" t="s">
        <v>723</v>
      </c>
      <c r="E120" s="4">
        <v>26.4</v>
      </c>
    </row>
    <row r="121" spans="1:7" x14ac:dyDescent="0.2">
      <c r="A121" s="4" t="s">
        <v>718</v>
      </c>
      <c r="B121" s="4" t="s">
        <v>646</v>
      </c>
      <c r="C121" s="4" t="s">
        <v>710</v>
      </c>
      <c r="D121" s="4" t="s">
        <v>724</v>
      </c>
      <c r="F121" s="4">
        <v>2</v>
      </c>
    </row>
    <row r="122" spans="1:7" x14ac:dyDescent="0.2">
      <c r="A122" s="4" t="s">
        <v>718</v>
      </c>
      <c r="B122" s="4" t="s">
        <v>638</v>
      </c>
      <c r="C122" s="4" t="s">
        <v>710</v>
      </c>
      <c r="D122" s="4" t="s">
        <v>719</v>
      </c>
      <c r="E122" s="4">
        <v>17.899999999999999</v>
      </c>
      <c r="G122" s="4"/>
    </row>
    <row r="123" spans="1:7" x14ac:dyDescent="0.2">
      <c r="A123" s="4" t="s">
        <v>718</v>
      </c>
      <c r="B123" s="4" t="s">
        <v>638</v>
      </c>
      <c r="C123" s="4" t="s">
        <v>710</v>
      </c>
      <c r="D123" s="4" t="s">
        <v>719</v>
      </c>
      <c r="E123" s="4">
        <v>19.3</v>
      </c>
    </row>
    <row r="124" spans="1:7" x14ac:dyDescent="0.2">
      <c r="A124" s="4" t="s">
        <v>718</v>
      </c>
      <c r="B124" s="4" t="s">
        <v>638</v>
      </c>
      <c r="C124" s="4" t="s">
        <v>710</v>
      </c>
      <c r="D124" s="4" t="s">
        <v>719</v>
      </c>
      <c r="E124" s="4">
        <v>14</v>
      </c>
    </row>
    <row r="125" spans="1:7" x14ac:dyDescent="0.2">
      <c r="A125" s="4" t="s">
        <v>718</v>
      </c>
      <c r="B125" s="4" t="s">
        <v>638</v>
      </c>
      <c r="C125" s="4" t="s">
        <v>710</v>
      </c>
      <c r="D125" s="4" t="s">
        <v>708</v>
      </c>
      <c r="E125" s="4">
        <v>45</v>
      </c>
    </row>
    <row r="126" spans="1:7" x14ac:dyDescent="0.2">
      <c r="A126" s="4" t="s">
        <v>718</v>
      </c>
      <c r="B126" s="4" t="s">
        <v>638</v>
      </c>
      <c r="C126" s="4" t="s">
        <v>710</v>
      </c>
      <c r="D126" s="4" t="s">
        <v>719</v>
      </c>
      <c r="E126" s="4">
        <v>9.9</v>
      </c>
    </row>
    <row r="127" spans="1:7" x14ac:dyDescent="0.2">
      <c r="A127" s="4" t="s">
        <v>718</v>
      </c>
      <c r="B127" s="4" t="s">
        <v>638</v>
      </c>
      <c r="C127" s="4" t="s">
        <v>710</v>
      </c>
      <c r="D127" s="4" t="s">
        <v>719</v>
      </c>
      <c r="E127" s="4">
        <v>9.8000000000000007</v>
      </c>
    </row>
    <row r="128" spans="1:7" x14ac:dyDescent="0.2">
      <c r="A128" s="4" t="s">
        <v>718</v>
      </c>
      <c r="B128" s="4" t="s">
        <v>638</v>
      </c>
      <c r="C128" s="4" t="s">
        <v>710</v>
      </c>
      <c r="D128" s="4" t="s">
        <v>719</v>
      </c>
      <c r="E128" s="4">
        <v>13.3</v>
      </c>
    </row>
    <row r="129" spans="1:5" x14ac:dyDescent="0.2">
      <c r="A129" s="4" t="s">
        <v>718</v>
      </c>
      <c r="B129" s="4" t="s">
        <v>638</v>
      </c>
      <c r="C129" s="4" t="s">
        <v>710</v>
      </c>
      <c r="D129" s="4" t="s">
        <v>719</v>
      </c>
      <c r="E129" s="4">
        <v>11.5</v>
      </c>
    </row>
    <row r="130" spans="1:5" x14ac:dyDescent="0.2">
      <c r="A130" s="4" t="s">
        <v>718</v>
      </c>
      <c r="B130" s="4" t="s">
        <v>643</v>
      </c>
      <c r="C130" s="4" t="s">
        <v>710</v>
      </c>
      <c r="D130" s="4" t="s">
        <v>760</v>
      </c>
      <c r="E130" s="4">
        <v>29.3</v>
      </c>
    </row>
    <row r="131" spans="1:5" x14ac:dyDescent="0.2">
      <c r="A131" s="4" t="s">
        <v>718</v>
      </c>
      <c r="B131" s="4" t="s">
        <v>643</v>
      </c>
      <c r="C131" s="4" t="s">
        <v>710</v>
      </c>
      <c r="D131" s="4" t="s">
        <v>719</v>
      </c>
      <c r="E131" s="4">
        <v>20.6</v>
      </c>
    </row>
    <row r="132" spans="1:5" x14ac:dyDescent="0.2">
      <c r="A132" s="4" t="s">
        <v>718</v>
      </c>
      <c r="B132" s="4" t="s">
        <v>641</v>
      </c>
      <c r="C132" s="4" t="s">
        <v>710</v>
      </c>
      <c r="D132" s="4" t="s">
        <v>713</v>
      </c>
      <c r="E132" s="4">
        <v>26.3</v>
      </c>
    </row>
    <row r="133" spans="1:5" x14ac:dyDescent="0.2">
      <c r="A133" s="4" t="s">
        <v>718</v>
      </c>
      <c r="B133" s="4" t="s">
        <v>641</v>
      </c>
      <c r="C133" s="4" t="s">
        <v>710</v>
      </c>
      <c r="D133" s="4" t="s">
        <v>713</v>
      </c>
      <c r="E133" s="4">
        <v>21.3</v>
      </c>
    </row>
    <row r="134" spans="1:5" x14ac:dyDescent="0.2">
      <c r="A134" s="4" t="s">
        <v>718</v>
      </c>
      <c r="B134" s="4" t="s">
        <v>641</v>
      </c>
      <c r="C134" s="4" t="s">
        <v>710</v>
      </c>
      <c r="D134" s="4" t="s">
        <v>760</v>
      </c>
      <c r="E134" s="4">
        <v>19.100000000000001</v>
      </c>
    </row>
    <row r="135" spans="1:5" x14ac:dyDescent="0.2">
      <c r="A135" s="4" t="s">
        <v>718</v>
      </c>
      <c r="B135" s="4" t="s">
        <v>641</v>
      </c>
      <c r="C135" s="4" t="s">
        <v>710</v>
      </c>
      <c r="D135" s="4" t="s">
        <v>713</v>
      </c>
      <c r="E135" s="4">
        <v>22.1</v>
      </c>
    </row>
    <row r="136" spans="1:5" x14ac:dyDescent="0.2">
      <c r="A136" s="4" t="s">
        <v>718</v>
      </c>
      <c r="B136" s="4" t="s">
        <v>635</v>
      </c>
      <c r="C136" s="4" t="s">
        <v>710</v>
      </c>
      <c r="D136" s="4" t="s">
        <v>719</v>
      </c>
      <c r="E136" s="4">
        <v>13.1</v>
      </c>
    </row>
    <row r="137" spans="1:5" x14ac:dyDescent="0.2">
      <c r="A137" s="4" t="s">
        <v>718</v>
      </c>
      <c r="B137" s="4" t="s">
        <v>635</v>
      </c>
      <c r="C137" s="4" t="s">
        <v>710</v>
      </c>
      <c r="D137" s="4" t="s">
        <v>719</v>
      </c>
      <c r="E137" s="4">
        <v>13.5</v>
      </c>
    </row>
    <row r="138" spans="1:5" x14ac:dyDescent="0.2">
      <c r="A138" s="4" t="s">
        <v>718</v>
      </c>
      <c r="B138" s="4" t="s">
        <v>635</v>
      </c>
      <c r="C138" s="4" t="s">
        <v>710</v>
      </c>
      <c r="D138" s="4" t="s">
        <v>719</v>
      </c>
      <c r="E138" s="4">
        <v>35.6</v>
      </c>
    </row>
    <row r="139" spans="1:5" x14ac:dyDescent="0.2">
      <c r="A139" s="4" t="s">
        <v>718</v>
      </c>
      <c r="B139" s="4" t="s">
        <v>635</v>
      </c>
      <c r="C139" s="4" t="s">
        <v>710</v>
      </c>
      <c r="D139" s="4" t="s">
        <v>719</v>
      </c>
      <c r="E139" s="4">
        <v>24.5</v>
      </c>
    </row>
    <row r="140" spans="1:5" x14ac:dyDescent="0.2">
      <c r="A140" s="4" t="s">
        <v>718</v>
      </c>
      <c r="B140" s="4" t="s">
        <v>635</v>
      </c>
      <c r="C140" s="4" t="s">
        <v>710</v>
      </c>
      <c r="D140" s="4" t="s">
        <v>758</v>
      </c>
      <c r="E140" s="4">
        <v>14.6</v>
      </c>
    </row>
    <row r="141" spans="1:5" x14ac:dyDescent="0.2">
      <c r="A141" s="4" t="s">
        <v>718</v>
      </c>
      <c r="B141" s="4" t="s">
        <v>635</v>
      </c>
      <c r="C141" s="4" t="s">
        <v>710</v>
      </c>
      <c r="D141" s="4" t="s">
        <v>719</v>
      </c>
      <c r="E141" s="4">
        <v>6.7</v>
      </c>
    </row>
    <row r="142" spans="1:5" x14ac:dyDescent="0.2">
      <c r="A142" s="4" t="s">
        <v>718</v>
      </c>
      <c r="B142" s="4" t="s">
        <v>635</v>
      </c>
      <c r="C142" s="4" t="s">
        <v>710</v>
      </c>
      <c r="D142" s="4" t="s">
        <v>758</v>
      </c>
      <c r="E142" s="4">
        <v>11.1</v>
      </c>
    </row>
    <row r="143" spans="1:5" x14ac:dyDescent="0.2">
      <c r="A143" s="4" t="s">
        <v>718</v>
      </c>
      <c r="B143" s="4" t="s">
        <v>635</v>
      </c>
      <c r="C143" s="4" t="s">
        <v>710</v>
      </c>
      <c r="D143" s="4" t="s">
        <v>712</v>
      </c>
      <c r="E143" s="4">
        <v>45.2</v>
      </c>
    </row>
    <row r="144" spans="1:5" x14ac:dyDescent="0.2">
      <c r="A144" s="4" t="s">
        <v>718</v>
      </c>
      <c r="B144" s="4" t="s">
        <v>635</v>
      </c>
      <c r="C144" s="4" t="s">
        <v>710</v>
      </c>
      <c r="D144" s="4" t="s">
        <v>719</v>
      </c>
      <c r="E144" s="4">
        <v>12.8</v>
      </c>
    </row>
    <row r="145" spans="1:5" x14ac:dyDescent="0.2">
      <c r="A145" s="4" t="s">
        <v>718</v>
      </c>
      <c r="B145" s="4" t="s">
        <v>635</v>
      </c>
      <c r="C145" s="4" t="s">
        <v>710</v>
      </c>
      <c r="D145" s="4" t="s">
        <v>719</v>
      </c>
      <c r="E145" s="4">
        <v>49.2</v>
      </c>
    </row>
    <row r="146" spans="1:5" x14ac:dyDescent="0.2">
      <c r="A146" s="4" t="s">
        <v>718</v>
      </c>
      <c r="B146" s="4" t="s">
        <v>635</v>
      </c>
      <c r="C146" s="4" t="s">
        <v>710</v>
      </c>
      <c r="D146" s="4" t="s">
        <v>719</v>
      </c>
      <c r="E146" s="4">
        <v>10</v>
      </c>
    </row>
    <row r="147" spans="1:5" x14ac:dyDescent="0.2">
      <c r="A147" s="4" t="s">
        <v>718</v>
      </c>
      <c r="B147" s="4" t="s">
        <v>635</v>
      </c>
      <c r="C147" s="4" t="s">
        <v>710</v>
      </c>
      <c r="D147" s="4" t="s">
        <v>719</v>
      </c>
      <c r="E147" s="4">
        <v>7.3</v>
      </c>
    </row>
    <row r="148" spans="1:5" x14ac:dyDescent="0.2">
      <c r="A148" s="4" t="s">
        <v>718</v>
      </c>
      <c r="B148" s="4" t="s">
        <v>635</v>
      </c>
      <c r="C148" s="4" t="s">
        <v>710</v>
      </c>
      <c r="D148" s="4" t="s">
        <v>719</v>
      </c>
      <c r="E148" s="4">
        <v>8.6</v>
      </c>
    </row>
    <row r="149" spans="1:5" x14ac:dyDescent="0.2">
      <c r="A149" s="4" t="s">
        <v>718</v>
      </c>
      <c r="B149" s="4" t="s">
        <v>635</v>
      </c>
      <c r="C149" s="4" t="s">
        <v>710</v>
      </c>
      <c r="D149" s="4" t="s">
        <v>719</v>
      </c>
      <c r="E149" s="4">
        <v>12.3</v>
      </c>
    </row>
    <row r="150" spans="1:5" x14ac:dyDescent="0.2">
      <c r="A150" s="4" t="s">
        <v>718</v>
      </c>
      <c r="B150" s="4" t="s">
        <v>634</v>
      </c>
      <c r="C150" s="4" t="s">
        <v>710</v>
      </c>
      <c r="D150" s="4" t="s">
        <v>719</v>
      </c>
      <c r="E150" s="4">
        <v>11.6</v>
      </c>
    </row>
    <row r="151" spans="1:5" x14ac:dyDescent="0.2">
      <c r="A151" s="4" t="s">
        <v>718</v>
      </c>
      <c r="B151" s="4" t="s">
        <v>634</v>
      </c>
      <c r="C151" s="4" t="s">
        <v>710</v>
      </c>
      <c r="D151" s="4" t="s">
        <v>719</v>
      </c>
      <c r="E151" s="4">
        <v>45.7</v>
      </c>
    </row>
    <row r="152" spans="1:5" x14ac:dyDescent="0.2">
      <c r="A152" s="4" t="s">
        <v>718</v>
      </c>
      <c r="B152" s="4" t="s">
        <v>634</v>
      </c>
      <c r="C152" s="4" t="s">
        <v>710</v>
      </c>
      <c r="D152" s="4" t="s">
        <v>719</v>
      </c>
      <c r="E152" s="4">
        <v>6</v>
      </c>
    </row>
    <row r="153" spans="1:5" x14ac:dyDescent="0.2">
      <c r="A153" s="4" t="s">
        <v>718</v>
      </c>
      <c r="B153" s="4" t="s">
        <v>634</v>
      </c>
      <c r="C153" s="4" t="s">
        <v>710</v>
      </c>
      <c r="D153" s="4" t="s">
        <v>719</v>
      </c>
      <c r="E153" s="4">
        <v>42.7</v>
      </c>
    </row>
    <row r="154" spans="1:5" x14ac:dyDescent="0.2">
      <c r="A154" s="4" t="s">
        <v>718</v>
      </c>
      <c r="B154" s="4" t="s">
        <v>634</v>
      </c>
      <c r="C154" s="4" t="s">
        <v>710</v>
      </c>
      <c r="D154" s="4" t="s">
        <v>719</v>
      </c>
      <c r="E154" s="4">
        <v>11.5</v>
      </c>
    </row>
    <row r="155" spans="1:5" x14ac:dyDescent="0.2">
      <c r="A155" s="4" t="s">
        <v>718</v>
      </c>
      <c r="B155" s="4" t="s">
        <v>634</v>
      </c>
      <c r="C155" s="4" t="s">
        <v>710</v>
      </c>
      <c r="D155" s="4" t="s">
        <v>719</v>
      </c>
      <c r="E155" s="4">
        <v>7.2</v>
      </c>
    </row>
    <row r="156" spans="1:5" x14ac:dyDescent="0.2">
      <c r="A156" s="4" t="s">
        <v>718</v>
      </c>
      <c r="B156" s="4" t="s">
        <v>634</v>
      </c>
      <c r="C156" s="4" t="s">
        <v>710</v>
      </c>
      <c r="D156" s="4" t="s">
        <v>719</v>
      </c>
      <c r="E156" s="4">
        <v>2.8</v>
      </c>
    </row>
    <row r="157" spans="1:5" x14ac:dyDescent="0.2">
      <c r="A157" s="4" t="s">
        <v>718</v>
      </c>
      <c r="B157" s="4" t="s">
        <v>634</v>
      </c>
      <c r="C157" s="4" t="s">
        <v>710</v>
      </c>
      <c r="D157" s="4" t="s">
        <v>719</v>
      </c>
      <c r="E157" s="4">
        <v>5</v>
      </c>
    </row>
    <row r="158" spans="1:5" x14ac:dyDescent="0.2">
      <c r="A158" s="4" t="s">
        <v>718</v>
      </c>
      <c r="B158" s="4" t="s">
        <v>634</v>
      </c>
      <c r="C158" s="4" t="s">
        <v>710</v>
      </c>
      <c r="D158" s="4" t="s">
        <v>712</v>
      </c>
      <c r="E158" s="4">
        <v>21.2</v>
      </c>
    </row>
    <row r="159" spans="1:5" x14ac:dyDescent="0.2">
      <c r="A159" s="4" t="s">
        <v>718</v>
      </c>
      <c r="B159" s="4" t="s">
        <v>634</v>
      </c>
      <c r="C159" s="4" t="s">
        <v>710</v>
      </c>
      <c r="D159" s="4" t="s">
        <v>712</v>
      </c>
      <c r="E159" s="4">
        <v>6.8</v>
      </c>
    </row>
    <row r="160" spans="1:5" x14ac:dyDescent="0.2">
      <c r="A160" s="4" t="s">
        <v>718</v>
      </c>
      <c r="B160" s="4" t="s">
        <v>634</v>
      </c>
      <c r="C160" s="4" t="s">
        <v>710</v>
      </c>
      <c r="D160" s="4" t="s">
        <v>712</v>
      </c>
      <c r="E160" s="4">
        <v>33.799999999999997</v>
      </c>
    </row>
    <row r="161" spans="1:6" x14ac:dyDescent="0.2">
      <c r="A161" s="4" t="s">
        <v>718</v>
      </c>
      <c r="B161" s="4" t="s">
        <v>634</v>
      </c>
      <c r="C161" s="4" t="s">
        <v>710</v>
      </c>
      <c r="D161" s="4" t="s">
        <v>719</v>
      </c>
      <c r="E161" s="4">
        <v>8.6</v>
      </c>
    </row>
    <row r="162" spans="1:6" x14ac:dyDescent="0.2">
      <c r="A162" s="4" t="s">
        <v>718</v>
      </c>
      <c r="B162" s="4" t="s">
        <v>634</v>
      </c>
      <c r="C162" s="4" t="s">
        <v>710</v>
      </c>
      <c r="D162" s="4" t="s">
        <v>712</v>
      </c>
      <c r="E162" s="4">
        <v>36.6</v>
      </c>
    </row>
    <row r="163" spans="1:6" x14ac:dyDescent="0.2">
      <c r="A163" s="4" t="s">
        <v>718</v>
      </c>
      <c r="B163" s="4" t="s">
        <v>634</v>
      </c>
      <c r="C163" s="4" t="s">
        <v>710</v>
      </c>
      <c r="D163" s="4" t="s">
        <v>758</v>
      </c>
      <c r="E163" s="4">
        <v>17</v>
      </c>
    </row>
    <row r="164" spans="1:6" x14ac:dyDescent="0.2">
      <c r="A164" s="4" t="s">
        <v>718</v>
      </c>
      <c r="B164" s="4" t="s">
        <v>640</v>
      </c>
      <c r="C164" s="4" t="s">
        <v>710</v>
      </c>
      <c r="D164" s="4" t="s">
        <v>719</v>
      </c>
      <c r="E164" s="4">
        <v>37.5</v>
      </c>
    </row>
    <row r="165" spans="1:6" x14ac:dyDescent="0.2">
      <c r="A165" s="4" t="s">
        <v>718</v>
      </c>
      <c r="B165" s="4" t="s">
        <v>640</v>
      </c>
      <c r="C165" s="4" t="s">
        <v>710</v>
      </c>
      <c r="D165" s="4" t="s">
        <v>724</v>
      </c>
      <c r="F165" s="4">
        <v>1</v>
      </c>
    </row>
    <row r="166" spans="1:6" x14ac:dyDescent="0.2">
      <c r="A166" s="4" t="s">
        <v>718</v>
      </c>
      <c r="B166" s="4" t="s">
        <v>640</v>
      </c>
      <c r="C166" s="4" t="s">
        <v>710</v>
      </c>
      <c r="D166" s="4" t="s">
        <v>724</v>
      </c>
      <c r="E166" s="4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119"/>
  <sheetViews>
    <sheetView tabSelected="1" workbookViewId="0">
      <selection sqref="A1:E119"/>
    </sheetView>
  </sheetViews>
  <sheetFormatPr defaultColWidth="12.7109375" defaultRowHeight="15.75" customHeight="1" x14ac:dyDescent="0.2"/>
  <cols>
    <col min="1" max="2" width="6.7109375" customWidth="1"/>
    <col min="3" max="3" width="13" customWidth="1"/>
    <col min="4" max="4" width="21.7109375" customWidth="1"/>
    <col min="5" max="5" width="15.140625" customWidth="1"/>
    <col min="6" max="6" width="19.140625" customWidth="1"/>
  </cols>
  <sheetData>
    <row r="1" spans="1:6" x14ac:dyDescent="0.2">
      <c r="A1" s="22" t="s">
        <v>614</v>
      </c>
      <c r="B1" s="22" t="s">
        <v>726</v>
      </c>
      <c r="C1" s="22" t="s">
        <v>727</v>
      </c>
      <c r="D1" s="22" t="s">
        <v>728</v>
      </c>
      <c r="E1" s="22" t="s">
        <v>729</v>
      </c>
      <c r="F1" s="27"/>
    </row>
    <row r="2" spans="1:6" x14ac:dyDescent="0.2">
      <c r="A2" s="4" t="s">
        <v>647</v>
      </c>
      <c r="E2" s="4">
        <v>12</v>
      </c>
    </row>
    <row r="3" spans="1:6" x14ac:dyDescent="0.2">
      <c r="A3" s="4" t="s">
        <v>647</v>
      </c>
      <c r="B3" s="4">
        <v>20.46</v>
      </c>
      <c r="C3" s="4">
        <v>21.3</v>
      </c>
    </row>
    <row r="4" spans="1:6" x14ac:dyDescent="0.2">
      <c r="A4" s="4" t="s">
        <v>647</v>
      </c>
      <c r="B4" s="4">
        <v>22.79</v>
      </c>
      <c r="C4" s="4">
        <v>9.6</v>
      </c>
    </row>
    <row r="5" spans="1:6" x14ac:dyDescent="0.2">
      <c r="A5" s="4" t="s">
        <v>647</v>
      </c>
      <c r="B5" s="4">
        <v>23.25</v>
      </c>
      <c r="C5" s="4">
        <v>8</v>
      </c>
    </row>
    <row r="6" spans="1:6" x14ac:dyDescent="0.2">
      <c r="A6" s="4" t="s">
        <v>647</v>
      </c>
      <c r="B6" s="4">
        <v>23.75</v>
      </c>
      <c r="C6" s="4">
        <v>8</v>
      </c>
    </row>
    <row r="7" spans="1:6" x14ac:dyDescent="0.2">
      <c r="A7" s="4" t="s">
        <v>647</v>
      </c>
      <c r="B7" s="4">
        <v>24.95</v>
      </c>
      <c r="C7" s="4">
        <v>31</v>
      </c>
    </row>
    <row r="8" spans="1:6" x14ac:dyDescent="0.2">
      <c r="A8" s="4" t="s">
        <v>647</v>
      </c>
      <c r="B8" s="4">
        <v>25.45</v>
      </c>
      <c r="C8" s="4">
        <v>13.8</v>
      </c>
    </row>
    <row r="9" spans="1:6" x14ac:dyDescent="0.2">
      <c r="A9" s="4" t="s">
        <v>648</v>
      </c>
      <c r="E9" s="4">
        <v>26</v>
      </c>
    </row>
    <row r="10" spans="1:6" x14ac:dyDescent="0.2">
      <c r="A10" s="4" t="s">
        <v>648</v>
      </c>
      <c r="B10" s="4">
        <v>0.95</v>
      </c>
      <c r="C10" s="4">
        <v>11</v>
      </c>
    </row>
    <row r="11" spans="1:6" x14ac:dyDescent="0.2">
      <c r="A11" s="4" t="s">
        <v>648</v>
      </c>
      <c r="B11" s="4">
        <v>3.75</v>
      </c>
      <c r="C11" s="4">
        <v>7.8</v>
      </c>
    </row>
    <row r="12" spans="1:6" x14ac:dyDescent="0.2">
      <c r="A12" s="4" t="s">
        <v>648</v>
      </c>
      <c r="B12" s="4">
        <v>4.0199999999999996</v>
      </c>
      <c r="C12" s="4">
        <v>10.1</v>
      </c>
    </row>
    <row r="13" spans="1:6" x14ac:dyDescent="0.2">
      <c r="A13" s="4" t="s">
        <v>648</v>
      </c>
      <c r="B13" s="4">
        <v>4.5999999999999996</v>
      </c>
      <c r="C13" s="4">
        <v>9</v>
      </c>
    </row>
    <row r="14" spans="1:6" x14ac:dyDescent="0.2">
      <c r="A14" s="4" t="s">
        <v>648</v>
      </c>
      <c r="B14" s="4">
        <v>14.85</v>
      </c>
      <c r="C14" s="4">
        <v>17</v>
      </c>
    </row>
    <row r="15" spans="1:6" x14ac:dyDescent="0.2">
      <c r="A15" s="4" t="s">
        <v>648</v>
      </c>
      <c r="B15" s="4">
        <v>32.909999999999997</v>
      </c>
      <c r="C15" s="4">
        <v>17</v>
      </c>
      <c r="D15" s="4" t="s">
        <v>712</v>
      </c>
    </row>
    <row r="16" spans="1:6" x14ac:dyDescent="0.2">
      <c r="A16" s="4" t="s">
        <v>648</v>
      </c>
      <c r="B16" s="4">
        <v>35.200000000000003</v>
      </c>
      <c r="C16" s="4">
        <v>9</v>
      </c>
    </row>
    <row r="17" spans="1:5" x14ac:dyDescent="0.2">
      <c r="A17" s="4" t="s">
        <v>648</v>
      </c>
      <c r="B17" s="4">
        <v>40.200000000000003</v>
      </c>
      <c r="C17" s="4">
        <v>21</v>
      </c>
    </row>
    <row r="18" spans="1:5" x14ac:dyDescent="0.2">
      <c r="A18" s="4" t="s">
        <v>648</v>
      </c>
      <c r="B18" s="4">
        <v>41.55</v>
      </c>
      <c r="C18" s="4">
        <v>11</v>
      </c>
    </row>
    <row r="19" spans="1:5" x14ac:dyDescent="0.2">
      <c r="A19" s="4" t="s">
        <v>649</v>
      </c>
      <c r="B19" s="4">
        <v>9.35</v>
      </c>
      <c r="C19" s="4">
        <v>14</v>
      </c>
    </row>
    <row r="20" spans="1:5" x14ac:dyDescent="0.2">
      <c r="A20" s="4" t="s">
        <v>649</v>
      </c>
      <c r="B20" s="4">
        <v>13.53</v>
      </c>
      <c r="C20" s="4">
        <v>14.2</v>
      </c>
    </row>
    <row r="21" spans="1:5" x14ac:dyDescent="0.2">
      <c r="A21" s="4" t="s">
        <v>649</v>
      </c>
      <c r="B21" s="4">
        <v>14.27</v>
      </c>
      <c r="C21" s="4">
        <v>23.1</v>
      </c>
    </row>
    <row r="22" spans="1:5" x14ac:dyDescent="0.2">
      <c r="A22" s="4" t="s">
        <v>649</v>
      </c>
      <c r="E22" s="4">
        <v>13</v>
      </c>
    </row>
    <row r="23" spans="1:5" x14ac:dyDescent="0.2">
      <c r="A23" s="4" t="s">
        <v>649</v>
      </c>
      <c r="B23" s="4">
        <v>17.41</v>
      </c>
      <c r="C23" s="4">
        <v>10.6</v>
      </c>
    </row>
    <row r="24" spans="1:5" x14ac:dyDescent="0.2">
      <c r="A24" s="4" t="s">
        <v>649</v>
      </c>
      <c r="B24" s="4">
        <v>18.8</v>
      </c>
      <c r="C24" s="4">
        <v>19.2</v>
      </c>
      <c r="D24" s="4" t="s">
        <v>712</v>
      </c>
    </row>
    <row r="25" spans="1:5" x14ac:dyDescent="0.2">
      <c r="A25" s="4" t="s">
        <v>649</v>
      </c>
      <c r="B25" s="4">
        <v>27.79</v>
      </c>
      <c r="C25" s="4">
        <v>8.4</v>
      </c>
    </row>
    <row r="26" spans="1:5" x14ac:dyDescent="0.2">
      <c r="A26" s="4" t="s">
        <v>649</v>
      </c>
      <c r="B26" s="4">
        <v>28.4</v>
      </c>
      <c r="C26" s="4">
        <v>12.2</v>
      </c>
    </row>
    <row r="27" spans="1:5" x14ac:dyDescent="0.2">
      <c r="A27" s="4" t="s">
        <v>649</v>
      </c>
      <c r="B27" s="4">
        <v>44.9</v>
      </c>
      <c r="C27" s="4">
        <v>52.5</v>
      </c>
      <c r="D27" s="4" t="s">
        <v>721</v>
      </c>
    </row>
    <row r="28" spans="1:5" x14ac:dyDescent="0.2">
      <c r="A28" s="4" t="s">
        <v>649</v>
      </c>
      <c r="B28" s="4">
        <v>45.9</v>
      </c>
      <c r="C28" s="4">
        <v>45.9</v>
      </c>
      <c r="D28" s="4" t="s">
        <v>721</v>
      </c>
    </row>
    <row r="29" spans="1:5" x14ac:dyDescent="0.2">
      <c r="A29" s="4" t="s">
        <v>649</v>
      </c>
      <c r="B29" s="4">
        <v>46.73</v>
      </c>
      <c r="C29" s="4">
        <v>15.4</v>
      </c>
      <c r="D29" s="4" t="s">
        <v>721</v>
      </c>
    </row>
    <row r="30" spans="1:5" x14ac:dyDescent="0.2">
      <c r="A30" s="4" t="s">
        <v>649</v>
      </c>
      <c r="B30" s="4">
        <v>46.68</v>
      </c>
      <c r="C30" s="4">
        <v>44.9</v>
      </c>
      <c r="D30" s="4" t="s">
        <v>721</v>
      </c>
    </row>
    <row r="31" spans="1:5" x14ac:dyDescent="0.2">
      <c r="A31" s="4" t="s">
        <v>644</v>
      </c>
      <c r="E31" s="4">
        <v>10</v>
      </c>
    </row>
    <row r="32" spans="1:5" x14ac:dyDescent="0.2">
      <c r="A32" s="4" t="s">
        <v>644</v>
      </c>
      <c r="B32" s="4">
        <v>41.24</v>
      </c>
      <c r="C32" s="4">
        <v>8</v>
      </c>
      <c r="D32" s="4" t="s">
        <v>721</v>
      </c>
    </row>
    <row r="33" spans="1:5" x14ac:dyDescent="0.2">
      <c r="A33" s="4" t="s">
        <v>644</v>
      </c>
      <c r="B33" s="4">
        <v>45.03</v>
      </c>
      <c r="C33" s="4">
        <v>9</v>
      </c>
    </row>
    <row r="34" spans="1:5" x14ac:dyDescent="0.2">
      <c r="A34" s="4" t="s">
        <v>644</v>
      </c>
      <c r="B34" s="4">
        <v>47.21</v>
      </c>
      <c r="C34" s="4">
        <v>21</v>
      </c>
    </row>
    <row r="35" spans="1:5" x14ac:dyDescent="0.2">
      <c r="A35" s="4" t="s">
        <v>636</v>
      </c>
      <c r="E35" s="4">
        <v>35</v>
      </c>
    </row>
    <row r="36" spans="1:5" x14ac:dyDescent="0.2">
      <c r="A36" s="4" t="s">
        <v>636</v>
      </c>
      <c r="B36" s="4">
        <v>6.31</v>
      </c>
      <c r="C36" s="4">
        <v>10</v>
      </c>
    </row>
    <row r="37" spans="1:5" x14ac:dyDescent="0.2">
      <c r="A37" s="4" t="s">
        <v>636</v>
      </c>
      <c r="B37" s="4">
        <v>6.4</v>
      </c>
      <c r="C37" s="4">
        <v>7.8</v>
      </c>
    </row>
    <row r="38" spans="1:5" x14ac:dyDescent="0.2">
      <c r="A38" s="4" t="s">
        <v>636</v>
      </c>
      <c r="B38" s="4">
        <v>7.59</v>
      </c>
      <c r="C38" s="4">
        <v>7.9</v>
      </c>
    </row>
    <row r="39" spans="1:5" x14ac:dyDescent="0.2">
      <c r="A39" s="4" t="s">
        <v>636</v>
      </c>
      <c r="B39" s="4">
        <v>8.8000000000000007</v>
      </c>
      <c r="C39" s="4">
        <v>18</v>
      </c>
    </row>
    <row r="40" spans="1:5" x14ac:dyDescent="0.2">
      <c r="A40" s="4" t="s">
        <v>636</v>
      </c>
      <c r="B40" s="4">
        <v>12.2</v>
      </c>
      <c r="C40" s="4">
        <v>39.5</v>
      </c>
    </row>
    <row r="41" spans="1:5" x14ac:dyDescent="0.2">
      <c r="A41" s="4" t="s">
        <v>636</v>
      </c>
      <c r="B41" s="4">
        <v>15.25</v>
      </c>
      <c r="C41" s="4">
        <v>14</v>
      </c>
    </row>
    <row r="42" spans="1:5" x14ac:dyDescent="0.2">
      <c r="A42" s="4" t="s">
        <v>636</v>
      </c>
      <c r="B42" s="4">
        <v>16.57</v>
      </c>
      <c r="C42" s="4">
        <v>24</v>
      </c>
    </row>
    <row r="43" spans="1:5" x14ac:dyDescent="0.2">
      <c r="A43" s="4" t="s">
        <v>636</v>
      </c>
      <c r="B43" s="4">
        <v>17.82</v>
      </c>
      <c r="C43" s="4">
        <v>12.7</v>
      </c>
      <c r="D43" s="4" t="s">
        <v>761</v>
      </c>
    </row>
    <row r="44" spans="1:5" x14ac:dyDescent="0.2">
      <c r="A44" s="4" t="s">
        <v>636</v>
      </c>
      <c r="B44" s="4">
        <v>18.3</v>
      </c>
      <c r="C44" s="4">
        <v>15.5</v>
      </c>
    </row>
    <row r="45" spans="1:5" x14ac:dyDescent="0.2">
      <c r="A45" s="4" t="s">
        <v>636</v>
      </c>
      <c r="B45" s="4">
        <v>18.760000000000002</v>
      </c>
      <c r="C45" s="4">
        <v>17</v>
      </c>
    </row>
    <row r="46" spans="1:5" x14ac:dyDescent="0.2">
      <c r="A46" s="4" t="s">
        <v>636</v>
      </c>
      <c r="B46" s="4">
        <v>19.93</v>
      </c>
      <c r="C46" s="4">
        <v>11.7</v>
      </c>
      <c r="D46" s="4" t="s">
        <v>761</v>
      </c>
    </row>
    <row r="47" spans="1:5" x14ac:dyDescent="0.2">
      <c r="A47" s="4" t="s">
        <v>636</v>
      </c>
      <c r="B47" s="4">
        <v>39.71</v>
      </c>
      <c r="C47" s="4">
        <v>8.6</v>
      </c>
    </row>
    <row r="48" spans="1:5" x14ac:dyDescent="0.2">
      <c r="A48" s="4" t="s">
        <v>636</v>
      </c>
      <c r="B48" s="4">
        <v>46.85</v>
      </c>
      <c r="C48" s="4">
        <v>8.8000000000000007</v>
      </c>
    </row>
    <row r="49" spans="1:5" x14ac:dyDescent="0.2">
      <c r="A49" s="4" t="s">
        <v>625</v>
      </c>
      <c r="E49" s="4">
        <v>5</v>
      </c>
    </row>
    <row r="50" spans="1:5" x14ac:dyDescent="0.2">
      <c r="A50" s="4" t="s">
        <v>625</v>
      </c>
      <c r="B50" s="4">
        <v>36.96</v>
      </c>
      <c r="C50" s="4">
        <v>15.5</v>
      </c>
      <c r="D50" s="4"/>
    </row>
    <row r="51" spans="1:5" x14ac:dyDescent="0.2">
      <c r="A51" s="4" t="s">
        <v>633</v>
      </c>
      <c r="E51" s="4">
        <v>21</v>
      </c>
    </row>
    <row r="52" spans="1:5" x14ac:dyDescent="0.2">
      <c r="A52" s="4" t="s">
        <v>633</v>
      </c>
      <c r="B52" s="4">
        <v>4.9000000000000004</v>
      </c>
      <c r="C52" s="4">
        <v>19</v>
      </c>
    </row>
    <row r="53" spans="1:5" x14ac:dyDescent="0.2">
      <c r="A53" s="4" t="s">
        <v>633</v>
      </c>
      <c r="B53" s="4">
        <v>35.92</v>
      </c>
      <c r="C53" s="4">
        <v>37</v>
      </c>
    </row>
    <row r="54" spans="1:5" x14ac:dyDescent="0.2">
      <c r="A54" s="4" t="s">
        <v>633</v>
      </c>
      <c r="B54" s="4">
        <v>39.299999999999997</v>
      </c>
      <c r="C54" s="4">
        <v>12.6</v>
      </c>
    </row>
    <row r="55" spans="1:5" x14ac:dyDescent="0.2">
      <c r="A55" s="4" t="s">
        <v>633</v>
      </c>
      <c r="B55" s="4">
        <v>39.57</v>
      </c>
      <c r="C55" s="4">
        <v>12.2</v>
      </c>
    </row>
    <row r="56" spans="1:5" x14ac:dyDescent="0.2">
      <c r="A56" s="4" t="s">
        <v>633</v>
      </c>
      <c r="B56" s="4">
        <v>39.85</v>
      </c>
      <c r="C56" s="4">
        <v>12.2</v>
      </c>
    </row>
    <row r="57" spans="1:5" x14ac:dyDescent="0.2">
      <c r="A57" s="4" t="s">
        <v>633</v>
      </c>
      <c r="B57" s="4">
        <v>41.16</v>
      </c>
      <c r="C57" s="4">
        <v>19</v>
      </c>
    </row>
    <row r="58" spans="1:5" x14ac:dyDescent="0.2">
      <c r="A58" s="4" t="s">
        <v>633</v>
      </c>
      <c r="B58" s="4">
        <v>45.85</v>
      </c>
      <c r="C58" s="4">
        <v>10.4</v>
      </c>
    </row>
    <row r="59" spans="1:5" x14ac:dyDescent="0.2">
      <c r="A59" s="4" t="s">
        <v>631</v>
      </c>
      <c r="E59" s="4">
        <v>15</v>
      </c>
    </row>
    <row r="60" spans="1:5" x14ac:dyDescent="0.2">
      <c r="A60" s="4" t="s">
        <v>632</v>
      </c>
      <c r="E60" s="4">
        <v>32</v>
      </c>
    </row>
    <row r="61" spans="1:5" x14ac:dyDescent="0.2">
      <c r="A61" s="4" t="s">
        <v>632</v>
      </c>
      <c r="B61" s="4">
        <v>15.91</v>
      </c>
      <c r="C61" s="4">
        <v>24.1</v>
      </c>
      <c r="D61" s="4" t="s">
        <v>712</v>
      </c>
    </row>
    <row r="62" spans="1:5" x14ac:dyDescent="0.2">
      <c r="A62" s="4" t="s">
        <v>632</v>
      </c>
      <c r="B62" s="4">
        <v>32</v>
      </c>
      <c r="C62" s="4">
        <v>16.3</v>
      </c>
    </row>
    <row r="63" spans="1:5" x14ac:dyDescent="0.2">
      <c r="A63" s="4" t="s">
        <v>632</v>
      </c>
      <c r="B63" s="4">
        <v>35.15</v>
      </c>
      <c r="C63" s="4">
        <v>9.1999999999999993</v>
      </c>
    </row>
    <row r="64" spans="1:5" x14ac:dyDescent="0.2">
      <c r="A64" s="4" t="s">
        <v>632</v>
      </c>
      <c r="B64" s="4">
        <v>40.5</v>
      </c>
      <c r="C64" s="4">
        <v>8.6999999999999993</v>
      </c>
    </row>
    <row r="65" spans="1:5" x14ac:dyDescent="0.2">
      <c r="A65" s="4" t="s">
        <v>645</v>
      </c>
      <c r="E65" s="4">
        <v>1</v>
      </c>
    </row>
    <row r="66" spans="1:5" x14ac:dyDescent="0.2">
      <c r="A66" s="4" t="s">
        <v>646</v>
      </c>
      <c r="E66" s="4">
        <v>2</v>
      </c>
    </row>
    <row r="67" spans="1:5" x14ac:dyDescent="0.2">
      <c r="A67" s="4" t="s">
        <v>638</v>
      </c>
      <c r="E67" s="4">
        <v>28</v>
      </c>
    </row>
    <row r="68" spans="1:5" x14ac:dyDescent="0.2">
      <c r="A68" s="4" t="s">
        <v>638</v>
      </c>
      <c r="B68" s="4">
        <v>17.149999999999999</v>
      </c>
      <c r="C68" s="4">
        <v>8</v>
      </c>
    </row>
    <row r="69" spans="1:5" x14ac:dyDescent="0.2">
      <c r="A69" s="4" t="s">
        <v>638</v>
      </c>
      <c r="B69" s="4">
        <v>28.64</v>
      </c>
      <c r="C69" s="4">
        <v>12</v>
      </c>
    </row>
    <row r="70" spans="1:5" x14ac:dyDescent="0.2">
      <c r="A70" s="4" t="s">
        <v>638</v>
      </c>
      <c r="B70" s="4">
        <v>28.84</v>
      </c>
      <c r="C70" s="4">
        <v>7.8</v>
      </c>
    </row>
    <row r="71" spans="1:5" x14ac:dyDescent="0.2">
      <c r="A71" s="4" t="s">
        <v>643</v>
      </c>
      <c r="E71" s="4">
        <v>6</v>
      </c>
    </row>
    <row r="72" spans="1:5" x14ac:dyDescent="0.2">
      <c r="A72" s="4" t="s">
        <v>643</v>
      </c>
      <c r="B72" s="4">
        <v>20.149999999999999</v>
      </c>
      <c r="C72" s="4">
        <v>18</v>
      </c>
      <c r="D72" s="4" t="s">
        <v>721</v>
      </c>
    </row>
    <row r="73" spans="1:5" x14ac:dyDescent="0.2">
      <c r="A73" s="4" t="s">
        <v>643</v>
      </c>
      <c r="B73" s="4">
        <v>20.6</v>
      </c>
      <c r="C73" s="4">
        <v>7.9</v>
      </c>
      <c r="D73" s="4" t="s">
        <v>721</v>
      </c>
    </row>
    <row r="74" spans="1:5" x14ac:dyDescent="0.2">
      <c r="A74" s="4" t="s">
        <v>643</v>
      </c>
      <c r="B74" s="4">
        <v>37.64</v>
      </c>
      <c r="C74" s="4">
        <v>7.6</v>
      </c>
    </row>
    <row r="75" spans="1:5" x14ac:dyDescent="0.2">
      <c r="A75" s="4" t="s">
        <v>641</v>
      </c>
      <c r="B75" s="4">
        <v>0.5</v>
      </c>
      <c r="C75" s="4">
        <v>18</v>
      </c>
    </row>
    <row r="76" spans="1:5" x14ac:dyDescent="0.2">
      <c r="A76" s="4" t="s">
        <v>641</v>
      </c>
      <c r="B76" s="4">
        <v>1.9</v>
      </c>
      <c r="C76" s="4">
        <v>7.9</v>
      </c>
    </row>
    <row r="77" spans="1:5" x14ac:dyDescent="0.2">
      <c r="A77" s="4" t="s">
        <v>641</v>
      </c>
      <c r="E77" s="4">
        <v>7</v>
      </c>
    </row>
    <row r="78" spans="1:5" x14ac:dyDescent="0.2">
      <c r="A78" s="4" t="s">
        <v>641</v>
      </c>
      <c r="B78" s="4">
        <v>3.71</v>
      </c>
      <c r="C78" s="4">
        <v>20</v>
      </c>
    </row>
    <row r="79" spans="1:5" x14ac:dyDescent="0.2">
      <c r="A79" s="4" t="s">
        <v>641</v>
      </c>
      <c r="B79" s="4">
        <v>20.65</v>
      </c>
      <c r="C79" s="4">
        <v>9</v>
      </c>
    </row>
    <row r="80" spans="1:5" x14ac:dyDescent="0.2">
      <c r="A80" s="4" t="s">
        <v>641</v>
      </c>
      <c r="B80" s="4">
        <v>40.159999999999997</v>
      </c>
      <c r="C80" s="4">
        <v>20</v>
      </c>
    </row>
    <row r="81" spans="1:5" x14ac:dyDescent="0.2">
      <c r="A81" s="4" t="s">
        <v>635</v>
      </c>
      <c r="E81" s="4">
        <v>57</v>
      </c>
    </row>
    <row r="82" spans="1:5" x14ac:dyDescent="0.2">
      <c r="A82" s="4" t="s">
        <v>635</v>
      </c>
      <c r="B82" s="4">
        <v>8.36</v>
      </c>
      <c r="C82" s="4">
        <v>38.1</v>
      </c>
    </row>
    <row r="83" spans="1:5" x14ac:dyDescent="0.2">
      <c r="A83" s="4" t="s">
        <v>635</v>
      </c>
      <c r="B83" s="4">
        <v>9.4499999999999993</v>
      </c>
      <c r="C83" s="4">
        <v>18.2</v>
      </c>
    </row>
    <row r="84" spans="1:5" x14ac:dyDescent="0.2">
      <c r="A84" s="4" t="s">
        <v>635</v>
      </c>
      <c r="B84" s="4">
        <v>9.9499999999999993</v>
      </c>
      <c r="C84" s="4">
        <v>12</v>
      </c>
    </row>
    <row r="85" spans="1:5" x14ac:dyDescent="0.2">
      <c r="A85" s="4" t="s">
        <v>635</v>
      </c>
      <c r="B85" s="4">
        <v>11.83</v>
      </c>
      <c r="C85" s="4">
        <v>10.199999999999999</v>
      </c>
    </row>
    <row r="86" spans="1:5" x14ac:dyDescent="0.2">
      <c r="A86" s="4" t="s">
        <v>635</v>
      </c>
      <c r="B86" s="4">
        <v>13.86</v>
      </c>
      <c r="C86" s="4">
        <v>15</v>
      </c>
    </row>
    <row r="87" spans="1:5" x14ac:dyDescent="0.2">
      <c r="A87" s="4" t="s">
        <v>635</v>
      </c>
      <c r="B87" s="4">
        <v>15.8</v>
      </c>
      <c r="C87" s="4">
        <v>16</v>
      </c>
    </row>
    <row r="88" spans="1:5" x14ac:dyDescent="0.2">
      <c r="A88" s="4" t="s">
        <v>635</v>
      </c>
      <c r="B88" s="4">
        <v>20.56</v>
      </c>
      <c r="C88" s="4">
        <v>19</v>
      </c>
    </row>
    <row r="89" spans="1:5" x14ac:dyDescent="0.2">
      <c r="A89" s="4" t="s">
        <v>635</v>
      </c>
      <c r="B89" s="4">
        <v>20.84</v>
      </c>
      <c r="C89" s="4">
        <v>22</v>
      </c>
    </row>
    <row r="90" spans="1:5" x14ac:dyDescent="0.2">
      <c r="A90" s="4" t="s">
        <v>635</v>
      </c>
      <c r="B90" s="4">
        <v>27.65</v>
      </c>
      <c r="C90" s="4">
        <v>10</v>
      </c>
    </row>
    <row r="91" spans="1:5" x14ac:dyDescent="0.2">
      <c r="A91" s="4" t="s">
        <v>635</v>
      </c>
      <c r="B91" s="4">
        <v>47.2</v>
      </c>
      <c r="C91" s="4">
        <v>11</v>
      </c>
    </row>
    <row r="92" spans="1:5" x14ac:dyDescent="0.2">
      <c r="A92" s="4" t="s">
        <v>637</v>
      </c>
      <c r="E92" s="4">
        <v>29</v>
      </c>
    </row>
    <row r="93" spans="1:5" x14ac:dyDescent="0.2">
      <c r="A93" s="4" t="s">
        <v>637</v>
      </c>
      <c r="B93" s="4">
        <v>6.86</v>
      </c>
      <c r="C93" s="4">
        <v>8.1999999999999993</v>
      </c>
    </row>
    <row r="94" spans="1:5" x14ac:dyDescent="0.2">
      <c r="A94" s="4" t="s">
        <v>637</v>
      </c>
      <c r="B94" s="4">
        <v>14.92</v>
      </c>
      <c r="C94" s="4">
        <v>13</v>
      </c>
    </row>
    <row r="95" spans="1:5" x14ac:dyDescent="0.2">
      <c r="A95" s="4" t="s">
        <v>637</v>
      </c>
      <c r="B95" s="4">
        <v>20.010000000000002</v>
      </c>
      <c r="C95" s="4">
        <v>7.6</v>
      </c>
    </row>
    <row r="96" spans="1:5" x14ac:dyDescent="0.2">
      <c r="A96" s="4" t="s">
        <v>637</v>
      </c>
      <c r="B96" s="4">
        <v>21.45</v>
      </c>
      <c r="C96" s="4">
        <v>8</v>
      </c>
    </row>
    <row r="97" spans="1:5" x14ac:dyDescent="0.2">
      <c r="A97" s="4" t="s">
        <v>637</v>
      </c>
      <c r="B97" s="4">
        <v>21.7</v>
      </c>
      <c r="C97" s="4">
        <v>11</v>
      </c>
    </row>
    <row r="98" spans="1:5" x14ac:dyDescent="0.2">
      <c r="A98" s="4" t="s">
        <v>637</v>
      </c>
      <c r="B98" s="4">
        <v>21.88</v>
      </c>
      <c r="C98" s="4">
        <v>8.6999999999999993</v>
      </c>
    </row>
    <row r="99" spans="1:5" x14ac:dyDescent="0.2">
      <c r="A99" s="4" t="s">
        <v>637</v>
      </c>
      <c r="B99" s="4">
        <v>22.25</v>
      </c>
      <c r="C99" s="4">
        <v>10.5</v>
      </c>
    </row>
    <row r="100" spans="1:5" x14ac:dyDescent="0.2">
      <c r="A100" s="4" t="s">
        <v>637</v>
      </c>
      <c r="B100" s="4">
        <v>22.6</v>
      </c>
      <c r="C100" s="4">
        <v>8</v>
      </c>
    </row>
    <row r="101" spans="1:5" x14ac:dyDescent="0.2">
      <c r="A101" s="4" t="s">
        <v>637</v>
      </c>
      <c r="B101" s="4">
        <v>45.73</v>
      </c>
      <c r="C101" s="4">
        <v>8.1</v>
      </c>
    </row>
    <row r="102" spans="1:5" x14ac:dyDescent="0.2">
      <c r="A102" s="4" t="s">
        <v>637</v>
      </c>
      <c r="B102" s="4">
        <v>46.09</v>
      </c>
      <c r="C102" s="4">
        <v>28</v>
      </c>
    </row>
    <row r="103" spans="1:5" x14ac:dyDescent="0.2">
      <c r="A103" s="4" t="s">
        <v>634</v>
      </c>
      <c r="E103" s="4">
        <v>41</v>
      </c>
    </row>
    <row r="104" spans="1:5" x14ac:dyDescent="0.2">
      <c r="A104" s="4" t="s">
        <v>634</v>
      </c>
      <c r="B104" s="4">
        <v>1.69</v>
      </c>
      <c r="C104" s="4">
        <v>46</v>
      </c>
    </row>
    <row r="105" spans="1:5" x14ac:dyDescent="0.2">
      <c r="A105" s="4" t="s">
        <v>634</v>
      </c>
      <c r="B105" s="4">
        <v>6.05</v>
      </c>
      <c r="C105" s="4">
        <v>22</v>
      </c>
    </row>
    <row r="106" spans="1:5" x14ac:dyDescent="0.2">
      <c r="A106" s="4" t="s">
        <v>634</v>
      </c>
      <c r="B106" s="4">
        <v>16.3</v>
      </c>
      <c r="C106" s="4">
        <v>8.6999999999999993</v>
      </c>
    </row>
    <row r="107" spans="1:5" x14ac:dyDescent="0.2">
      <c r="A107" s="4" t="s">
        <v>634</v>
      </c>
      <c r="B107" s="4">
        <v>17.940000000000001</v>
      </c>
      <c r="C107" s="4">
        <v>11.2</v>
      </c>
    </row>
    <row r="108" spans="1:5" x14ac:dyDescent="0.2">
      <c r="A108" s="4" t="s">
        <v>634</v>
      </c>
      <c r="B108" s="4">
        <v>34</v>
      </c>
      <c r="C108" s="4">
        <v>10</v>
      </c>
    </row>
    <row r="109" spans="1:5" x14ac:dyDescent="0.2">
      <c r="A109" s="4" t="s">
        <v>634</v>
      </c>
      <c r="B109" s="4">
        <v>36.15</v>
      </c>
      <c r="C109" s="4">
        <v>11</v>
      </c>
    </row>
    <row r="110" spans="1:5" x14ac:dyDescent="0.2">
      <c r="A110" s="4" t="s">
        <v>634</v>
      </c>
      <c r="B110" s="4">
        <v>38.71</v>
      </c>
      <c r="C110" s="4">
        <v>33</v>
      </c>
    </row>
    <row r="111" spans="1:5" x14ac:dyDescent="0.2">
      <c r="A111" s="4" t="s">
        <v>634</v>
      </c>
      <c r="B111" s="4">
        <v>41.06</v>
      </c>
      <c r="C111" s="4">
        <v>17</v>
      </c>
    </row>
    <row r="112" spans="1:5" x14ac:dyDescent="0.2">
      <c r="A112" s="4" t="s">
        <v>634</v>
      </c>
      <c r="B112" s="4">
        <v>41.61</v>
      </c>
      <c r="C112" s="4">
        <v>14</v>
      </c>
    </row>
    <row r="113" spans="1:5" x14ac:dyDescent="0.2">
      <c r="A113" s="4" t="s">
        <v>634</v>
      </c>
      <c r="B113" s="4">
        <v>44.7</v>
      </c>
      <c r="C113" s="4">
        <v>15</v>
      </c>
    </row>
    <row r="114" spans="1:5" x14ac:dyDescent="0.2">
      <c r="A114" s="4" t="s">
        <v>634</v>
      </c>
      <c r="B114" s="4">
        <v>47.55</v>
      </c>
      <c r="C114" s="4">
        <v>10.5</v>
      </c>
    </row>
    <row r="115" spans="1:5" x14ac:dyDescent="0.2">
      <c r="A115" s="4" t="s">
        <v>640</v>
      </c>
      <c r="E115" s="4">
        <v>4</v>
      </c>
    </row>
    <row r="116" spans="1:5" x14ac:dyDescent="0.2">
      <c r="A116" s="4" t="s">
        <v>640</v>
      </c>
      <c r="B116" s="4">
        <v>9.0500000000000007</v>
      </c>
      <c r="C116" s="4">
        <v>22</v>
      </c>
    </row>
    <row r="117" spans="1:5" x14ac:dyDescent="0.2">
      <c r="A117" s="4" t="s">
        <v>640</v>
      </c>
      <c r="B117" s="4">
        <v>37.700000000000003</v>
      </c>
      <c r="C117" s="4">
        <v>7.8</v>
      </c>
    </row>
    <row r="118" spans="1:5" x14ac:dyDescent="0.2">
      <c r="A118" s="4" t="s">
        <v>640</v>
      </c>
      <c r="B118" s="4">
        <v>43.69</v>
      </c>
      <c r="C118" s="4">
        <v>8.5</v>
      </c>
    </row>
    <row r="119" spans="1:5" x14ac:dyDescent="0.2">
      <c r="A119" s="4" t="s">
        <v>640</v>
      </c>
      <c r="B119" s="4">
        <v>46.01</v>
      </c>
      <c r="C119" s="4">
        <v>9.6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B23"/>
  <sheetViews>
    <sheetView workbookViewId="0"/>
  </sheetViews>
  <sheetFormatPr defaultColWidth="12.7109375" defaultRowHeight="15.75" customHeight="1" x14ac:dyDescent="0.2"/>
  <cols>
    <col min="2" max="2" width="20.140625" customWidth="1"/>
  </cols>
  <sheetData>
    <row r="2" spans="1:2" x14ac:dyDescent="0.2">
      <c r="A2" s="22" t="s">
        <v>731</v>
      </c>
    </row>
    <row r="3" spans="1:2" x14ac:dyDescent="0.2">
      <c r="A3" s="4" t="s">
        <v>625</v>
      </c>
    </row>
    <row r="4" spans="1:2" x14ac:dyDescent="0.2">
      <c r="A4" s="4" t="s">
        <v>633</v>
      </c>
    </row>
    <row r="5" spans="1:2" x14ac:dyDescent="0.2">
      <c r="A5" s="4" t="s">
        <v>632</v>
      </c>
    </row>
    <row r="6" spans="1:2" x14ac:dyDescent="0.2">
      <c r="A6" s="4" t="s">
        <v>645</v>
      </c>
    </row>
    <row r="7" spans="1:2" x14ac:dyDescent="0.2">
      <c r="A7" s="4" t="s">
        <v>637</v>
      </c>
    </row>
    <row r="9" spans="1:2" x14ac:dyDescent="0.2">
      <c r="A9" s="22" t="s">
        <v>732</v>
      </c>
    </row>
    <row r="10" spans="1:2" x14ac:dyDescent="0.2">
      <c r="A10" s="4" t="s">
        <v>733</v>
      </c>
      <c r="B10" s="4" t="s">
        <v>708</v>
      </c>
    </row>
    <row r="11" spans="1:2" x14ac:dyDescent="0.2">
      <c r="A11" s="4" t="s">
        <v>734</v>
      </c>
      <c r="B11" s="4" t="s">
        <v>711</v>
      </c>
    </row>
    <row r="12" spans="1:2" x14ac:dyDescent="0.2">
      <c r="A12" s="4" t="s">
        <v>735</v>
      </c>
      <c r="B12" s="4" t="s">
        <v>712</v>
      </c>
    </row>
    <row r="13" spans="1:2" x14ac:dyDescent="0.2">
      <c r="A13" s="4" t="s">
        <v>736</v>
      </c>
      <c r="B13" s="4" t="s">
        <v>713</v>
      </c>
    </row>
    <row r="14" spans="1:2" x14ac:dyDescent="0.2">
      <c r="A14" s="4" t="s">
        <v>737</v>
      </c>
      <c r="B14" s="4" t="s">
        <v>714</v>
      </c>
    </row>
    <row r="15" spans="1:2" x14ac:dyDescent="0.2">
      <c r="A15" s="4" t="s">
        <v>738</v>
      </c>
      <c r="B15" s="4" t="s">
        <v>716</v>
      </c>
    </row>
    <row r="16" spans="1:2" x14ac:dyDescent="0.2">
      <c r="A16" s="4" t="s">
        <v>739</v>
      </c>
      <c r="B16" s="4" t="s">
        <v>717</v>
      </c>
    </row>
    <row r="17" spans="1:2" x14ac:dyDescent="0.2">
      <c r="A17" s="4" t="s">
        <v>740</v>
      </c>
      <c r="B17" s="4" t="s">
        <v>715</v>
      </c>
    </row>
    <row r="18" spans="1:2" x14ac:dyDescent="0.2">
      <c r="A18" s="4" t="s">
        <v>741</v>
      </c>
      <c r="B18" s="4" t="s">
        <v>724</v>
      </c>
    </row>
    <row r="19" spans="1:2" x14ac:dyDescent="0.2">
      <c r="A19" s="4" t="s">
        <v>742</v>
      </c>
      <c r="B19" s="4" t="s">
        <v>721</v>
      </c>
    </row>
    <row r="20" spans="1:2" x14ac:dyDescent="0.2">
      <c r="A20" s="4" t="s">
        <v>743</v>
      </c>
      <c r="B20" s="4" t="s">
        <v>722</v>
      </c>
    </row>
    <row r="21" spans="1:2" x14ac:dyDescent="0.2">
      <c r="A21" s="4" t="s">
        <v>744</v>
      </c>
      <c r="B21" s="4" t="s">
        <v>723</v>
      </c>
    </row>
    <row r="22" spans="1:2" x14ac:dyDescent="0.2">
      <c r="A22" s="4" t="s">
        <v>745</v>
      </c>
      <c r="B22" s="4" t="s">
        <v>725</v>
      </c>
    </row>
    <row r="23" spans="1:2" x14ac:dyDescent="0.2">
      <c r="A23" s="4" t="s">
        <v>746</v>
      </c>
      <c r="B23" s="4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Bulk TC masses, one depth</vt:lpstr>
      <vt:lpstr>Bulk TC masses, both depths</vt:lpstr>
      <vt:lpstr>Aggregate sample masses</vt:lpstr>
      <vt:lpstr>Waypoint sample masses</vt:lpstr>
      <vt:lpstr>Waypoint sample numbers</vt:lpstr>
      <vt:lpstr>Waypoint results</vt:lpstr>
      <vt:lpstr>Texture results</vt:lpstr>
      <vt:lpstr>Bulk density</vt:lpstr>
      <vt:lpstr>Soil Temperature</vt:lpstr>
      <vt:lpstr>Note for Soil Temp</vt:lpstr>
      <vt:lpstr>Woody Plots</vt:lpstr>
      <vt:lpstr>CWD</vt:lpstr>
      <vt:lpstr>Note for WP &amp; CWD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Peterson, Chelsea Marie</cp:lastModifiedBy>
  <dcterms:modified xsi:type="dcterms:W3CDTF">2024-09-06T15:55:06Z</dcterms:modified>
</cp:coreProperties>
</file>